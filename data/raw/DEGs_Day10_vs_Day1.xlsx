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lodi0002\Desktop\cell division paper\PNAS\"/>
    </mc:Choice>
  </mc:AlternateContent>
  <xr:revisionPtr revIDLastSave="0" documentId="8_{2DE1C9E3-470A-4F49-9A7D-B8543E9B2189}" xr6:coauthVersionLast="47" xr6:coauthVersionMax="47" xr10:uidLastSave="{00000000-0000-0000-0000-000000000000}"/>
  <bookViews>
    <workbookView xWindow="-110" yWindow="-110" windowWidth="19420" windowHeight="10300" activeTab="1" xr2:uid="{00000000-000D-0000-FFFF-FFFF00000000}"/>
  </bookViews>
  <sheets>
    <sheet name="Samples" sheetId="2" r:id="rId1"/>
    <sheet name="Stat_day10_X_Exp_day1" sheetId="3"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392" i="3" l="1"/>
  <c r="L1392" i="3"/>
  <c r="K1392" i="3"/>
  <c r="Q1391" i="3"/>
  <c r="L1391" i="3"/>
  <c r="K1391" i="3"/>
  <c r="Q1390" i="3"/>
  <c r="L1390" i="3"/>
  <c r="K1390" i="3"/>
  <c r="Q1389" i="3"/>
  <c r="L1389" i="3"/>
  <c r="K1389" i="3"/>
  <c r="Q1388" i="3"/>
  <c r="L1388" i="3"/>
  <c r="K1388" i="3"/>
  <c r="Q1387" i="3"/>
  <c r="L1387" i="3"/>
  <c r="K1387" i="3"/>
  <c r="Q1386" i="3"/>
  <c r="L1386" i="3"/>
  <c r="K1386" i="3"/>
  <c r="Q1385" i="3"/>
  <c r="L1385" i="3"/>
  <c r="K1385" i="3"/>
  <c r="Q1384" i="3"/>
  <c r="L1384" i="3"/>
  <c r="K1384" i="3"/>
  <c r="Q1383" i="3"/>
  <c r="L1383" i="3"/>
  <c r="K1383" i="3"/>
  <c r="Q1382" i="3"/>
  <c r="L1382" i="3"/>
  <c r="K1382" i="3"/>
  <c r="Q1381" i="3"/>
  <c r="L1381" i="3"/>
  <c r="K1381" i="3"/>
  <c r="Q1380" i="3"/>
  <c r="L1380" i="3"/>
  <c r="K1380" i="3"/>
  <c r="Q1379" i="3"/>
  <c r="L1379" i="3"/>
  <c r="K1379" i="3"/>
  <c r="Q1378" i="3"/>
  <c r="L1378" i="3"/>
  <c r="K1378" i="3"/>
  <c r="Q1377" i="3"/>
  <c r="L1377" i="3"/>
  <c r="K1377" i="3"/>
  <c r="Q1376" i="3"/>
  <c r="L1376" i="3"/>
  <c r="K1376" i="3"/>
  <c r="Q1375" i="3"/>
  <c r="L1375" i="3"/>
  <c r="K1375" i="3"/>
  <c r="Q1374" i="3"/>
  <c r="L1374" i="3"/>
  <c r="K1374" i="3"/>
  <c r="Q1373" i="3"/>
  <c r="L1373" i="3"/>
  <c r="K1373" i="3"/>
  <c r="Q1372" i="3"/>
  <c r="L1372" i="3"/>
  <c r="K1372" i="3"/>
  <c r="Q1371" i="3"/>
  <c r="L1371" i="3"/>
  <c r="K1371" i="3"/>
  <c r="Q1370" i="3"/>
  <c r="L1370" i="3"/>
  <c r="K1370" i="3"/>
  <c r="Q1369" i="3"/>
  <c r="L1369" i="3"/>
  <c r="K1369" i="3"/>
  <c r="Q1368" i="3"/>
  <c r="L1368" i="3"/>
  <c r="K1368" i="3"/>
  <c r="Q1367" i="3"/>
  <c r="L1367" i="3"/>
  <c r="K1367" i="3"/>
  <c r="Q1366" i="3"/>
  <c r="L1366" i="3"/>
  <c r="K1366" i="3"/>
  <c r="Q1365" i="3"/>
  <c r="L1365" i="3"/>
  <c r="K1365" i="3"/>
  <c r="Q1364" i="3"/>
  <c r="L1364" i="3"/>
  <c r="K1364" i="3"/>
  <c r="Q1363" i="3"/>
  <c r="L1363" i="3"/>
  <c r="K1363" i="3"/>
  <c r="Q1362" i="3"/>
  <c r="L1362" i="3"/>
  <c r="K1362" i="3"/>
  <c r="Q1361" i="3"/>
  <c r="L1361" i="3"/>
  <c r="K1361" i="3"/>
  <c r="Q1360" i="3"/>
  <c r="L1360" i="3"/>
  <c r="K1360" i="3"/>
  <c r="Q1359" i="3"/>
  <c r="L1359" i="3"/>
  <c r="K1359" i="3"/>
  <c r="Q1358" i="3"/>
  <c r="L1358" i="3"/>
  <c r="K1358" i="3"/>
  <c r="Q1357" i="3"/>
  <c r="L1357" i="3"/>
  <c r="K1357" i="3"/>
  <c r="Q1356" i="3"/>
  <c r="L1356" i="3"/>
  <c r="K1356" i="3"/>
  <c r="Q1355" i="3"/>
  <c r="L1355" i="3"/>
  <c r="K1355" i="3"/>
  <c r="Q1354" i="3"/>
  <c r="L1354" i="3"/>
  <c r="K1354" i="3"/>
  <c r="Q1353" i="3"/>
  <c r="L1353" i="3"/>
  <c r="K1353" i="3"/>
  <c r="Q1352" i="3"/>
  <c r="L1352" i="3"/>
  <c r="K1352" i="3"/>
  <c r="Q1351" i="3"/>
  <c r="L1351" i="3"/>
  <c r="K1351" i="3"/>
  <c r="Q1350" i="3"/>
  <c r="L1350" i="3"/>
  <c r="K1350" i="3"/>
  <c r="Q1349" i="3"/>
  <c r="L1349" i="3"/>
  <c r="K1349" i="3"/>
  <c r="Q1348" i="3"/>
  <c r="L1348" i="3"/>
  <c r="K1348" i="3"/>
  <c r="Q1347" i="3"/>
  <c r="L1347" i="3"/>
  <c r="K1347" i="3"/>
  <c r="Q1346" i="3"/>
  <c r="L1346" i="3"/>
  <c r="K1346" i="3"/>
  <c r="Q1345" i="3"/>
  <c r="L1345" i="3"/>
  <c r="K1345" i="3"/>
  <c r="Q1344" i="3"/>
  <c r="L1344" i="3"/>
  <c r="K1344" i="3"/>
  <c r="Q1343" i="3"/>
  <c r="L1343" i="3"/>
  <c r="K1343" i="3"/>
  <c r="Q1342" i="3"/>
  <c r="L1342" i="3"/>
  <c r="K1342" i="3"/>
  <c r="Q1341" i="3"/>
  <c r="L1341" i="3"/>
  <c r="K1341" i="3"/>
  <c r="Q1340" i="3"/>
  <c r="L1340" i="3"/>
  <c r="K1340" i="3"/>
  <c r="Q1339" i="3"/>
  <c r="L1339" i="3"/>
  <c r="K1339" i="3"/>
  <c r="Q1338" i="3"/>
  <c r="L1338" i="3"/>
  <c r="K1338" i="3"/>
  <c r="Q1337" i="3"/>
  <c r="L1337" i="3"/>
  <c r="K1337" i="3"/>
  <c r="Q1336" i="3"/>
  <c r="L1336" i="3"/>
  <c r="K1336" i="3"/>
  <c r="Q1335" i="3"/>
  <c r="L1335" i="3"/>
  <c r="K1335" i="3"/>
  <c r="Q1334" i="3"/>
  <c r="L1334" i="3"/>
  <c r="K1334" i="3"/>
  <c r="Q1333" i="3"/>
  <c r="L1333" i="3"/>
  <c r="K1333" i="3"/>
  <c r="Q1332" i="3"/>
  <c r="L1332" i="3"/>
  <c r="K1332" i="3"/>
  <c r="Q1331" i="3"/>
  <c r="L1331" i="3"/>
  <c r="K1331" i="3"/>
  <c r="Q1330" i="3"/>
  <c r="L1330" i="3"/>
  <c r="K1330" i="3"/>
  <c r="Q1329" i="3"/>
  <c r="L1329" i="3"/>
  <c r="K1329" i="3"/>
  <c r="Q1328" i="3"/>
  <c r="L1328" i="3"/>
  <c r="K1328" i="3"/>
  <c r="Q1327" i="3"/>
  <c r="L1327" i="3"/>
  <c r="K1327" i="3"/>
  <c r="Q1326" i="3"/>
  <c r="L1326" i="3"/>
  <c r="K1326" i="3"/>
  <c r="Q1325" i="3"/>
  <c r="L1325" i="3"/>
  <c r="K1325" i="3"/>
  <c r="Q1324" i="3"/>
  <c r="L1324" i="3"/>
  <c r="K1324" i="3"/>
  <c r="Q1323" i="3"/>
  <c r="L1323" i="3"/>
  <c r="K1323" i="3"/>
  <c r="Q1322" i="3"/>
  <c r="L1322" i="3"/>
  <c r="K1322" i="3"/>
  <c r="Q1321" i="3"/>
  <c r="L1321" i="3"/>
  <c r="K1321" i="3"/>
  <c r="Q1320" i="3"/>
  <c r="L1320" i="3"/>
  <c r="K1320" i="3"/>
  <c r="Q1319" i="3"/>
  <c r="L1319" i="3"/>
  <c r="K1319" i="3"/>
  <c r="Q1318" i="3"/>
  <c r="L1318" i="3"/>
  <c r="K1318" i="3"/>
  <c r="Q1317" i="3"/>
  <c r="L1317" i="3"/>
  <c r="K1317" i="3"/>
  <c r="Q1316" i="3"/>
  <c r="L1316" i="3"/>
  <c r="K1316" i="3"/>
  <c r="Q1315" i="3"/>
  <c r="L1315" i="3"/>
  <c r="K1315" i="3"/>
  <c r="Q1314" i="3"/>
  <c r="L1314" i="3"/>
  <c r="K1314" i="3"/>
  <c r="Q1313" i="3"/>
  <c r="L1313" i="3"/>
  <c r="K1313" i="3"/>
  <c r="Q1312" i="3"/>
  <c r="L1312" i="3"/>
  <c r="K1312" i="3"/>
  <c r="Q1311" i="3"/>
  <c r="L1311" i="3"/>
  <c r="K1311" i="3"/>
  <c r="Q1310" i="3"/>
  <c r="L1310" i="3"/>
  <c r="K1310" i="3"/>
  <c r="Q1309" i="3"/>
  <c r="L1309" i="3"/>
  <c r="K1309" i="3"/>
  <c r="Q1308" i="3"/>
  <c r="L1308" i="3"/>
  <c r="K1308" i="3"/>
  <c r="Q1307" i="3"/>
  <c r="L1307" i="3"/>
  <c r="K1307" i="3"/>
  <c r="Q1306" i="3"/>
  <c r="L1306" i="3"/>
  <c r="K1306" i="3"/>
  <c r="Q1305" i="3"/>
  <c r="L1305" i="3"/>
  <c r="K1305" i="3"/>
  <c r="Q1304" i="3"/>
  <c r="L1304" i="3"/>
  <c r="K1304" i="3"/>
  <c r="Q1303" i="3"/>
  <c r="L1303" i="3"/>
  <c r="K1303" i="3"/>
  <c r="Q1302" i="3"/>
  <c r="L1302" i="3"/>
  <c r="K1302" i="3"/>
  <c r="Q1301" i="3"/>
  <c r="L1301" i="3"/>
  <c r="K1301" i="3"/>
  <c r="Q1300" i="3"/>
  <c r="L1300" i="3"/>
  <c r="K1300" i="3"/>
  <c r="Q1299" i="3"/>
  <c r="L1299" i="3"/>
  <c r="K1299" i="3"/>
  <c r="Q1298" i="3"/>
  <c r="L1298" i="3"/>
  <c r="K1298" i="3"/>
  <c r="Q1297" i="3"/>
  <c r="L1297" i="3"/>
  <c r="K1297" i="3"/>
  <c r="Q1296" i="3"/>
  <c r="L1296" i="3"/>
  <c r="K1296" i="3"/>
  <c r="Q1295" i="3"/>
  <c r="L1295" i="3"/>
  <c r="K1295" i="3"/>
  <c r="Q1294" i="3"/>
  <c r="L1294" i="3"/>
  <c r="K1294" i="3"/>
  <c r="Q1293" i="3"/>
  <c r="L1293" i="3"/>
  <c r="K1293" i="3"/>
  <c r="Q1292" i="3"/>
  <c r="L1292" i="3"/>
  <c r="K1292" i="3"/>
  <c r="Q1291" i="3"/>
  <c r="L1291" i="3"/>
  <c r="K1291" i="3"/>
  <c r="Q1290" i="3"/>
  <c r="L1290" i="3"/>
  <c r="K1290" i="3"/>
  <c r="Q1289" i="3"/>
  <c r="L1289" i="3"/>
  <c r="K1289" i="3"/>
  <c r="Q1288" i="3"/>
  <c r="L1288" i="3"/>
  <c r="K1288" i="3"/>
  <c r="Q1287" i="3"/>
  <c r="L1287" i="3"/>
  <c r="K1287" i="3"/>
  <c r="Q1286" i="3"/>
  <c r="L1286" i="3"/>
  <c r="K1286" i="3"/>
  <c r="Q1285" i="3"/>
  <c r="L1285" i="3"/>
  <c r="K1285" i="3"/>
  <c r="Q1284" i="3"/>
  <c r="L1284" i="3"/>
  <c r="K1284" i="3"/>
  <c r="Q1283" i="3"/>
  <c r="L1283" i="3"/>
  <c r="K1283" i="3"/>
  <c r="Q1282" i="3"/>
  <c r="L1282" i="3"/>
  <c r="K1282" i="3"/>
  <c r="Q1281" i="3"/>
  <c r="L1281" i="3"/>
  <c r="K1281" i="3"/>
  <c r="Q1280" i="3"/>
  <c r="L1280" i="3"/>
  <c r="K1280" i="3"/>
  <c r="Q1279" i="3"/>
  <c r="L1279" i="3"/>
  <c r="K1279" i="3"/>
  <c r="Q1278" i="3"/>
  <c r="L1278" i="3"/>
  <c r="K1278" i="3"/>
  <c r="Q1277" i="3"/>
  <c r="L1277" i="3"/>
  <c r="K1277" i="3"/>
  <c r="Q1276" i="3"/>
  <c r="L1276" i="3"/>
  <c r="K1276" i="3"/>
  <c r="Q1275" i="3"/>
  <c r="L1275" i="3"/>
  <c r="K1275" i="3"/>
  <c r="Q1274" i="3"/>
  <c r="L1274" i="3"/>
  <c r="K1274" i="3"/>
  <c r="Q1273" i="3"/>
  <c r="L1273" i="3"/>
  <c r="K1273" i="3"/>
  <c r="Q1272" i="3"/>
  <c r="L1272" i="3"/>
  <c r="K1272" i="3"/>
  <c r="Q1271" i="3"/>
  <c r="L1271" i="3"/>
  <c r="K1271" i="3"/>
  <c r="Q1270" i="3"/>
  <c r="L1270" i="3"/>
  <c r="K1270" i="3"/>
  <c r="Q1269" i="3"/>
  <c r="L1269" i="3"/>
  <c r="K1269" i="3"/>
  <c r="Q1268" i="3"/>
  <c r="L1268" i="3"/>
  <c r="K1268" i="3"/>
  <c r="Q1267" i="3"/>
  <c r="L1267" i="3"/>
  <c r="K1267" i="3"/>
  <c r="Q1266" i="3"/>
  <c r="L1266" i="3"/>
  <c r="K1266" i="3"/>
  <c r="Q1265" i="3"/>
  <c r="L1265" i="3"/>
  <c r="K1265" i="3"/>
  <c r="Q1264" i="3"/>
  <c r="L1264" i="3"/>
  <c r="K1264" i="3"/>
  <c r="Q1263" i="3"/>
  <c r="L1263" i="3"/>
  <c r="K1263" i="3"/>
  <c r="Q1262" i="3"/>
  <c r="L1262" i="3"/>
  <c r="K1262" i="3"/>
  <c r="Q1261" i="3"/>
  <c r="L1261" i="3"/>
  <c r="K1261" i="3"/>
  <c r="Q1260" i="3"/>
  <c r="L1260" i="3"/>
  <c r="K1260" i="3"/>
  <c r="Q1259" i="3"/>
  <c r="L1259" i="3"/>
  <c r="K1259" i="3"/>
  <c r="Q1258" i="3"/>
  <c r="L1258" i="3"/>
  <c r="K1258" i="3"/>
  <c r="Q1257" i="3"/>
  <c r="L1257" i="3"/>
  <c r="K1257" i="3"/>
  <c r="Q1256" i="3"/>
  <c r="L1256" i="3"/>
  <c r="K1256" i="3"/>
  <c r="Q1255" i="3"/>
  <c r="L1255" i="3"/>
  <c r="K1255" i="3"/>
  <c r="Q1254" i="3"/>
  <c r="L1254" i="3"/>
  <c r="K1254" i="3"/>
  <c r="Q1253" i="3"/>
  <c r="L1253" i="3"/>
  <c r="K1253" i="3"/>
  <c r="Q1252" i="3"/>
  <c r="L1252" i="3"/>
  <c r="K1252" i="3"/>
  <c r="Q1251" i="3"/>
  <c r="L1251" i="3"/>
  <c r="K1251" i="3"/>
  <c r="Q1250" i="3"/>
  <c r="L1250" i="3"/>
  <c r="K1250" i="3"/>
  <c r="Q1249" i="3"/>
  <c r="L1249" i="3"/>
  <c r="K1249" i="3"/>
  <c r="Q1248" i="3"/>
  <c r="L1248" i="3"/>
  <c r="K1248" i="3"/>
  <c r="Q1247" i="3"/>
  <c r="L1247" i="3"/>
  <c r="K1247" i="3"/>
  <c r="Q1246" i="3"/>
  <c r="L1246" i="3"/>
  <c r="K1246" i="3"/>
  <c r="Q1245" i="3"/>
  <c r="L1245" i="3"/>
  <c r="K1245" i="3"/>
  <c r="Q1244" i="3"/>
  <c r="L1244" i="3"/>
  <c r="K1244" i="3"/>
  <c r="Q1243" i="3"/>
  <c r="L1243" i="3"/>
  <c r="K1243" i="3"/>
  <c r="Q1242" i="3"/>
  <c r="L1242" i="3"/>
  <c r="K1242" i="3"/>
  <c r="Q1241" i="3"/>
  <c r="L1241" i="3"/>
  <c r="K1241" i="3"/>
  <c r="Q1240" i="3"/>
  <c r="L1240" i="3"/>
  <c r="K1240" i="3"/>
  <c r="Q1239" i="3"/>
  <c r="L1239" i="3"/>
  <c r="K1239" i="3"/>
  <c r="Q1238" i="3"/>
  <c r="L1238" i="3"/>
  <c r="K1238" i="3"/>
  <c r="Q1237" i="3"/>
  <c r="L1237" i="3"/>
  <c r="K1237" i="3"/>
  <c r="Q1236" i="3"/>
  <c r="L1236" i="3"/>
  <c r="K1236" i="3"/>
  <c r="Q1235" i="3"/>
  <c r="L1235" i="3"/>
  <c r="K1235" i="3"/>
  <c r="Q1234" i="3"/>
  <c r="L1234" i="3"/>
  <c r="K1234" i="3"/>
  <c r="Q1233" i="3"/>
  <c r="L1233" i="3"/>
  <c r="K1233" i="3"/>
  <c r="Q1232" i="3"/>
  <c r="L1232" i="3"/>
  <c r="K1232" i="3"/>
  <c r="Q1231" i="3"/>
  <c r="L1231" i="3"/>
  <c r="K1231" i="3"/>
  <c r="Q1230" i="3"/>
  <c r="L1230" i="3"/>
  <c r="K1230" i="3"/>
  <c r="Q1229" i="3"/>
  <c r="L1229" i="3"/>
  <c r="K1229" i="3"/>
  <c r="Q1228" i="3"/>
  <c r="L1228" i="3"/>
  <c r="K1228" i="3"/>
  <c r="Q1227" i="3"/>
  <c r="L1227" i="3"/>
  <c r="K1227" i="3"/>
  <c r="Q1226" i="3"/>
  <c r="L1226" i="3"/>
  <c r="K1226" i="3"/>
  <c r="Q1225" i="3"/>
  <c r="L1225" i="3"/>
  <c r="K1225" i="3"/>
  <c r="Q1224" i="3"/>
  <c r="L1224" i="3"/>
  <c r="K1224" i="3"/>
  <c r="Q1223" i="3"/>
  <c r="L1223" i="3"/>
  <c r="K1223" i="3"/>
  <c r="Q1222" i="3"/>
  <c r="L1222" i="3"/>
  <c r="K1222" i="3"/>
  <c r="Q1221" i="3"/>
  <c r="L1221" i="3"/>
  <c r="K1221" i="3"/>
  <c r="Q1220" i="3"/>
  <c r="L1220" i="3"/>
  <c r="K1220" i="3"/>
  <c r="Q1219" i="3"/>
  <c r="L1219" i="3"/>
  <c r="K1219" i="3"/>
  <c r="Q1218" i="3"/>
  <c r="L1218" i="3"/>
  <c r="K1218" i="3"/>
  <c r="Q1217" i="3"/>
  <c r="L1217" i="3"/>
  <c r="K1217" i="3"/>
  <c r="Q1216" i="3"/>
  <c r="L1216" i="3"/>
  <c r="K1216" i="3"/>
  <c r="Q1215" i="3"/>
  <c r="L1215" i="3"/>
  <c r="K1215" i="3"/>
  <c r="Q1214" i="3"/>
  <c r="L1214" i="3"/>
  <c r="K1214" i="3"/>
  <c r="Q1213" i="3"/>
  <c r="L1213" i="3"/>
  <c r="K1213" i="3"/>
  <c r="Q1212" i="3"/>
  <c r="L1212" i="3"/>
  <c r="K1212" i="3"/>
  <c r="Q1211" i="3"/>
  <c r="L1211" i="3"/>
  <c r="K1211" i="3"/>
  <c r="Q1210" i="3"/>
  <c r="L1210" i="3"/>
  <c r="K1210" i="3"/>
  <c r="Q1209" i="3"/>
  <c r="L1209" i="3"/>
  <c r="K1209" i="3"/>
  <c r="Q1208" i="3"/>
  <c r="L1208" i="3"/>
  <c r="K1208" i="3"/>
  <c r="Q1207" i="3"/>
  <c r="L1207" i="3"/>
  <c r="K1207" i="3"/>
  <c r="Q1206" i="3"/>
  <c r="L1206" i="3"/>
  <c r="K1206" i="3"/>
  <c r="Q1205" i="3"/>
  <c r="L1205" i="3"/>
  <c r="K1205" i="3"/>
  <c r="Q1204" i="3"/>
  <c r="L1204" i="3"/>
  <c r="K1204" i="3"/>
  <c r="Q1203" i="3"/>
  <c r="L1203" i="3"/>
  <c r="K1203" i="3"/>
  <c r="Q1202" i="3"/>
  <c r="L1202" i="3"/>
  <c r="K1202" i="3"/>
  <c r="Q1201" i="3"/>
  <c r="L1201" i="3"/>
  <c r="K1201" i="3"/>
  <c r="Q1200" i="3"/>
  <c r="L1200" i="3"/>
  <c r="K1200" i="3"/>
  <c r="Q1199" i="3"/>
  <c r="L1199" i="3"/>
  <c r="K1199" i="3"/>
  <c r="Q1198" i="3"/>
  <c r="L1198" i="3"/>
  <c r="K1198" i="3"/>
  <c r="Q1197" i="3"/>
  <c r="L1197" i="3"/>
  <c r="K1197" i="3"/>
  <c r="Q1196" i="3"/>
  <c r="L1196" i="3"/>
  <c r="K1196" i="3"/>
  <c r="Q1195" i="3"/>
  <c r="L1195" i="3"/>
  <c r="K1195" i="3"/>
  <c r="Q1194" i="3"/>
  <c r="L1194" i="3"/>
  <c r="K1194" i="3"/>
  <c r="Q1193" i="3"/>
  <c r="L1193" i="3"/>
  <c r="K1193" i="3"/>
  <c r="Q1192" i="3"/>
  <c r="L1192" i="3"/>
  <c r="K1192" i="3"/>
  <c r="Q1191" i="3"/>
  <c r="L1191" i="3"/>
  <c r="K1191" i="3"/>
  <c r="Q1190" i="3"/>
  <c r="L1190" i="3"/>
  <c r="K1190" i="3"/>
  <c r="Q1189" i="3"/>
  <c r="L1189" i="3"/>
  <c r="K1189" i="3"/>
  <c r="Q1188" i="3"/>
  <c r="L1188" i="3"/>
  <c r="K1188" i="3"/>
  <c r="Q1187" i="3"/>
  <c r="L1187" i="3"/>
  <c r="K1187" i="3"/>
  <c r="Q1186" i="3"/>
  <c r="L1186" i="3"/>
  <c r="K1186" i="3"/>
  <c r="Q1185" i="3"/>
  <c r="L1185" i="3"/>
  <c r="K1185" i="3"/>
  <c r="Q1184" i="3"/>
  <c r="L1184" i="3"/>
  <c r="K1184" i="3"/>
  <c r="Q1183" i="3"/>
  <c r="L1183" i="3"/>
  <c r="K1183" i="3"/>
  <c r="Q1182" i="3"/>
  <c r="L1182" i="3"/>
  <c r="K1182" i="3"/>
  <c r="Q1181" i="3"/>
  <c r="L1181" i="3"/>
  <c r="K1181" i="3"/>
  <c r="Q1180" i="3"/>
  <c r="L1180" i="3"/>
  <c r="K1180" i="3"/>
  <c r="Q1179" i="3"/>
  <c r="L1179" i="3"/>
  <c r="K1179" i="3"/>
  <c r="Q1178" i="3"/>
  <c r="L1178" i="3"/>
  <c r="K1178" i="3"/>
  <c r="Q1177" i="3"/>
  <c r="L1177" i="3"/>
  <c r="K1177" i="3"/>
  <c r="Q1176" i="3"/>
  <c r="L1176" i="3"/>
  <c r="K1176" i="3"/>
  <c r="Q1175" i="3"/>
  <c r="L1175" i="3"/>
  <c r="K1175" i="3"/>
  <c r="Q1174" i="3"/>
  <c r="L1174" i="3"/>
  <c r="K1174" i="3"/>
  <c r="Q1173" i="3"/>
  <c r="L1173" i="3"/>
  <c r="K1173" i="3"/>
  <c r="Q1172" i="3"/>
  <c r="L1172" i="3"/>
  <c r="K1172" i="3"/>
  <c r="Q1171" i="3"/>
  <c r="L1171" i="3"/>
  <c r="K1171" i="3"/>
  <c r="Q1170" i="3"/>
  <c r="L1170" i="3"/>
  <c r="K1170" i="3"/>
  <c r="Q1169" i="3"/>
  <c r="L1169" i="3"/>
  <c r="K1169" i="3"/>
  <c r="Q1168" i="3"/>
  <c r="L1168" i="3"/>
  <c r="K1168" i="3"/>
  <c r="Q1167" i="3"/>
  <c r="L1167" i="3"/>
  <c r="K1167" i="3"/>
  <c r="Q1166" i="3"/>
  <c r="L1166" i="3"/>
  <c r="K1166" i="3"/>
  <c r="Q1165" i="3"/>
  <c r="L1165" i="3"/>
  <c r="K1165" i="3"/>
  <c r="Q1164" i="3"/>
  <c r="L1164" i="3"/>
  <c r="K1164" i="3"/>
  <c r="Q1163" i="3"/>
  <c r="L1163" i="3"/>
  <c r="K1163" i="3"/>
  <c r="Q1162" i="3"/>
  <c r="L1162" i="3"/>
  <c r="K1162" i="3"/>
  <c r="Q1161" i="3"/>
  <c r="L1161" i="3"/>
  <c r="K1161" i="3"/>
  <c r="Q1160" i="3"/>
  <c r="L1160" i="3"/>
  <c r="K1160" i="3"/>
  <c r="Q1159" i="3"/>
  <c r="L1159" i="3"/>
  <c r="K1159" i="3"/>
  <c r="Q1158" i="3"/>
  <c r="L1158" i="3"/>
  <c r="K1158" i="3"/>
  <c r="Q1157" i="3"/>
  <c r="L1157" i="3"/>
  <c r="K1157" i="3"/>
  <c r="Q1156" i="3"/>
  <c r="L1156" i="3"/>
  <c r="K1156" i="3"/>
  <c r="Q1155" i="3"/>
  <c r="L1155" i="3"/>
  <c r="K1155" i="3"/>
  <c r="Q1154" i="3"/>
  <c r="L1154" i="3"/>
  <c r="K1154" i="3"/>
  <c r="Q1153" i="3"/>
  <c r="L1153" i="3"/>
  <c r="K1153" i="3"/>
  <c r="Q1152" i="3"/>
  <c r="L1152" i="3"/>
  <c r="K1152" i="3"/>
  <c r="Q1151" i="3"/>
  <c r="L1151" i="3"/>
  <c r="K1151" i="3"/>
  <c r="Q1150" i="3"/>
  <c r="L1150" i="3"/>
  <c r="K1150" i="3"/>
  <c r="Q1149" i="3"/>
  <c r="L1149" i="3"/>
  <c r="K1149" i="3"/>
  <c r="Q1148" i="3"/>
  <c r="L1148" i="3"/>
  <c r="K1148" i="3"/>
  <c r="Q1147" i="3"/>
  <c r="L1147" i="3"/>
  <c r="K1147" i="3"/>
  <c r="Q1146" i="3"/>
  <c r="L1146" i="3"/>
  <c r="K1146" i="3"/>
  <c r="Q1145" i="3"/>
  <c r="L1145" i="3"/>
  <c r="K1145" i="3"/>
  <c r="Q1144" i="3"/>
  <c r="L1144" i="3"/>
  <c r="K1144" i="3"/>
  <c r="Q1143" i="3"/>
  <c r="L1143" i="3"/>
  <c r="K1143" i="3"/>
  <c r="Q1142" i="3"/>
  <c r="L1142" i="3"/>
  <c r="K1142" i="3"/>
  <c r="Q1141" i="3"/>
  <c r="L1141" i="3"/>
  <c r="K1141" i="3"/>
  <c r="Q1140" i="3"/>
  <c r="L1140" i="3"/>
  <c r="K1140" i="3"/>
  <c r="Q1139" i="3"/>
  <c r="L1139" i="3"/>
  <c r="K1139" i="3"/>
  <c r="Q1138" i="3"/>
  <c r="L1138" i="3"/>
  <c r="K1138" i="3"/>
  <c r="Q1137" i="3"/>
  <c r="L1137" i="3"/>
  <c r="K1137" i="3"/>
  <c r="Q1136" i="3"/>
  <c r="L1136" i="3"/>
  <c r="K1136" i="3"/>
  <c r="Q1135" i="3"/>
  <c r="L1135" i="3"/>
  <c r="K1135" i="3"/>
  <c r="Q1134" i="3"/>
  <c r="L1134" i="3"/>
  <c r="K1134" i="3"/>
  <c r="Q1133" i="3"/>
  <c r="L1133" i="3"/>
  <c r="K1133" i="3"/>
  <c r="Q1132" i="3"/>
  <c r="L1132" i="3"/>
  <c r="K1132" i="3"/>
  <c r="Q1131" i="3"/>
  <c r="L1131" i="3"/>
  <c r="K1131" i="3"/>
  <c r="Q1130" i="3"/>
  <c r="L1130" i="3"/>
  <c r="K1130" i="3"/>
  <c r="Q1129" i="3"/>
  <c r="L1129" i="3"/>
  <c r="K1129" i="3"/>
  <c r="Q1128" i="3"/>
  <c r="L1128" i="3"/>
  <c r="K1128" i="3"/>
  <c r="Q1127" i="3"/>
  <c r="L1127" i="3"/>
  <c r="K1127" i="3"/>
  <c r="Q1126" i="3"/>
  <c r="L1126" i="3"/>
  <c r="K1126" i="3"/>
  <c r="Q1125" i="3"/>
  <c r="L1125" i="3"/>
  <c r="K1125" i="3"/>
  <c r="Q1124" i="3"/>
  <c r="L1124" i="3"/>
  <c r="K1124" i="3"/>
  <c r="Q1123" i="3"/>
  <c r="L1123" i="3"/>
  <c r="K1123" i="3"/>
  <c r="Q1122" i="3"/>
  <c r="L1122" i="3"/>
  <c r="K1122" i="3"/>
  <c r="Q1121" i="3"/>
  <c r="L1121" i="3"/>
  <c r="K1121" i="3"/>
  <c r="Q1120" i="3"/>
  <c r="L1120" i="3"/>
  <c r="K1120" i="3"/>
  <c r="Q1119" i="3"/>
  <c r="L1119" i="3"/>
  <c r="K1119" i="3"/>
  <c r="Q1118" i="3"/>
  <c r="L1118" i="3"/>
  <c r="K1118" i="3"/>
  <c r="Q1117" i="3"/>
  <c r="L1117" i="3"/>
  <c r="K1117" i="3"/>
  <c r="Q1116" i="3"/>
  <c r="L1116" i="3"/>
  <c r="K1116" i="3"/>
  <c r="Q1115" i="3"/>
  <c r="L1115" i="3"/>
  <c r="K1115" i="3"/>
  <c r="Q1114" i="3"/>
  <c r="L1114" i="3"/>
  <c r="K1114" i="3"/>
  <c r="Q1113" i="3"/>
  <c r="L1113" i="3"/>
  <c r="K1113" i="3"/>
  <c r="Q1112" i="3"/>
  <c r="L1112" i="3"/>
  <c r="K1112" i="3"/>
  <c r="Q1111" i="3"/>
  <c r="L1111" i="3"/>
  <c r="K1111" i="3"/>
  <c r="Q1110" i="3"/>
  <c r="L1110" i="3"/>
  <c r="K1110" i="3"/>
  <c r="Q1109" i="3"/>
  <c r="L1109" i="3"/>
  <c r="K1109" i="3"/>
  <c r="Q1108" i="3"/>
  <c r="L1108" i="3"/>
  <c r="K1108" i="3"/>
  <c r="Q1107" i="3"/>
  <c r="L1107" i="3"/>
  <c r="K1107" i="3"/>
  <c r="Q1106" i="3"/>
  <c r="L1106" i="3"/>
  <c r="K1106" i="3"/>
  <c r="Q1105" i="3"/>
  <c r="L1105" i="3"/>
  <c r="K1105" i="3"/>
  <c r="Q1104" i="3"/>
  <c r="L1104" i="3"/>
  <c r="K1104" i="3"/>
  <c r="Q1103" i="3"/>
  <c r="L1103" i="3"/>
  <c r="K1103" i="3"/>
  <c r="Q1102" i="3"/>
  <c r="L1102" i="3"/>
  <c r="K1102" i="3"/>
  <c r="Q1101" i="3"/>
  <c r="L1101" i="3"/>
  <c r="K1101" i="3"/>
  <c r="Q1100" i="3"/>
  <c r="L1100" i="3"/>
  <c r="K1100" i="3"/>
  <c r="Q1099" i="3"/>
  <c r="L1099" i="3"/>
  <c r="K1099" i="3"/>
  <c r="Q1098" i="3"/>
  <c r="L1098" i="3"/>
  <c r="K1098" i="3"/>
  <c r="Q1097" i="3"/>
  <c r="L1097" i="3"/>
  <c r="K1097" i="3"/>
  <c r="Q1096" i="3"/>
  <c r="L1096" i="3"/>
  <c r="K1096" i="3"/>
  <c r="Q1095" i="3"/>
  <c r="L1095" i="3"/>
  <c r="K1095" i="3"/>
  <c r="Q1094" i="3"/>
  <c r="L1094" i="3"/>
  <c r="K1094" i="3"/>
  <c r="Q1093" i="3"/>
  <c r="L1093" i="3"/>
  <c r="K1093" i="3"/>
  <c r="Q1092" i="3"/>
  <c r="L1092" i="3"/>
  <c r="K1092" i="3"/>
  <c r="Q1091" i="3"/>
  <c r="L1091" i="3"/>
  <c r="K1091" i="3"/>
  <c r="Q1090" i="3"/>
  <c r="L1090" i="3"/>
  <c r="K1090" i="3"/>
  <c r="Q1089" i="3"/>
  <c r="L1089" i="3"/>
  <c r="K1089" i="3"/>
  <c r="Q1088" i="3"/>
  <c r="L1088" i="3"/>
  <c r="K1088" i="3"/>
  <c r="Q1087" i="3"/>
  <c r="L1087" i="3"/>
  <c r="K1087" i="3"/>
  <c r="Q1086" i="3"/>
  <c r="L1086" i="3"/>
  <c r="K1086" i="3"/>
  <c r="Q1085" i="3"/>
  <c r="L1085" i="3"/>
  <c r="K1085" i="3"/>
  <c r="Q1084" i="3"/>
  <c r="L1084" i="3"/>
  <c r="K1084" i="3"/>
  <c r="Q1083" i="3"/>
  <c r="L1083" i="3"/>
  <c r="K1083" i="3"/>
  <c r="Q1082" i="3"/>
  <c r="L1082" i="3"/>
  <c r="K1082" i="3"/>
  <c r="Q1081" i="3"/>
  <c r="L1081" i="3"/>
  <c r="K1081" i="3"/>
  <c r="Q1080" i="3"/>
  <c r="L1080" i="3"/>
  <c r="K1080" i="3"/>
  <c r="Q1079" i="3"/>
  <c r="L1079" i="3"/>
  <c r="K1079" i="3"/>
  <c r="Q1078" i="3"/>
  <c r="L1078" i="3"/>
  <c r="K1078" i="3"/>
  <c r="Q1077" i="3"/>
  <c r="L1077" i="3"/>
  <c r="K1077" i="3"/>
  <c r="Q1076" i="3"/>
  <c r="L1076" i="3"/>
  <c r="K1076" i="3"/>
  <c r="Q1075" i="3"/>
  <c r="L1075" i="3"/>
  <c r="K1075" i="3"/>
  <c r="Q1074" i="3"/>
  <c r="L1074" i="3"/>
  <c r="K1074" i="3"/>
  <c r="Q1073" i="3"/>
  <c r="L1073" i="3"/>
  <c r="K1073" i="3"/>
  <c r="Q1072" i="3"/>
  <c r="L1072" i="3"/>
  <c r="K1072" i="3"/>
  <c r="Q1071" i="3"/>
  <c r="L1071" i="3"/>
  <c r="K1071" i="3"/>
  <c r="Q1070" i="3"/>
  <c r="L1070" i="3"/>
  <c r="K1070" i="3"/>
  <c r="Q1069" i="3"/>
  <c r="L1069" i="3"/>
  <c r="K1069" i="3"/>
  <c r="Q1068" i="3"/>
  <c r="L1068" i="3"/>
  <c r="K1068" i="3"/>
  <c r="Q1067" i="3"/>
  <c r="L1067" i="3"/>
  <c r="K1067" i="3"/>
  <c r="Q1066" i="3"/>
  <c r="L1066" i="3"/>
  <c r="K1066" i="3"/>
  <c r="Q1065" i="3"/>
  <c r="L1065" i="3"/>
  <c r="K1065" i="3"/>
  <c r="Q1064" i="3"/>
  <c r="L1064" i="3"/>
  <c r="K1064" i="3"/>
  <c r="Q1063" i="3"/>
  <c r="L1063" i="3"/>
  <c r="K1063" i="3"/>
  <c r="Q1062" i="3"/>
  <c r="L1062" i="3"/>
  <c r="K1062" i="3"/>
  <c r="Q1061" i="3"/>
  <c r="L1061" i="3"/>
  <c r="K1061" i="3"/>
  <c r="Q1060" i="3"/>
  <c r="L1060" i="3"/>
  <c r="K1060" i="3"/>
  <c r="Q1059" i="3"/>
  <c r="L1059" i="3"/>
  <c r="K1059" i="3"/>
  <c r="Q1058" i="3"/>
  <c r="L1058" i="3"/>
  <c r="K1058" i="3"/>
  <c r="Q1057" i="3"/>
  <c r="L1057" i="3"/>
  <c r="K1057" i="3"/>
  <c r="Q1056" i="3"/>
  <c r="L1056" i="3"/>
  <c r="K1056" i="3"/>
  <c r="Q1055" i="3"/>
  <c r="L1055" i="3"/>
  <c r="K1055" i="3"/>
  <c r="Q1054" i="3"/>
  <c r="L1054" i="3"/>
  <c r="K1054" i="3"/>
  <c r="Q1053" i="3"/>
  <c r="L1053" i="3"/>
  <c r="K1053" i="3"/>
  <c r="Q1052" i="3"/>
  <c r="L1052" i="3"/>
  <c r="K1052" i="3"/>
  <c r="Q1051" i="3"/>
  <c r="L1051" i="3"/>
  <c r="K1051" i="3"/>
  <c r="Q1050" i="3"/>
  <c r="L1050" i="3"/>
  <c r="K1050" i="3"/>
  <c r="Q1049" i="3"/>
  <c r="L1049" i="3"/>
  <c r="K1049" i="3"/>
  <c r="Q1048" i="3"/>
  <c r="L1048" i="3"/>
  <c r="K1048" i="3"/>
  <c r="Q1047" i="3"/>
  <c r="L1047" i="3"/>
  <c r="K1047" i="3"/>
  <c r="Q1046" i="3"/>
  <c r="L1046" i="3"/>
  <c r="K1046" i="3"/>
  <c r="Q1045" i="3"/>
  <c r="L1045" i="3"/>
  <c r="K1045" i="3"/>
  <c r="Q1044" i="3"/>
  <c r="L1044" i="3"/>
  <c r="K1044" i="3"/>
  <c r="Q1043" i="3"/>
  <c r="L1043" i="3"/>
  <c r="K1043" i="3"/>
  <c r="Q1042" i="3"/>
  <c r="L1042" i="3"/>
  <c r="K1042" i="3"/>
  <c r="Q1041" i="3"/>
  <c r="L1041" i="3"/>
  <c r="K1041" i="3"/>
  <c r="Q1040" i="3"/>
  <c r="L1040" i="3"/>
  <c r="K1040" i="3"/>
  <c r="Q1039" i="3"/>
  <c r="L1039" i="3"/>
  <c r="K1039" i="3"/>
  <c r="Q1038" i="3"/>
  <c r="L1038" i="3"/>
  <c r="K1038" i="3"/>
  <c r="Q1037" i="3"/>
  <c r="L1037" i="3"/>
  <c r="K1037" i="3"/>
  <c r="Q1036" i="3"/>
  <c r="L1036" i="3"/>
  <c r="K1036" i="3"/>
  <c r="Q1035" i="3"/>
  <c r="L1035" i="3"/>
  <c r="K1035" i="3"/>
  <c r="Q1034" i="3"/>
  <c r="L1034" i="3"/>
  <c r="K1034" i="3"/>
  <c r="Q1033" i="3"/>
  <c r="L1033" i="3"/>
  <c r="K1033" i="3"/>
  <c r="Q1032" i="3"/>
  <c r="L1032" i="3"/>
  <c r="K1032" i="3"/>
  <c r="Q1031" i="3"/>
  <c r="L1031" i="3"/>
  <c r="K1031" i="3"/>
  <c r="Q1030" i="3"/>
  <c r="L1030" i="3"/>
  <c r="K1030" i="3"/>
  <c r="Q1029" i="3"/>
  <c r="L1029" i="3"/>
  <c r="K1029" i="3"/>
  <c r="Q1028" i="3"/>
  <c r="L1028" i="3"/>
  <c r="K1028" i="3"/>
  <c r="Q1027" i="3"/>
  <c r="L1027" i="3"/>
  <c r="K1027" i="3"/>
  <c r="Q1026" i="3"/>
  <c r="L1026" i="3"/>
  <c r="K1026" i="3"/>
  <c r="Q1025" i="3"/>
  <c r="L1025" i="3"/>
  <c r="K1025" i="3"/>
  <c r="Q1024" i="3"/>
  <c r="L1024" i="3"/>
  <c r="K1024" i="3"/>
  <c r="Q1023" i="3"/>
  <c r="L1023" i="3"/>
  <c r="K1023" i="3"/>
  <c r="Q1022" i="3"/>
  <c r="L1022" i="3"/>
  <c r="K1022" i="3"/>
  <c r="Q1021" i="3"/>
  <c r="L1021" i="3"/>
  <c r="K1021" i="3"/>
  <c r="Q1020" i="3"/>
  <c r="L1020" i="3"/>
  <c r="K1020" i="3"/>
  <c r="Q1019" i="3"/>
  <c r="L1019" i="3"/>
  <c r="K1019" i="3"/>
  <c r="Q1018" i="3"/>
  <c r="L1018" i="3"/>
  <c r="K1018" i="3"/>
  <c r="Q1017" i="3"/>
  <c r="L1017" i="3"/>
  <c r="K1017" i="3"/>
  <c r="Q1016" i="3"/>
  <c r="L1016" i="3"/>
  <c r="K1016" i="3"/>
  <c r="Q1015" i="3"/>
  <c r="L1015" i="3"/>
  <c r="K1015" i="3"/>
  <c r="Q1014" i="3"/>
  <c r="L1014" i="3"/>
  <c r="K1014" i="3"/>
  <c r="Q1013" i="3"/>
  <c r="L1013" i="3"/>
  <c r="K1013" i="3"/>
  <c r="Q1012" i="3"/>
  <c r="L1012" i="3"/>
  <c r="K1012" i="3"/>
  <c r="Q1011" i="3"/>
  <c r="L1011" i="3"/>
  <c r="K1011" i="3"/>
  <c r="Q1010" i="3"/>
  <c r="L1010" i="3"/>
  <c r="K1010" i="3"/>
  <c r="Q1009" i="3"/>
  <c r="L1009" i="3"/>
  <c r="K1009" i="3"/>
  <c r="Q1008" i="3"/>
  <c r="L1008" i="3"/>
  <c r="K1008" i="3"/>
  <c r="Q1007" i="3"/>
  <c r="L1007" i="3"/>
  <c r="K1007" i="3"/>
  <c r="Q1006" i="3"/>
  <c r="L1006" i="3"/>
  <c r="K1006" i="3"/>
  <c r="Q1005" i="3"/>
  <c r="L1005" i="3"/>
  <c r="K1005" i="3"/>
  <c r="Q1004" i="3"/>
  <c r="L1004" i="3"/>
  <c r="K1004" i="3"/>
  <c r="Q1003" i="3"/>
  <c r="L1003" i="3"/>
  <c r="K1003" i="3"/>
  <c r="Q1002" i="3"/>
  <c r="L1002" i="3"/>
  <c r="K1002" i="3"/>
  <c r="Q1001" i="3"/>
  <c r="L1001" i="3"/>
  <c r="K1001" i="3"/>
  <c r="Q1000" i="3"/>
  <c r="L1000" i="3"/>
  <c r="K1000" i="3"/>
  <c r="Q999" i="3"/>
  <c r="L999" i="3"/>
  <c r="K999" i="3"/>
  <c r="Q998" i="3"/>
  <c r="L998" i="3"/>
  <c r="K998" i="3"/>
  <c r="Q997" i="3"/>
  <c r="L997" i="3"/>
  <c r="K997" i="3"/>
  <c r="Q996" i="3"/>
  <c r="L996" i="3"/>
  <c r="K996" i="3"/>
  <c r="Q995" i="3"/>
  <c r="L995" i="3"/>
  <c r="K995" i="3"/>
  <c r="Q994" i="3"/>
  <c r="L994" i="3"/>
  <c r="K994" i="3"/>
  <c r="Q993" i="3"/>
  <c r="L993" i="3"/>
  <c r="K993" i="3"/>
  <c r="Q992" i="3"/>
  <c r="L992" i="3"/>
  <c r="K992" i="3"/>
  <c r="Q991" i="3"/>
  <c r="L991" i="3"/>
  <c r="K991" i="3"/>
  <c r="Q990" i="3"/>
  <c r="L990" i="3"/>
  <c r="K990" i="3"/>
  <c r="Q989" i="3"/>
  <c r="L989" i="3"/>
  <c r="K989" i="3"/>
  <c r="Q988" i="3"/>
  <c r="L988" i="3"/>
  <c r="K988" i="3"/>
  <c r="Q987" i="3"/>
  <c r="L987" i="3"/>
  <c r="K987" i="3"/>
  <c r="Q986" i="3"/>
  <c r="L986" i="3"/>
  <c r="K986" i="3"/>
  <c r="Q985" i="3"/>
  <c r="L985" i="3"/>
  <c r="K985" i="3"/>
  <c r="Q984" i="3"/>
  <c r="L984" i="3"/>
  <c r="K984" i="3"/>
  <c r="Q983" i="3"/>
  <c r="L983" i="3"/>
  <c r="K983" i="3"/>
  <c r="Q982" i="3"/>
  <c r="L982" i="3"/>
  <c r="K982" i="3"/>
  <c r="Q981" i="3"/>
  <c r="L981" i="3"/>
  <c r="K981" i="3"/>
  <c r="Q980" i="3"/>
  <c r="L980" i="3"/>
  <c r="K980" i="3"/>
  <c r="Q979" i="3"/>
  <c r="L979" i="3"/>
  <c r="K979" i="3"/>
  <c r="Q978" i="3"/>
  <c r="L978" i="3"/>
  <c r="K978" i="3"/>
  <c r="Q977" i="3"/>
  <c r="L977" i="3"/>
  <c r="K977" i="3"/>
  <c r="Q976" i="3"/>
  <c r="L976" i="3"/>
  <c r="K976" i="3"/>
  <c r="Q975" i="3"/>
  <c r="L975" i="3"/>
  <c r="K975" i="3"/>
  <c r="Q974" i="3"/>
  <c r="L974" i="3"/>
  <c r="K974" i="3"/>
  <c r="Q973" i="3"/>
  <c r="L973" i="3"/>
  <c r="K973" i="3"/>
  <c r="Q972" i="3"/>
  <c r="L972" i="3"/>
  <c r="K972" i="3"/>
  <c r="Q971" i="3"/>
  <c r="L971" i="3"/>
  <c r="K971" i="3"/>
  <c r="Q970" i="3"/>
  <c r="L970" i="3"/>
  <c r="K970" i="3"/>
  <c r="Q969" i="3"/>
  <c r="L969" i="3"/>
  <c r="K969" i="3"/>
  <c r="Q968" i="3"/>
  <c r="L968" i="3"/>
  <c r="K968" i="3"/>
  <c r="Q967" i="3"/>
  <c r="L967" i="3"/>
  <c r="K967" i="3"/>
  <c r="Q966" i="3"/>
  <c r="L966" i="3"/>
  <c r="K966" i="3"/>
  <c r="Q965" i="3"/>
  <c r="L965" i="3"/>
  <c r="K965" i="3"/>
  <c r="Q964" i="3"/>
  <c r="L964" i="3"/>
  <c r="K964" i="3"/>
  <c r="Q963" i="3"/>
  <c r="L963" i="3"/>
  <c r="K963" i="3"/>
  <c r="Q962" i="3"/>
  <c r="L962" i="3"/>
  <c r="K962" i="3"/>
  <c r="Q961" i="3"/>
  <c r="L961" i="3"/>
  <c r="K961" i="3"/>
  <c r="Q960" i="3"/>
  <c r="L960" i="3"/>
  <c r="K960" i="3"/>
  <c r="Q959" i="3"/>
  <c r="L959" i="3"/>
  <c r="K959" i="3"/>
  <c r="Q958" i="3"/>
  <c r="L958" i="3"/>
  <c r="K958" i="3"/>
  <c r="Q957" i="3"/>
  <c r="L957" i="3"/>
  <c r="K957" i="3"/>
  <c r="Q956" i="3"/>
  <c r="L956" i="3"/>
  <c r="K956" i="3"/>
  <c r="Q955" i="3"/>
  <c r="L955" i="3"/>
  <c r="K955" i="3"/>
  <c r="Q954" i="3"/>
  <c r="L954" i="3"/>
  <c r="K954" i="3"/>
  <c r="Q953" i="3"/>
  <c r="L953" i="3"/>
  <c r="K953" i="3"/>
  <c r="Q952" i="3"/>
  <c r="L952" i="3"/>
  <c r="K952" i="3"/>
  <c r="Q951" i="3"/>
  <c r="L951" i="3"/>
  <c r="K951" i="3"/>
  <c r="Q950" i="3"/>
  <c r="L950" i="3"/>
  <c r="K950" i="3"/>
  <c r="Q949" i="3"/>
  <c r="L949" i="3"/>
  <c r="K949" i="3"/>
  <c r="Q948" i="3"/>
  <c r="L948" i="3"/>
  <c r="K948" i="3"/>
  <c r="Q947" i="3"/>
  <c r="L947" i="3"/>
  <c r="K947" i="3"/>
  <c r="Q946" i="3"/>
  <c r="L946" i="3"/>
  <c r="K946" i="3"/>
  <c r="Q945" i="3"/>
  <c r="L945" i="3"/>
  <c r="K945" i="3"/>
  <c r="Q944" i="3"/>
  <c r="L944" i="3"/>
  <c r="K944" i="3"/>
  <c r="Q943" i="3"/>
  <c r="L943" i="3"/>
  <c r="K943" i="3"/>
  <c r="Q942" i="3"/>
  <c r="L942" i="3"/>
  <c r="K942" i="3"/>
  <c r="Q941" i="3"/>
  <c r="L941" i="3"/>
  <c r="K941" i="3"/>
  <c r="Q940" i="3"/>
  <c r="L940" i="3"/>
  <c r="K940" i="3"/>
  <c r="Q939" i="3"/>
  <c r="L939" i="3"/>
  <c r="K939" i="3"/>
  <c r="Q938" i="3"/>
  <c r="L938" i="3"/>
  <c r="K938" i="3"/>
  <c r="Q937" i="3"/>
  <c r="L937" i="3"/>
  <c r="K937" i="3"/>
  <c r="Q936" i="3"/>
  <c r="L936" i="3"/>
  <c r="K936" i="3"/>
  <c r="Q935" i="3"/>
  <c r="L935" i="3"/>
  <c r="K935" i="3"/>
  <c r="Q934" i="3"/>
  <c r="L934" i="3"/>
  <c r="K934" i="3"/>
  <c r="Q933" i="3"/>
  <c r="L933" i="3"/>
  <c r="K933" i="3"/>
  <c r="Q932" i="3"/>
  <c r="L932" i="3"/>
  <c r="K932" i="3"/>
  <c r="Q931" i="3"/>
  <c r="L931" i="3"/>
  <c r="K931" i="3"/>
  <c r="Q930" i="3"/>
  <c r="L930" i="3"/>
  <c r="K930" i="3"/>
  <c r="Q929" i="3"/>
  <c r="L929" i="3"/>
  <c r="K929" i="3"/>
  <c r="Q928" i="3"/>
  <c r="L928" i="3"/>
  <c r="K928" i="3"/>
  <c r="Q927" i="3"/>
  <c r="L927" i="3"/>
  <c r="K927" i="3"/>
  <c r="Q926" i="3"/>
  <c r="L926" i="3"/>
  <c r="K926" i="3"/>
  <c r="Q925" i="3"/>
  <c r="L925" i="3"/>
  <c r="K925" i="3"/>
  <c r="Q924" i="3"/>
  <c r="L924" i="3"/>
  <c r="K924" i="3"/>
  <c r="Q923" i="3"/>
  <c r="L923" i="3"/>
  <c r="K923" i="3"/>
  <c r="Q922" i="3"/>
  <c r="L922" i="3"/>
  <c r="K922" i="3"/>
  <c r="Q921" i="3"/>
  <c r="L921" i="3"/>
  <c r="K921" i="3"/>
  <c r="Q920" i="3"/>
  <c r="L920" i="3"/>
  <c r="K920" i="3"/>
  <c r="Q919" i="3"/>
  <c r="L919" i="3"/>
  <c r="K919" i="3"/>
  <c r="Q918" i="3"/>
  <c r="L918" i="3"/>
  <c r="K918" i="3"/>
  <c r="Q917" i="3"/>
  <c r="L917" i="3"/>
  <c r="K917" i="3"/>
  <c r="Q916" i="3"/>
  <c r="L916" i="3"/>
  <c r="K916" i="3"/>
  <c r="Q915" i="3"/>
  <c r="L915" i="3"/>
  <c r="K915" i="3"/>
  <c r="Q914" i="3"/>
  <c r="L914" i="3"/>
  <c r="K914" i="3"/>
  <c r="Q913" i="3"/>
  <c r="L913" i="3"/>
  <c r="K913" i="3"/>
  <c r="Q912" i="3"/>
  <c r="L912" i="3"/>
  <c r="K912" i="3"/>
  <c r="Q911" i="3"/>
  <c r="L911" i="3"/>
  <c r="K911" i="3"/>
  <c r="Q910" i="3"/>
  <c r="L910" i="3"/>
  <c r="K910" i="3"/>
  <c r="Q909" i="3"/>
  <c r="L909" i="3"/>
  <c r="K909" i="3"/>
  <c r="Q908" i="3"/>
  <c r="L908" i="3"/>
  <c r="K908" i="3"/>
  <c r="Q907" i="3"/>
  <c r="L907" i="3"/>
  <c r="K907" i="3"/>
  <c r="Q906" i="3"/>
  <c r="L906" i="3"/>
  <c r="K906" i="3"/>
  <c r="Q905" i="3"/>
  <c r="L905" i="3"/>
  <c r="K905" i="3"/>
  <c r="Q904" i="3"/>
  <c r="L904" i="3"/>
  <c r="K904" i="3"/>
  <c r="Q903" i="3"/>
  <c r="L903" i="3"/>
  <c r="K903" i="3"/>
  <c r="Q902" i="3"/>
  <c r="L902" i="3"/>
  <c r="K902" i="3"/>
  <c r="Q901" i="3"/>
  <c r="L901" i="3"/>
  <c r="K901" i="3"/>
  <c r="Q900" i="3"/>
  <c r="L900" i="3"/>
  <c r="K900" i="3"/>
  <c r="Q899" i="3"/>
  <c r="L899" i="3"/>
  <c r="K899" i="3"/>
  <c r="Q898" i="3"/>
  <c r="L898" i="3"/>
  <c r="K898" i="3"/>
  <c r="Q897" i="3"/>
  <c r="L897" i="3"/>
  <c r="K897" i="3"/>
  <c r="Q896" i="3"/>
  <c r="L896" i="3"/>
  <c r="K896" i="3"/>
  <c r="Q895" i="3"/>
  <c r="L895" i="3"/>
  <c r="K895" i="3"/>
  <c r="Q894" i="3"/>
  <c r="L894" i="3"/>
  <c r="K894" i="3"/>
  <c r="Q893" i="3"/>
  <c r="L893" i="3"/>
  <c r="K893" i="3"/>
  <c r="Q892" i="3"/>
  <c r="L892" i="3"/>
  <c r="K892" i="3"/>
  <c r="Q891" i="3"/>
  <c r="L891" i="3"/>
  <c r="K891" i="3"/>
  <c r="Q890" i="3"/>
  <c r="L890" i="3"/>
  <c r="K890" i="3"/>
  <c r="Q889" i="3"/>
  <c r="L889" i="3"/>
  <c r="K889" i="3"/>
  <c r="Q888" i="3"/>
  <c r="L888" i="3"/>
  <c r="K888" i="3"/>
  <c r="Q887" i="3"/>
  <c r="L887" i="3"/>
  <c r="K887" i="3"/>
  <c r="Q886" i="3"/>
  <c r="L886" i="3"/>
  <c r="K886" i="3"/>
  <c r="Q885" i="3"/>
  <c r="L885" i="3"/>
  <c r="K885" i="3"/>
  <c r="Q884" i="3"/>
  <c r="L884" i="3"/>
  <c r="K884" i="3"/>
  <c r="Q883" i="3"/>
  <c r="L883" i="3"/>
  <c r="K883" i="3"/>
  <c r="Q882" i="3"/>
  <c r="L882" i="3"/>
  <c r="K882" i="3"/>
  <c r="Q881" i="3"/>
  <c r="L881" i="3"/>
  <c r="K881" i="3"/>
  <c r="Q880" i="3"/>
  <c r="L880" i="3"/>
  <c r="K880" i="3"/>
  <c r="Q879" i="3"/>
  <c r="L879" i="3"/>
  <c r="K879" i="3"/>
  <c r="Q878" i="3"/>
  <c r="L878" i="3"/>
  <c r="K878" i="3"/>
  <c r="Q877" i="3"/>
  <c r="L877" i="3"/>
  <c r="K877" i="3"/>
  <c r="Q876" i="3"/>
  <c r="L876" i="3"/>
  <c r="K876" i="3"/>
  <c r="Q875" i="3"/>
  <c r="L875" i="3"/>
  <c r="K875" i="3"/>
  <c r="Q874" i="3"/>
  <c r="L874" i="3"/>
  <c r="K874" i="3"/>
  <c r="Q873" i="3"/>
  <c r="L873" i="3"/>
  <c r="K873" i="3"/>
  <c r="Q872" i="3"/>
  <c r="L872" i="3"/>
  <c r="K872" i="3"/>
  <c r="Q871" i="3"/>
  <c r="L871" i="3"/>
  <c r="K871" i="3"/>
  <c r="Q870" i="3"/>
  <c r="L870" i="3"/>
  <c r="K870" i="3"/>
  <c r="Q869" i="3"/>
  <c r="L869" i="3"/>
  <c r="K869" i="3"/>
  <c r="Q868" i="3"/>
  <c r="L868" i="3"/>
  <c r="K868" i="3"/>
  <c r="Q867" i="3"/>
  <c r="L867" i="3"/>
  <c r="K867" i="3"/>
  <c r="Q866" i="3"/>
  <c r="L866" i="3"/>
  <c r="K866" i="3"/>
  <c r="Q865" i="3"/>
  <c r="L865" i="3"/>
  <c r="K865" i="3"/>
  <c r="Q864" i="3"/>
  <c r="L864" i="3"/>
  <c r="K864" i="3"/>
  <c r="Q863" i="3"/>
  <c r="L863" i="3"/>
  <c r="K863" i="3"/>
  <c r="Q862" i="3"/>
  <c r="L862" i="3"/>
  <c r="K862" i="3"/>
  <c r="Q861" i="3"/>
  <c r="L861" i="3"/>
  <c r="K861" i="3"/>
  <c r="Q860" i="3"/>
  <c r="L860" i="3"/>
  <c r="K860" i="3"/>
  <c r="Q859" i="3"/>
  <c r="L859" i="3"/>
  <c r="K859" i="3"/>
  <c r="Q858" i="3"/>
  <c r="L858" i="3"/>
  <c r="K858" i="3"/>
  <c r="Q857" i="3"/>
  <c r="L857" i="3"/>
  <c r="K857" i="3"/>
  <c r="Q856" i="3"/>
  <c r="L856" i="3"/>
  <c r="K856" i="3"/>
  <c r="Q855" i="3"/>
  <c r="L855" i="3"/>
  <c r="K855" i="3"/>
  <c r="Q854" i="3"/>
  <c r="L854" i="3"/>
  <c r="K854" i="3"/>
  <c r="Q853" i="3"/>
  <c r="L853" i="3"/>
  <c r="K853" i="3"/>
  <c r="Q852" i="3"/>
  <c r="L852" i="3"/>
  <c r="K852" i="3"/>
  <c r="Q851" i="3"/>
  <c r="L851" i="3"/>
  <c r="K851" i="3"/>
  <c r="Q850" i="3"/>
  <c r="L850" i="3"/>
  <c r="K850" i="3"/>
  <c r="Q849" i="3"/>
  <c r="L849" i="3"/>
  <c r="K849" i="3"/>
  <c r="Q848" i="3"/>
  <c r="L848" i="3"/>
  <c r="K848" i="3"/>
  <c r="Q847" i="3"/>
  <c r="L847" i="3"/>
  <c r="K847" i="3"/>
  <c r="Q846" i="3"/>
  <c r="L846" i="3"/>
  <c r="K846" i="3"/>
  <c r="Q845" i="3"/>
  <c r="L845" i="3"/>
  <c r="K845" i="3"/>
  <c r="Q844" i="3"/>
  <c r="L844" i="3"/>
  <c r="K844" i="3"/>
  <c r="Q843" i="3"/>
  <c r="L843" i="3"/>
  <c r="K843" i="3"/>
  <c r="Q842" i="3"/>
  <c r="L842" i="3"/>
  <c r="K842" i="3"/>
  <c r="Q841" i="3"/>
  <c r="L841" i="3"/>
  <c r="K841" i="3"/>
  <c r="Q840" i="3"/>
  <c r="L840" i="3"/>
  <c r="K840" i="3"/>
  <c r="Q839" i="3"/>
  <c r="L839" i="3"/>
  <c r="K839" i="3"/>
  <c r="Q838" i="3"/>
  <c r="L838" i="3"/>
  <c r="K838" i="3"/>
  <c r="Q837" i="3"/>
  <c r="L837" i="3"/>
  <c r="K837" i="3"/>
  <c r="Q836" i="3"/>
  <c r="L836" i="3"/>
  <c r="K836" i="3"/>
  <c r="Q835" i="3"/>
  <c r="L835" i="3"/>
  <c r="K835" i="3"/>
  <c r="Q834" i="3"/>
  <c r="L834" i="3"/>
  <c r="K834" i="3"/>
  <c r="Q833" i="3"/>
  <c r="L833" i="3"/>
  <c r="K833" i="3"/>
  <c r="Q832" i="3"/>
  <c r="L832" i="3"/>
  <c r="K832" i="3"/>
  <c r="Q831" i="3"/>
  <c r="L831" i="3"/>
  <c r="K831" i="3"/>
  <c r="Q830" i="3"/>
  <c r="L830" i="3"/>
  <c r="K830" i="3"/>
  <c r="Q829" i="3"/>
  <c r="L829" i="3"/>
  <c r="K829" i="3"/>
  <c r="Q828" i="3"/>
  <c r="L828" i="3"/>
  <c r="K828" i="3"/>
  <c r="Q827" i="3"/>
  <c r="L827" i="3"/>
  <c r="K827" i="3"/>
  <c r="Q826" i="3"/>
  <c r="L826" i="3"/>
  <c r="K826" i="3"/>
  <c r="Q825" i="3"/>
  <c r="L825" i="3"/>
  <c r="K825" i="3"/>
  <c r="Q824" i="3"/>
  <c r="L824" i="3"/>
  <c r="K824" i="3"/>
  <c r="Q823" i="3"/>
  <c r="L823" i="3"/>
  <c r="K823" i="3"/>
  <c r="Q822" i="3"/>
  <c r="L822" i="3"/>
  <c r="K822" i="3"/>
  <c r="Q821" i="3"/>
  <c r="L821" i="3"/>
  <c r="K821" i="3"/>
  <c r="Q820" i="3"/>
  <c r="L820" i="3"/>
  <c r="K820" i="3"/>
  <c r="Q819" i="3"/>
  <c r="L819" i="3"/>
  <c r="K819" i="3"/>
  <c r="Q818" i="3"/>
  <c r="L818" i="3"/>
  <c r="K818" i="3"/>
  <c r="Q817" i="3"/>
  <c r="L817" i="3"/>
  <c r="K817" i="3"/>
  <c r="Q816" i="3"/>
  <c r="L816" i="3"/>
  <c r="K816" i="3"/>
  <c r="Q815" i="3"/>
  <c r="L815" i="3"/>
  <c r="K815" i="3"/>
  <c r="Q814" i="3"/>
  <c r="L814" i="3"/>
  <c r="K814" i="3"/>
  <c r="Q813" i="3"/>
  <c r="L813" i="3"/>
  <c r="K813" i="3"/>
  <c r="Q812" i="3"/>
  <c r="L812" i="3"/>
  <c r="K812" i="3"/>
  <c r="Q811" i="3"/>
  <c r="L811" i="3"/>
  <c r="K811" i="3"/>
  <c r="Q810" i="3"/>
  <c r="L810" i="3"/>
  <c r="K810" i="3"/>
  <c r="Q809" i="3"/>
  <c r="L809" i="3"/>
  <c r="K809" i="3"/>
  <c r="Q808" i="3"/>
  <c r="L808" i="3"/>
  <c r="K808" i="3"/>
  <c r="Q807" i="3"/>
  <c r="L807" i="3"/>
  <c r="K807" i="3"/>
  <c r="Q806" i="3"/>
  <c r="L806" i="3"/>
  <c r="K806" i="3"/>
  <c r="Q805" i="3"/>
  <c r="L805" i="3"/>
  <c r="K805" i="3"/>
  <c r="Q804" i="3"/>
  <c r="L804" i="3"/>
  <c r="K804" i="3"/>
  <c r="Q803" i="3"/>
  <c r="L803" i="3"/>
  <c r="K803" i="3"/>
  <c r="Q802" i="3"/>
  <c r="L802" i="3"/>
  <c r="K802" i="3"/>
  <c r="Q801" i="3"/>
  <c r="L801" i="3"/>
  <c r="K801" i="3"/>
  <c r="Q800" i="3"/>
  <c r="L800" i="3"/>
  <c r="K800" i="3"/>
  <c r="Q799" i="3"/>
  <c r="L799" i="3"/>
  <c r="K799" i="3"/>
  <c r="Q798" i="3"/>
  <c r="L798" i="3"/>
  <c r="K798" i="3"/>
  <c r="Q797" i="3"/>
  <c r="L797" i="3"/>
  <c r="K797" i="3"/>
  <c r="Q796" i="3"/>
  <c r="L796" i="3"/>
  <c r="K796" i="3"/>
  <c r="Q795" i="3"/>
  <c r="L795" i="3"/>
  <c r="K795" i="3"/>
  <c r="Q794" i="3"/>
  <c r="L794" i="3"/>
  <c r="K794" i="3"/>
  <c r="Q793" i="3"/>
  <c r="L793" i="3"/>
  <c r="K793" i="3"/>
  <c r="Q792" i="3"/>
  <c r="L792" i="3"/>
  <c r="K792" i="3"/>
  <c r="Q791" i="3"/>
  <c r="L791" i="3"/>
  <c r="K791" i="3"/>
  <c r="Q790" i="3"/>
  <c r="L790" i="3"/>
  <c r="K790" i="3"/>
  <c r="Q789" i="3"/>
  <c r="L789" i="3"/>
  <c r="K789" i="3"/>
  <c r="Q788" i="3"/>
  <c r="L788" i="3"/>
  <c r="K788" i="3"/>
  <c r="Q787" i="3"/>
  <c r="L787" i="3"/>
  <c r="K787" i="3"/>
  <c r="Q786" i="3"/>
  <c r="L786" i="3"/>
  <c r="K786" i="3"/>
  <c r="Q785" i="3"/>
  <c r="L785" i="3"/>
  <c r="K785" i="3"/>
  <c r="Q784" i="3"/>
  <c r="L784" i="3"/>
  <c r="K784" i="3"/>
  <c r="Q783" i="3"/>
  <c r="L783" i="3"/>
  <c r="K783" i="3"/>
  <c r="Q782" i="3"/>
  <c r="L782" i="3"/>
  <c r="K782" i="3"/>
  <c r="Q781" i="3"/>
  <c r="L781" i="3"/>
  <c r="K781" i="3"/>
  <c r="Q780" i="3"/>
  <c r="L780" i="3"/>
  <c r="K780" i="3"/>
  <c r="Q779" i="3"/>
  <c r="L779" i="3"/>
  <c r="K779" i="3"/>
  <c r="Q778" i="3"/>
  <c r="L778" i="3"/>
  <c r="K778" i="3"/>
  <c r="Q777" i="3"/>
  <c r="L777" i="3"/>
  <c r="K777" i="3"/>
  <c r="Q776" i="3"/>
  <c r="L776" i="3"/>
  <c r="K776" i="3"/>
  <c r="Q775" i="3"/>
  <c r="L775" i="3"/>
  <c r="K775" i="3"/>
  <c r="Q774" i="3"/>
  <c r="L774" i="3"/>
  <c r="K774" i="3"/>
  <c r="Q773" i="3"/>
  <c r="L773" i="3"/>
  <c r="K773" i="3"/>
  <c r="Q772" i="3"/>
  <c r="L772" i="3"/>
  <c r="K772" i="3"/>
  <c r="Q771" i="3"/>
  <c r="L771" i="3"/>
  <c r="K771" i="3"/>
  <c r="Q770" i="3"/>
  <c r="L770" i="3"/>
  <c r="K770" i="3"/>
  <c r="Q769" i="3"/>
  <c r="L769" i="3"/>
  <c r="K769" i="3"/>
  <c r="Q768" i="3"/>
  <c r="L768" i="3"/>
  <c r="K768" i="3"/>
  <c r="Q767" i="3"/>
  <c r="L767" i="3"/>
  <c r="K767" i="3"/>
  <c r="Q766" i="3"/>
  <c r="L766" i="3"/>
  <c r="K766" i="3"/>
  <c r="Q765" i="3"/>
  <c r="L765" i="3"/>
  <c r="K765" i="3"/>
  <c r="Q764" i="3"/>
  <c r="L764" i="3"/>
  <c r="K764" i="3"/>
  <c r="Q763" i="3"/>
  <c r="L763" i="3"/>
  <c r="K763" i="3"/>
  <c r="Q762" i="3"/>
  <c r="L762" i="3"/>
  <c r="K762" i="3"/>
  <c r="Q761" i="3"/>
  <c r="L761" i="3"/>
  <c r="K761" i="3"/>
  <c r="Q760" i="3"/>
  <c r="L760" i="3"/>
  <c r="K760" i="3"/>
  <c r="Q759" i="3"/>
  <c r="L759" i="3"/>
  <c r="K759" i="3"/>
  <c r="Q758" i="3"/>
  <c r="L758" i="3"/>
  <c r="K758" i="3"/>
  <c r="Q757" i="3"/>
  <c r="L757" i="3"/>
  <c r="K757" i="3"/>
  <c r="Q756" i="3"/>
  <c r="L756" i="3"/>
  <c r="K756" i="3"/>
  <c r="Q755" i="3"/>
  <c r="L755" i="3"/>
  <c r="K755" i="3"/>
  <c r="Q754" i="3"/>
  <c r="L754" i="3"/>
  <c r="K754" i="3"/>
  <c r="Q753" i="3"/>
  <c r="L753" i="3"/>
  <c r="K753" i="3"/>
  <c r="Q752" i="3"/>
  <c r="L752" i="3"/>
  <c r="K752" i="3"/>
  <c r="Q751" i="3"/>
  <c r="L751" i="3"/>
  <c r="K751" i="3"/>
  <c r="Q750" i="3"/>
  <c r="L750" i="3"/>
  <c r="K750" i="3"/>
  <c r="Q749" i="3"/>
  <c r="L749" i="3"/>
  <c r="K749" i="3"/>
  <c r="Q748" i="3"/>
  <c r="L748" i="3"/>
  <c r="K748" i="3"/>
  <c r="Q747" i="3"/>
  <c r="L747" i="3"/>
  <c r="K747" i="3"/>
  <c r="Q746" i="3"/>
  <c r="L746" i="3"/>
  <c r="K746" i="3"/>
  <c r="Q745" i="3"/>
  <c r="L745" i="3"/>
  <c r="K745" i="3"/>
  <c r="Q744" i="3"/>
  <c r="L744" i="3"/>
  <c r="K744" i="3"/>
  <c r="Q743" i="3"/>
  <c r="L743" i="3"/>
  <c r="K743" i="3"/>
  <c r="Q742" i="3"/>
  <c r="L742" i="3"/>
  <c r="K742" i="3"/>
  <c r="Q741" i="3"/>
  <c r="L741" i="3"/>
  <c r="K741" i="3"/>
  <c r="Q740" i="3"/>
  <c r="L740" i="3"/>
  <c r="K740" i="3"/>
  <c r="Q739" i="3"/>
  <c r="L739" i="3"/>
  <c r="K739" i="3"/>
  <c r="Q738" i="3"/>
  <c r="L738" i="3"/>
  <c r="K738" i="3"/>
  <c r="Q737" i="3"/>
  <c r="L737" i="3"/>
  <c r="K737" i="3"/>
  <c r="Q736" i="3"/>
  <c r="L736" i="3"/>
  <c r="K736" i="3"/>
  <c r="Q735" i="3"/>
  <c r="L735" i="3"/>
  <c r="K735" i="3"/>
  <c r="Q734" i="3"/>
  <c r="L734" i="3"/>
  <c r="K734" i="3"/>
  <c r="Q733" i="3"/>
  <c r="L733" i="3"/>
  <c r="K733" i="3"/>
  <c r="Q732" i="3"/>
  <c r="L732" i="3"/>
  <c r="K732" i="3"/>
  <c r="Q731" i="3"/>
  <c r="L731" i="3"/>
  <c r="K731" i="3"/>
  <c r="Q730" i="3"/>
  <c r="L730" i="3"/>
  <c r="K730" i="3"/>
  <c r="Q729" i="3"/>
  <c r="L729" i="3"/>
  <c r="K729" i="3"/>
  <c r="Q728" i="3"/>
  <c r="L728" i="3"/>
  <c r="K728" i="3"/>
  <c r="Q727" i="3"/>
  <c r="L727" i="3"/>
  <c r="K727" i="3"/>
  <c r="Q726" i="3"/>
  <c r="L726" i="3"/>
  <c r="K726" i="3"/>
  <c r="Q725" i="3"/>
  <c r="L725" i="3"/>
  <c r="K725" i="3"/>
  <c r="Q724" i="3"/>
  <c r="L724" i="3"/>
  <c r="K724" i="3"/>
  <c r="Q723" i="3"/>
  <c r="L723" i="3"/>
  <c r="K723" i="3"/>
  <c r="Q722" i="3"/>
  <c r="L722" i="3"/>
  <c r="K722" i="3"/>
  <c r="Q721" i="3"/>
  <c r="L721" i="3"/>
  <c r="K721" i="3"/>
  <c r="Q720" i="3"/>
  <c r="L720" i="3"/>
  <c r="K720" i="3"/>
  <c r="Q719" i="3"/>
  <c r="L719" i="3"/>
  <c r="K719" i="3"/>
  <c r="Q718" i="3"/>
  <c r="L718" i="3"/>
  <c r="K718" i="3"/>
  <c r="Q717" i="3"/>
  <c r="L717" i="3"/>
  <c r="K717" i="3"/>
  <c r="Q716" i="3"/>
  <c r="L716" i="3"/>
  <c r="K716" i="3"/>
  <c r="Q715" i="3"/>
  <c r="L715" i="3"/>
  <c r="K715" i="3"/>
  <c r="Q714" i="3"/>
  <c r="L714" i="3"/>
  <c r="K714" i="3"/>
  <c r="Q713" i="3"/>
  <c r="L713" i="3"/>
  <c r="K713" i="3"/>
  <c r="Q712" i="3"/>
  <c r="L712" i="3"/>
  <c r="K712" i="3"/>
  <c r="Q711" i="3"/>
  <c r="L711" i="3"/>
  <c r="K711" i="3"/>
  <c r="Q710" i="3"/>
  <c r="L710" i="3"/>
  <c r="K710" i="3"/>
  <c r="Q709" i="3"/>
  <c r="L709" i="3"/>
  <c r="K709" i="3"/>
  <c r="Q708" i="3"/>
  <c r="L708" i="3"/>
  <c r="K708" i="3"/>
  <c r="Q707" i="3"/>
  <c r="L707" i="3"/>
  <c r="K707" i="3"/>
  <c r="Q706" i="3"/>
  <c r="L706" i="3"/>
  <c r="K706" i="3"/>
  <c r="Q705" i="3"/>
  <c r="L705" i="3"/>
  <c r="K705" i="3"/>
  <c r="Q704" i="3"/>
  <c r="L704" i="3"/>
  <c r="K704" i="3"/>
  <c r="Q703" i="3"/>
  <c r="L703" i="3"/>
  <c r="K703" i="3"/>
  <c r="Q702" i="3"/>
  <c r="L702" i="3"/>
  <c r="K702" i="3"/>
  <c r="Q701" i="3"/>
  <c r="L701" i="3"/>
  <c r="K701" i="3"/>
  <c r="Q700" i="3"/>
  <c r="L700" i="3"/>
  <c r="K700" i="3"/>
  <c r="Q699" i="3"/>
  <c r="L699" i="3"/>
  <c r="K699" i="3"/>
  <c r="Q698" i="3"/>
  <c r="L698" i="3"/>
  <c r="K698" i="3"/>
  <c r="Q697" i="3"/>
  <c r="L697" i="3"/>
  <c r="K697" i="3"/>
  <c r="Q696" i="3"/>
  <c r="L696" i="3"/>
  <c r="K696" i="3"/>
  <c r="Q695" i="3"/>
  <c r="L695" i="3"/>
  <c r="K695" i="3"/>
  <c r="Q694" i="3"/>
  <c r="L694" i="3"/>
  <c r="K694" i="3"/>
  <c r="Q693" i="3"/>
  <c r="L693" i="3"/>
  <c r="K693" i="3"/>
  <c r="Q692" i="3"/>
  <c r="L692" i="3"/>
  <c r="K692" i="3"/>
  <c r="Q691" i="3"/>
  <c r="L691" i="3"/>
  <c r="K691" i="3"/>
  <c r="Q690" i="3"/>
  <c r="L690" i="3"/>
  <c r="K690" i="3"/>
  <c r="Q689" i="3"/>
  <c r="L689" i="3"/>
  <c r="K689" i="3"/>
  <c r="Q688" i="3"/>
  <c r="L688" i="3"/>
  <c r="K688" i="3"/>
  <c r="Q687" i="3"/>
  <c r="L687" i="3"/>
  <c r="K687" i="3"/>
  <c r="Q686" i="3"/>
  <c r="L686" i="3"/>
  <c r="K686" i="3"/>
  <c r="Q685" i="3"/>
  <c r="L685" i="3"/>
  <c r="K685" i="3"/>
  <c r="Q684" i="3"/>
  <c r="L684" i="3"/>
  <c r="K684" i="3"/>
  <c r="Q683" i="3"/>
  <c r="L683" i="3"/>
  <c r="K683" i="3"/>
  <c r="Q682" i="3"/>
  <c r="L682" i="3"/>
  <c r="K682" i="3"/>
  <c r="Q681" i="3"/>
  <c r="L681" i="3"/>
  <c r="K681" i="3"/>
  <c r="Q680" i="3"/>
  <c r="L680" i="3"/>
  <c r="K680" i="3"/>
  <c r="Q679" i="3"/>
  <c r="L679" i="3"/>
  <c r="K679" i="3"/>
  <c r="Q677" i="3"/>
  <c r="L677" i="3"/>
  <c r="K677" i="3"/>
  <c r="Q676" i="3"/>
  <c r="L676" i="3"/>
  <c r="K676" i="3"/>
  <c r="Q675" i="3"/>
  <c r="L675" i="3"/>
  <c r="K675" i="3"/>
  <c r="Q674" i="3"/>
  <c r="L674" i="3"/>
  <c r="K674" i="3"/>
  <c r="Q673" i="3"/>
  <c r="L673" i="3"/>
  <c r="K673" i="3"/>
  <c r="Q672" i="3"/>
  <c r="L672" i="3"/>
  <c r="K672" i="3"/>
  <c r="Q671" i="3"/>
  <c r="L671" i="3"/>
  <c r="K671" i="3"/>
  <c r="Q670" i="3"/>
  <c r="L670" i="3"/>
  <c r="K670" i="3"/>
  <c r="Q669" i="3"/>
  <c r="L669" i="3"/>
  <c r="K669" i="3"/>
  <c r="Q668" i="3"/>
  <c r="L668" i="3"/>
  <c r="K668" i="3"/>
  <c r="Q667" i="3"/>
  <c r="L667" i="3"/>
  <c r="K667" i="3"/>
  <c r="Q666" i="3"/>
  <c r="L666" i="3"/>
  <c r="K666" i="3"/>
  <c r="Q665" i="3"/>
  <c r="L665" i="3"/>
  <c r="K665" i="3"/>
  <c r="Q664" i="3"/>
  <c r="L664" i="3"/>
  <c r="K664" i="3"/>
  <c r="Q663" i="3"/>
  <c r="L663" i="3"/>
  <c r="K663" i="3"/>
  <c r="Q662" i="3"/>
  <c r="L662" i="3"/>
  <c r="K662" i="3"/>
  <c r="Q661" i="3"/>
  <c r="L661" i="3"/>
  <c r="K661" i="3"/>
  <c r="Q660" i="3"/>
  <c r="L660" i="3"/>
  <c r="K660" i="3"/>
  <c r="Q659" i="3"/>
  <c r="L659" i="3"/>
  <c r="K659" i="3"/>
  <c r="Q658" i="3"/>
  <c r="L658" i="3"/>
  <c r="K658" i="3"/>
  <c r="Q657" i="3"/>
  <c r="L657" i="3"/>
  <c r="K657" i="3"/>
  <c r="Q656" i="3"/>
  <c r="L656" i="3"/>
  <c r="K656" i="3"/>
  <c r="Q655" i="3"/>
  <c r="L655" i="3"/>
  <c r="K655" i="3"/>
  <c r="Q654" i="3"/>
  <c r="L654" i="3"/>
  <c r="K654" i="3"/>
  <c r="Q653" i="3"/>
  <c r="L653" i="3"/>
  <c r="K653" i="3"/>
  <c r="Q652" i="3"/>
  <c r="L652" i="3"/>
  <c r="K652" i="3"/>
  <c r="Q651" i="3"/>
  <c r="L651" i="3"/>
  <c r="K651" i="3"/>
  <c r="Q650" i="3"/>
  <c r="L650" i="3"/>
  <c r="K650" i="3"/>
  <c r="Q649" i="3"/>
  <c r="L649" i="3"/>
  <c r="K649" i="3"/>
  <c r="Q648" i="3"/>
  <c r="L648" i="3"/>
  <c r="K648" i="3"/>
  <c r="Q647" i="3"/>
  <c r="L647" i="3"/>
  <c r="K647" i="3"/>
  <c r="Q646" i="3"/>
  <c r="L646" i="3"/>
  <c r="K646" i="3"/>
  <c r="Q645" i="3"/>
  <c r="L645" i="3"/>
  <c r="K645" i="3"/>
  <c r="Q644" i="3"/>
  <c r="L644" i="3"/>
  <c r="K644" i="3"/>
  <c r="Q643" i="3"/>
  <c r="L643" i="3"/>
  <c r="K643" i="3"/>
  <c r="Q642" i="3"/>
  <c r="L642" i="3"/>
  <c r="K642" i="3"/>
  <c r="Q641" i="3"/>
  <c r="L641" i="3"/>
  <c r="K641" i="3"/>
  <c r="Q640" i="3"/>
  <c r="L640" i="3"/>
  <c r="K640" i="3"/>
  <c r="Q639" i="3"/>
  <c r="L639" i="3"/>
  <c r="K639" i="3"/>
  <c r="Q638" i="3"/>
  <c r="L638" i="3"/>
  <c r="K638" i="3"/>
  <c r="Q637" i="3"/>
  <c r="L637" i="3"/>
  <c r="K637" i="3"/>
  <c r="Q636" i="3"/>
  <c r="L636" i="3"/>
  <c r="K636" i="3"/>
  <c r="Q635" i="3"/>
  <c r="L635" i="3"/>
  <c r="K635" i="3"/>
  <c r="Q634" i="3"/>
  <c r="L634" i="3"/>
  <c r="K634" i="3"/>
  <c r="Q633" i="3"/>
  <c r="L633" i="3"/>
  <c r="K633" i="3"/>
  <c r="Q632" i="3"/>
  <c r="L632" i="3"/>
  <c r="K632" i="3"/>
  <c r="Q631" i="3"/>
  <c r="L631" i="3"/>
  <c r="K631" i="3"/>
  <c r="Q630" i="3"/>
  <c r="L630" i="3"/>
  <c r="K630" i="3"/>
  <c r="Q629" i="3"/>
  <c r="L629" i="3"/>
  <c r="K629" i="3"/>
  <c r="Q628" i="3"/>
  <c r="L628" i="3"/>
  <c r="K628" i="3"/>
  <c r="Q627" i="3"/>
  <c r="L627" i="3"/>
  <c r="K627" i="3"/>
  <c r="Q626" i="3"/>
  <c r="L626" i="3"/>
  <c r="K626" i="3"/>
  <c r="Q625" i="3"/>
  <c r="L625" i="3"/>
  <c r="K625" i="3"/>
  <c r="Q624" i="3"/>
  <c r="L624" i="3"/>
  <c r="K624" i="3"/>
  <c r="Q623" i="3"/>
  <c r="L623" i="3"/>
  <c r="K623" i="3"/>
  <c r="Q622" i="3"/>
  <c r="L622" i="3"/>
  <c r="K622" i="3"/>
  <c r="Q621" i="3"/>
  <c r="L621" i="3"/>
  <c r="K621" i="3"/>
  <c r="Q620" i="3"/>
  <c r="L620" i="3"/>
  <c r="K620" i="3"/>
  <c r="Q619" i="3"/>
  <c r="L619" i="3"/>
  <c r="K619" i="3"/>
  <c r="Q618" i="3"/>
  <c r="L618" i="3"/>
  <c r="K618" i="3"/>
  <c r="Q617" i="3"/>
  <c r="L617" i="3"/>
  <c r="K617" i="3"/>
  <c r="Q616" i="3"/>
  <c r="L616" i="3"/>
  <c r="K616" i="3"/>
  <c r="Q615" i="3"/>
  <c r="L615" i="3"/>
  <c r="K615" i="3"/>
  <c r="Q614" i="3"/>
  <c r="L614" i="3"/>
  <c r="K614" i="3"/>
  <c r="Q613" i="3"/>
  <c r="L613" i="3"/>
  <c r="K613" i="3"/>
  <c r="Q612" i="3"/>
  <c r="L612" i="3"/>
  <c r="K612" i="3"/>
  <c r="Q611" i="3"/>
  <c r="L611" i="3"/>
  <c r="K611" i="3"/>
  <c r="Q610" i="3"/>
  <c r="L610" i="3"/>
  <c r="K610" i="3"/>
  <c r="Q609" i="3"/>
  <c r="L609" i="3"/>
  <c r="K609" i="3"/>
  <c r="Q608" i="3"/>
  <c r="L608" i="3"/>
  <c r="K608" i="3"/>
  <c r="Q607" i="3"/>
  <c r="L607" i="3"/>
  <c r="K607" i="3"/>
  <c r="Q606" i="3"/>
  <c r="L606" i="3"/>
  <c r="K606" i="3"/>
  <c r="Q605" i="3"/>
  <c r="L605" i="3"/>
  <c r="K605" i="3"/>
  <c r="Q604" i="3"/>
  <c r="L604" i="3"/>
  <c r="K604" i="3"/>
  <c r="Q603" i="3"/>
  <c r="L603" i="3"/>
  <c r="K603" i="3"/>
  <c r="Q602" i="3"/>
  <c r="L602" i="3"/>
  <c r="K602" i="3"/>
  <c r="Q601" i="3"/>
  <c r="L601" i="3"/>
  <c r="K601" i="3"/>
  <c r="Q600" i="3"/>
  <c r="L600" i="3"/>
  <c r="K600" i="3"/>
  <c r="Q599" i="3"/>
  <c r="L599" i="3"/>
  <c r="K599" i="3"/>
  <c r="Q598" i="3"/>
  <c r="L598" i="3"/>
  <c r="K598" i="3"/>
  <c r="Q597" i="3"/>
  <c r="L597" i="3"/>
  <c r="K597" i="3"/>
  <c r="Q596" i="3"/>
  <c r="L596" i="3"/>
  <c r="K596" i="3"/>
  <c r="Q595" i="3"/>
  <c r="L595" i="3"/>
  <c r="K595" i="3"/>
  <c r="Q594" i="3"/>
  <c r="L594" i="3"/>
  <c r="K594" i="3"/>
  <c r="Q593" i="3"/>
  <c r="L593" i="3"/>
  <c r="K593" i="3"/>
  <c r="Q592" i="3"/>
  <c r="L592" i="3"/>
  <c r="K592" i="3"/>
  <c r="Q591" i="3"/>
  <c r="L591" i="3"/>
  <c r="K591" i="3"/>
  <c r="Q590" i="3"/>
  <c r="L590" i="3"/>
  <c r="K590" i="3"/>
  <c r="Q589" i="3"/>
  <c r="L589" i="3"/>
  <c r="K589" i="3"/>
  <c r="Q588" i="3"/>
  <c r="L588" i="3"/>
  <c r="K588" i="3"/>
  <c r="Q587" i="3"/>
  <c r="L587" i="3"/>
  <c r="K587" i="3"/>
  <c r="Q586" i="3"/>
  <c r="L586" i="3"/>
  <c r="K586" i="3"/>
  <c r="Q585" i="3"/>
  <c r="L585" i="3"/>
  <c r="K585" i="3"/>
  <c r="Q584" i="3"/>
  <c r="L584" i="3"/>
  <c r="K584" i="3"/>
  <c r="Q583" i="3"/>
  <c r="L583" i="3"/>
  <c r="K583" i="3"/>
  <c r="Q582" i="3"/>
  <c r="L582" i="3"/>
  <c r="K582" i="3"/>
  <c r="Q581" i="3"/>
  <c r="L581" i="3"/>
  <c r="K581" i="3"/>
  <c r="Q580" i="3"/>
  <c r="L580" i="3"/>
  <c r="K580" i="3"/>
  <c r="Q579" i="3"/>
  <c r="L579" i="3"/>
  <c r="K579" i="3"/>
  <c r="Q578" i="3"/>
  <c r="L578" i="3"/>
  <c r="K578" i="3"/>
  <c r="Q577" i="3"/>
  <c r="L577" i="3"/>
  <c r="K577" i="3"/>
  <c r="Q576" i="3"/>
  <c r="L576" i="3"/>
  <c r="K576" i="3"/>
  <c r="Q575" i="3"/>
  <c r="L575" i="3"/>
  <c r="K575" i="3"/>
  <c r="Q574" i="3"/>
  <c r="L574" i="3"/>
  <c r="K574" i="3"/>
  <c r="Q573" i="3"/>
  <c r="L573" i="3"/>
  <c r="K573" i="3"/>
  <c r="Q572" i="3"/>
  <c r="L572" i="3"/>
  <c r="K572" i="3"/>
  <c r="Q571" i="3"/>
  <c r="L571" i="3"/>
  <c r="K571" i="3"/>
  <c r="Q570" i="3"/>
  <c r="L570" i="3"/>
  <c r="K570" i="3"/>
  <c r="Q569" i="3"/>
  <c r="L569" i="3"/>
  <c r="K569" i="3"/>
  <c r="Q568" i="3"/>
  <c r="L568" i="3"/>
  <c r="K568" i="3"/>
  <c r="Q567" i="3"/>
  <c r="L567" i="3"/>
  <c r="K567" i="3"/>
  <c r="Q566" i="3"/>
  <c r="L566" i="3"/>
  <c r="K566" i="3"/>
  <c r="Q565" i="3"/>
  <c r="L565" i="3"/>
  <c r="K565" i="3"/>
  <c r="Q564" i="3"/>
  <c r="L564" i="3"/>
  <c r="K564" i="3"/>
  <c r="Q563" i="3"/>
  <c r="L563" i="3"/>
  <c r="K563" i="3"/>
  <c r="Q562" i="3"/>
  <c r="L562" i="3"/>
  <c r="K562" i="3"/>
  <c r="Q561" i="3"/>
  <c r="L561" i="3"/>
  <c r="K561" i="3"/>
  <c r="Q560" i="3"/>
  <c r="L560" i="3"/>
  <c r="K560" i="3"/>
  <c r="Q559" i="3"/>
  <c r="L559" i="3"/>
  <c r="K559" i="3"/>
  <c r="Q558" i="3"/>
  <c r="L558" i="3"/>
  <c r="K558" i="3"/>
  <c r="Q557" i="3"/>
  <c r="L557" i="3"/>
  <c r="K557" i="3"/>
  <c r="Q556" i="3"/>
  <c r="L556" i="3"/>
  <c r="K556" i="3"/>
  <c r="Q555" i="3"/>
  <c r="L555" i="3"/>
  <c r="K555" i="3"/>
  <c r="Q554" i="3"/>
  <c r="L554" i="3"/>
  <c r="K554" i="3"/>
  <c r="Q553" i="3"/>
  <c r="L553" i="3"/>
  <c r="K553" i="3"/>
  <c r="Q552" i="3"/>
  <c r="L552" i="3"/>
  <c r="K552" i="3"/>
  <c r="Q551" i="3"/>
  <c r="L551" i="3"/>
  <c r="K551" i="3"/>
  <c r="Q550" i="3"/>
  <c r="L550" i="3"/>
  <c r="K550" i="3"/>
  <c r="Q549" i="3"/>
  <c r="L549" i="3"/>
  <c r="K549" i="3"/>
  <c r="Q548" i="3"/>
  <c r="L548" i="3"/>
  <c r="K548" i="3"/>
  <c r="Q547" i="3"/>
  <c r="L547" i="3"/>
  <c r="K547" i="3"/>
  <c r="Q546" i="3"/>
  <c r="L546" i="3"/>
  <c r="K546" i="3"/>
  <c r="Q545" i="3"/>
  <c r="L545" i="3"/>
  <c r="K545" i="3"/>
  <c r="Q544" i="3"/>
  <c r="L544" i="3"/>
  <c r="K544" i="3"/>
  <c r="Q543" i="3"/>
  <c r="L543" i="3"/>
  <c r="K543" i="3"/>
  <c r="Q542" i="3"/>
  <c r="L542" i="3"/>
  <c r="K542" i="3"/>
  <c r="Q541" i="3"/>
  <c r="L541" i="3"/>
  <c r="K541" i="3"/>
  <c r="Q540" i="3"/>
  <c r="L540" i="3"/>
  <c r="K540" i="3"/>
  <c r="Q539" i="3"/>
  <c r="L539" i="3"/>
  <c r="K539" i="3"/>
  <c r="Q538" i="3"/>
  <c r="L538" i="3"/>
  <c r="K538" i="3"/>
  <c r="Q537" i="3"/>
  <c r="L537" i="3"/>
  <c r="K537" i="3"/>
  <c r="Q536" i="3"/>
  <c r="L536" i="3"/>
  <c r="K536" i="3"/>
  <c r="Q535" i="3"/>
  <c r="L535" i="3"/>
  <c r="K535" i="3"/>
  <c r="Q534" i="3"/>
  <c r="L534" i="3"/>
  <c r="K534" i="3"/>
  <c r="Q533" i="3"/>
  <c r="L533" i="3"/>
  <c r="K533" i="3"/>
  <c r="Q532" i="3"/>
  <c r="L532" i="3"/>
  <c r="K532" i="3"/>
  <c r="Q531" i="3"/>
  <c r="L531" i="3"/>
  <c r="K531" i="3"/>
  <c r="Q530" i="3"/>
  <c r="L530" i="3"/>
  <c r="K530" i="3"/>
  <c r="Q529" i="3"/>
  <c r="L529" i="3"/>
  <c r="K529" i="3"/>
  <c r="Q528" i="3"/>
  <c r="L528" i="3"/>
  <c r="K528" i="3"/>
  <c r="Q527" i="3"/>
  <c r="L527" i="3"/>
  <c r="K527" i="3"/>
  <c r="Q526" i="3"/>
  <c r="L526" i="3"/>
  <c r="K526" i="3"/>
  <c r="Q525" i="3"/>
  <c r="L525" i="3"/>
  <c r="K525" i="3"/>
  <c r="Q524" i="3"/>
  <c r="L524" i="3"/>
  <c r="K524" i="3"/>
  <c r="Q523" i="3"/>
  <c r="L523" i="3"/>
  <c r="K523" i="3"/>
  <c r="Q522" i="3"/>
  <c r="L522" i="3"/>
  <c r="K522" i="3"/>
  <c r="Q521" i="3"/>
  <c r="L521" i="3"/>
  <c r="K521" i="3"/>
  <c r="Q520" i="3"/>
  <c r="L520" i="3"/>
  <c r="K520" i="3"/>
  <c r="Q519" i="3"/>
  <c r="L519" i="3"/>
  <c r="K519" i="3"/>
  <c r="Q518" i="3"/>
  <c r="L518" i="3"/>
  <c r="K518" i="3"/>
  <c r="Q517" i="3"/>
  <c r="L517" i="3"/>
  <c r="K517" i="3"/>
  <c r="Q516" i="3"/>
  <c r="L516" i="3"/>
  <c r="K516" i="3"/>
  <c r="Q515" i="3"/>
  <c r="L515" i="3"/>
  <c r="K515" i="3"/>
  <c r="Q514" i="3"/>
  <c r="L514" i="3"/>
  <c r="K514" i="3"/>
  <c r="Q513" i="3"/>
  <c r="L513" i="3"/>
  <c r="K513" i="3"/>
  <c r="Q512" i="3"/>
  <c r="L512" i="3"/>
  <c r="K512" i="3"/>
  <c r="Q511" i="3"/>
  <c r="L511" i="3"/>
  <c r="K511" i="3"/>
  <c r="Q510" i="3"/>
  <c r="L510" i="3"/>
  <c r="K510" i="3"/>
  <c r="Q509" i="3"/>
  <c r="L509" i="3"/>
  <c r="K509" i="3"/>
  <c r="Q508" i="3"/>
  <c r="L508" i="3"/>
  <c r="K508" i="3"/>
  <c r="Q507" i="3"/>
  <c r="L507" i="3"/>
  <c r="K507" i="3"/>
  <c r="Q506" i="3"/>
  <c r="L506" i="3"/>
  <c r="K506" i="3"/>
  <c r="Q505" i="3"/>
  <c r="L505" i="3"/>
  <c r="K505" i="3"/>
  <c r="Q504" i="3"/>
  <c r="L504" i="3"/>
  <c r="K504" i="3"/>
  <c r="Q503" i="3"/>
  <c r="L503" i="3"/>
  <c r="K503" i="3"/>
  <c r="Q502" i="3"/>
  <c r="L502" i="3"/>
  <c r="K502" i="3"/>
  <c r="Q501" i="3"/>
  <c r="L501" i="3"/>
  <c r="K501" i="3"/>
  <c r="Q500" i="3"/>
  <c r="L500" i="3"/>
  <c r="K500" i="3"/>
  <c r="Q499" i="3"/>
  <c r="L499" i="3"/>
  <c r="K499" i="3"/>
  <c r="Q498" i="3"/>
  <c r="L498" i="3"/>
  <c r="K498" i="3"/>
  <c r="Q497" i="3"/>
  <c r="L497" i="3"/>
  <c r="K497" i="3"/>
  <c r="Q496" i="3"/>
  <c r="L496" i="3"/>
  <c r="K496" i="3"/>
  <c r="Q495" i="3"/>
  <c r="L495" i="3"/>
  <c r="K495" i="3"/>
  <c r="Q494" i="3"/>
  <c r="L494" i="3"/>
  <c r="K494" i="3"/>
  <c r="Q493" i="3"/>
  <c r="L493" i="3"/>
  <c r="K493" i="3"/>
  <c r="Q492" i="3"/>
  <c r="L492" i="3"/>
  <c r="K492" i="3"/>
  <c r="Q491" i="3"/>
  <c r="L491" i="3"/>
  <c r="K491" i="3"/>
  <c r="Q490" i="3"/>
  <c r="L490" i="3"/>
  <c r="K490" i="3"/>
  <c r="Q489" i="3"/>
  <c r="L489" i="3"/>
  <c r="K489" i="3"/>
  <c r="Q488" i="3"/>
  <c r="L488" i="3"/>
  <c r="K488" i="3"/>
  <c r="Q487" i="3"/>
  <c r="L487" i="3"/>
  <c r="K487" i="3"/>
  <c r="Q486" i="3"/>
  <c r="L486" i="3"/>
  <c r="K486" i="3"/>
  <c r="Q485" i="3"/>
  <c r="L485" i="3"/>
  <c r="K485" i="3"/>
  <c r="Q484" i="3"/>
  <c r="L484" i="3"/>
  <c r="K484" i="3"/>
  <c r="Q483" i="3"/>
  <c r="L483" i="3"/>
  <c r="K483" i="3"/>
  <c r="Q482" i="3"/>
  <c r="L482" i="3"/>
  <c r="K482" i="3"/>
  <c r="Q481" i="3"/>
  <c r="L481" i="3"/>
  <c r="K481" i="3"/>
  <c r="Q480" i="3"/>
  <c r="L480" i="3"/>
  <c r="K480" i="3"/>
  <c r="Q479" i="3"/>
  <c r="L479" i="3"/>
  <c r="K479" i="3"/>
  <c r="Q478" i="3"/>
  <c r="L478" i="3"/>
  <c r="K478" i="3"/>
  <c r="Q477" i="3"/>
  <c r="L477" i="3"/>
  <c r="K477" i="3"/>
  <c r="Q476" i="3"/>
  <c r="L476" i="3"/>
  <c r="K476" i="3"/>
  <c r="Q475" i="3"/>
  <c r="L475" i="3"/>
  <c r="K475" i="3"/>
  <c r="Q474" i="3"/>
  <c r="L474" i="3"/>
  <c r="K474" i="3"/>
  <c r="Q473" i="3"/>
  <c r="L473" i="3"/>
  <c r="K473" i="3"/>
  <c r="Q472" i="3"/>
  <c r="L472" i="3"/>
  <c r="K472" i="3"/>
  <c r="Q471" i="3"/>
  <c r="L471" i="3"/>
  <c r="K471" i="3"/>
  <c r="Q470" i="3"/>
  <c r="L470" i="3"/>
  <c r="K470" i="3"/>
  <c r="Q469" i="3"/>
  <c r="L469" i="3"/>
  <c r="K469" i="3"/>
  <c r="Q468" i="3"/>
  <c r="L468" i="3"/>
  <c r="K468" i="3"/>
  <c r="Q467" i="3"/>
  <c r="L467" i="3"/>
  <c r="K467" i="3"/>
  <c r="Q466" i="3"/>
  <c r="L466" i="3"/>
  <c r="K466" i="3"/>
  <c r="Q465" i="3"/>
  <c r="L465" i="3"/>
  <c r="K465" i="3"/>
  <c r="Q464" i="3"/>
  <c r="L464" i="3"/>
  <c r="K464" i="3"/>
  <c r="Q463" i="3"/>
  <c r="L463" i="3"/>
  <c r="K463" i="3"/>
  <c r="Q462" i="3"/>
  <c r="L462" i="3"/>
  <c r="K462" i="3"/>
  <c r="Q461" i="3"/>
  <c r="L461" i="3"/>
  <c r="K461" i="3"/>
  <c r="Q460" i="3"/>
  <c r="L460" i="3"/>
  <c r="K460" i="3"/>
  <c r="Q459" i="3"/>
  <c r="L459" i="3"/>
  <c r="K459" i="3"/>
  <c r="Q458" i="3"/>
  <c r="L458" i="3"/>
  <c r="K458" i="3"/>
  <c r="Q457" i="3"/>
  <c r="L457" i="3"/>
  <c r="K457" i="3"/>
  <c r="Q456" i="3"/>
  <c r="L456" i="3"/>
  <c r="K456" i="3"/>
  <c r="Q455" i="3"/>
  <c r="L455" i="3"/>
  <c r="K455" i="3"/>
  <c r="Q454" i="3"/>
  <c r="L454" i="3"/>
  <c r="K454" i="3"/>
  <c r="Q453" i="3"/>
  <c r="L453" i="3"/>
  <c r="K453" i="3"/>
  <c r="Q452" i="3"/>
  <c r="L452" i="3"/>
  <c r="K452" i="3"/>
  <c r="Q451" i="3"/>
  <c r="L451" i="3"/>
  <c r="K451" i="3"/>
  <c r="Q450" i="3"/>
  <c r="L450" i="3"/>
  <c r="K450" i="3"/>
  <c r="Q449" i="3"/>
  <c r="L449" i="3"/>
  <c r="K449" i="3"/>
  <c r="Q448" i="3"/>
  <c r="L448" i="3"/>
  <c r="K448" i="3"/>
  <c r="Q447" i="3"/>
  <c r="L447" i="3"/>
  <c r="K447" i="3"/>
  <c r="Q446" i="3"/>
  <c r="L446" i="3"/>
  <c r="K446" i="3"/>
  <c r="Q445" i="3"/>
  <c r="L445" i="3"/>
  <c r="K445" i="3"/>
  <c r="Q444" i="3"/>
  <c r="L444" i="3"/>
  <c r="K444" i="3"/>
  <c r="Q443" i="3"/>
  <c r="L443" i="3"/>
  <c r="K443" i="3"/>
  <c r="Q442" i="3"/>
  <c r="L442" i="3"/>
  <c r="K442" i="3"/>
  <c r="Q441" i="3"/>
  <c r="L441" i="3"/>
  <c r="K441" i="3"/>
  <c r="Q440" i="3"/>
  <c r="L440" i="3"/>
  <c r="K440" i="3"/>
  <c r="Q439" i="3"/>
  <c r="L439" i="3"/>
  <c r="K439" i="3"/>
  <c r="Q438" i="3"/>
  <c r="L438" i="3"/>
  <c r="K438" i="3"/>
  <c r="Q437" i="3"/>
  <c r="L437" i="3"/>
  <c r="K437" i="3"/>
  <c r="Q436" i="3"/>
  <c r="L436" i="3"/>
  <c r="K436" i="3"/>
  <c r="Q435" i="3"/>
  <c r="L435" i="3"/>
  <c r="K435" i="3"/>
  <c r="Q434" i="3"/>
  <c r="L434" i="3"/>
  <c r="K434" i="3"/>
  <c r="Q433" i="3"/>
  <c r="L433" i="3"/>
  <c r="K433" i="3"/>
  <c r="Q432" i="3"/>
  <c r="L432" i="3"/>
  <c r="K432" i="3"/>
  <c r="Q431" i="3"/>
  <c r="L431" i="3"/>
  <c r="K431" i="3"/>
  <c r="Q430" i="3"/>
  <c r="L430" i="3"/>
  <c r="K430" i="3"/>
  <c r="Q429" i="3"/>
  <c r="L429" i="3"/>
  <c r="K429" i="3"/>
  <c r="Q428" i="3"/>
  <c r="L428" i="3"/>
  <c r="K428" i="3"/>
  <c r="Q427" i="3"/>
  <c r="L427" i="3"/>
  <c r="K427" i="3"/>
  <c r="Q426" i="3"/>
  <c r="L426" i="3"/>
  <c r="K426" i="3"/>
  <c r="Q425" i="3"/>
  <c r="L425" i="3"/>
  <c r="K425" i="3"/>
  <c r="Q424" i="3"/>
  <c r="L424" i="3"/>
  <c r="K424" i="3"/>
  <c r="Q423" i="3"/>
  <c r="L423" i="3"/>
  <c r="K423" i="3"/>
  <c r="Q422" i="3"/>
  <c r="L422" i="3"/>
  <c r="K422" i="3"/>
  <c r="Q421" i="3"/>
  <c r="L421" i="3"/>
  <c r="K421" i="3"/>
  <c r="Q420" i="3"/>
  <c r="L420" i="3"/>
  <c r="K420" i="3"/>
  <c r="Q419" i="3"/>
  <c r="L419" i="3"/>
  <c r="K419" i="3"/>
  <c r="Q418" i="3"/>
  <c r="L418" i="3"/>
  <c r="K418" i="3"/>
  <c r="Q417" i="3"/>
  <c r="L417" i="3"/>
  <c r="K417" i="3"/>
  <c r="Q416" i="3"/>
  <c r="L416" i="3"/>
  <c r="K416" i="3"/>
  <c r="Q415" i="3"/>
  <c r="L415" i="3"/>
  <c r="K415" i="3"/>
  <c r="Q414" i="3"/>
  <c r="L414" i="3"/>
  <c r="K414" i="3"/>
  <c r="Q413" i="3"/>
  <c r="L413" i="3"/>
  <c r="K413" i="3"/>
  <c r="Q412" i="3"/>
  <c r="L412" i="3"/>
  <c r="K412" i="3"/>
  <c r="Q411" i="3"/>
  <c r="L411" i="3"/>
  <c r="K411" i="3"/>
  <c r="Q410" i="3"/>
  <c r="L410" i="3"/>
  <c r="K410" i="3"/>
  <c r="Q409" i="3"/>
  <c r="L409" i="3"/>
  <c r="K409" i="3"/>
  <c r="Q408" i="3"/>
  <c r="L408" i="3"/>
  <c r="K408" i="3"/>
  <c r="Q407" i="3"/>
  <c r="L407" i="3"/>
  <c r="K407" i="3"/>
  <c r="Q406" i="3"/>
  <c r="L406" i="3"/>
  <c r="K406" i="3"/>
  <c r="Q405" i="3"/>
  <c r="L405" i="3"/>
  <c r="K405" i="3"/>
  <c r="Q404" i="3"/>
  <c r="L404" i="3"/>
  <c r="K404" i="3"/>
  <c r="Q403" i="3"/>
  <c r="L403" i="3"/>
  <c r="K403" i="3"/>
  <c r="Q402" i="3"/>
  <c r="L402" i="3"/>
  <c r="K402" i="3"/>
  <c r="Q401" i="3"/>
  <c r="L401" i="3"/>
  <c r="K401" i="3"/>
  <c r="Q400" i="3"/>
  <c r="L400" i="3"/>
  <c r="K400" i="3"/>
  <c r="Q399" i="3"/>
  <c r="L399" i="3"/>
  <c r="K399" i="3"/>
  <c r="Q398" i="3"/>
  <c r="L398" i="3"/>
  <c r="K398" i="3"/>
  <c r="Q397" i="3"/>
  <c r="L397" i="3"/>
  <c r="K397" i="3"/>
  <c r="Q396" i="3"/>
  <c r="L396" i="3"/>
  <c r="K396" i="3"/>
  <c r="Q395" i="3"/>
  <c r="L395" i="3"/>
  <c r="K395" i="3"/>
  <c r="Q394" i="3"/>
  <c r="L394" i="3"/>
  <c r="K394" i="3"/>
  <c r="Q393" i="3"/>
  <c r="L393" i="3"/>
  <c r="K393" i="3"/>
  <c r="Q392" i="3"/>
  <c r="L392" i="3"/>
  <c r="K392" i="3"/>
  <c r="Q391" i="3"/>
  <c r="L391" i="3"/>
  <c r="K391" i="3"/>
  <c r="Q390" i="3"/>
  <c r="L390" i="3"/>
  <c r="K390" i="3"/>
  <c r="Q389" i="3"/>
  <c r="L389" i="3"/>
  <c r="K389" i="3"/>
  <c r="Q388" i="3"/>
  <c r="L388" i="3"/>
  <c r="K388" i="3"/>
  <c r="Q387" i="3"/>
  <c r="L387" i="3"/>
  <c r="K387" i="3"/>
  <c r="Q386" i="3"/>
  <c r="L386" i="3"/>
  <c r="K386" i="3"/>
  <c r="Q385" i="3"/>
  <c r="L385" i="3"/>
  <c r="K385" i="3"/>
  <c r="Q384" i="3"/>
  <c r="L384" i="3"/>
  <c r="K384" i="3"/>
  <c r="Q383" i="3"/>
  <c r="L383" i="3"/>
  <c r="K383" i="3"/>
  <c r="Q382" i="3"/>
  <c r="L382" i="3"/>
  <c r="K382" i="3"/>
  <c r="Q381" i="3"/>
  <c r="L381" i="3"/>
  <c r="K381" i="3"/>
  <c r="Q380" i="3"/>
  <c r="L380" i="3"/>
  <c r="K380" i="3"/>
  <c r="Q379" i="3"/>
  <c r="L379" i="3"/>
  <c r="K379" i="3"/>
  <c r="Q378" i="3"/>
  <c r="L378" i="3"/>
  <c r="K378" i="3"/>
  <c r="Q377" i="3"/>
  <c r="L377" i="3"/>
  <c r="K377" i="3"/>
  <c r="Q376" i="3"/>
  <c r="L376" i="3"/>
  <c r="K376" i="3"/>
  <c r="Q375" i="3"/>
  <c r="L375" i="3"/>
  <c r="K375" i="3"/>
  <c r="Q374" i="3"/>
  <c r="L374" i="3"/>
  <c r="K374" i="3"/>
  <c r="Q373" i="3"/>
  <c r="L373" i="3"/>
  <c r="K373" i="3"/>
  <c r="Q372" i="3"/>
  <c r="L372" i="3"/>
  <c r="K372" i="3"/>
  <c r="Q371" i="3"/>
  <c r="L371" i="3"/>
  <c r="K371" i="3"/>
  <c r="Q370" i="3"/>
  <c r="L370" i="3"/>
  <c r="K370" i="3"/>
  <c r="Q369" i="3"/>
  <c r="L369" i="3"/>
  <c r="K369" i="3"/>
  <c r="Q368" i="3"/>
  <c r="L368" i="3"/>
  <c r="K368" i="3"/>
  <c r="Q367" i="3"/>
  <c r="L367" i="3"/>
  <c r="K367" i="3"/>
  <c r="Q366" i="3"/>
  <c r="L366" i="3"/>
  <c r="K366" i="3"/>
  <c r="Q365" i="3"/>
  <c r="L365" i="3"/>
  <c r="K365" i="3"/>
  <c r="Q364" i="3"/>
  <c r="L364" i="3"/>
  <c r="K364" i="3"/>
  <c r="Q363" i="3"/>
  <c r="L363" i="3"/>
  <c r="K363" i="3"/>
  <c r="Q362" i="3"/>
  <c r="L362" i="3"/>
  <c r="K362" i="3"/>
  <c r="Q361" i="3"/>
  <c r="L361" i="3"/>
  <c r="K361" i="3"/>
  <c r="Q360" i="3"/>
  <c r="L360" i="3"/>
  <c r="K360" i="3"/>
  <c r="Q359" i="3"/>
  <c r="L359" i="3"/>
  <c r="K359" i="3"/>
  <c r="Q358" i="3"/>
  <c r="L358" i="3"/>
  <c r="K358" i="3"/>
  <c r="Q357" i="3"/>
  <c r="L357" i="3"/>
  <c r="K357" i="3"/>
  <c r="Q356" i="3"/>
  <c r="L356" i="3"/>
  <c r="K356" i="3"/>
  <c r="Q355" i="3"/>
  <c r="L355" i="3"/>
  <c r="K355" i="3"/>
  <c r="Q354" i="3"/>
  <c r="L354" i="3"/>
  <c r="K354" i="3"/>
  <c r="Q353" i="3"/>
  <c r="L353" i="3"/>
  <c r="K353" i="3"/>
  <c r="Q352" i="3"/>
  <c r="L352" i="3"/>
  <c r="K352" i="3"/>
  <c r="Q351" i="3"/>
  <c r="L351" i="3"/>
  <c r="K351" i="3"/>
  <c r="Q350" i="3"/>
  <c r="L350" i="3"/>
  <c r="K350" i="3"/>
  <c r="Q349" i="3"/>
  <c r="L349" i="3"/>
  <c r="K349" i="3"/>
  <c r="Q348" i="3"/>
  <c r="L348" i="3"/>
  <c r="K348" i="3"/>
  <c r="Q347" i="3"/>
  <c r="L347" i="3"/>
  <c r="K347" i="3"/>
  <c r="Q346" i="3"/>
  <c r="L346" i="3"/>
  <c r="K346" i="3"/>
  <c r="Q345" i="3"/>
  <c r="L345" i="3"/>
  <c r="K345" i="3"/>
  <c r="Q344" i="3"/>
  <c r="L344" i="3"/>
  <c r="K344" i="3"/>
  <c r="Q343" i="3"/>
  <c r="L343" i="3"/>
  <c r="K343" i="3"/>
  <c r="Q342" i="3"/>
  <c r="L342" i="3"/>
  <c r="K342" i="3"/>
  <c r="Q341" i="3"/>
  <c r="L341" i="3"/>
  <c r="K341" i="3"/>
  <c r="Q340" i="3"/>
  <c r="L340" i="3"/>
  <c r="K340" i="3"/>
  <c r="Q339" i="3"/>
  <c r="L339" i="3"/>
  <c r="K339" i="3"/>
  <c r="Q338" i="3"/>
  <c r="L338" i="3"/>
  <c r="K338" i="3"/>
  <c r="Q337" i="3"/>
  <c r="L337" i="3"/>
  <c r="K337" i="3"/>
  <c r="Q336" i="3"/>
  <c r="L336" i="3"/>
  <c r="K336" i="3"/>
  <c r="Q335" i="3"/>
  <c r="L335" i="3"/>
  <c r="K335" i="3"/>
  <c r="Q334" i="3"/>
  <c r="L334" i="3"/>
  <c r="K334" i="3"/>
  <c r="Q333" i="3"/>
  <c r="L333" i="3"/>
  <c r="K333" i="3"/>
  <c r="Q332" i="3"/>
  <c r="L332" i="3"/>
  <c r="K332" i="3"/>
  <c r="Q331" i="3"/>
  <c r="L331" i="3"/>
  <c r="K331" i="3"/>
  <c r="Q330" i="3"/>
  <c r="L330" i="3"/>
  <c r="K330" i="3"/>
  <c r="Q329" i="3"/>
  <c r="L329" i="3"/>
  <c r="K329" i="3"/>
  <c r="Q328" i="3"/>
  <c r="L328" i="3"/>
  <c r="K328" i="3"/>
  <c r="Q327" i="3"/>
  <c r="L327" i="3"/>
  <c r="K327" i="3"/>
  <c r="Q326" i="3"/>
  <c r="L326" i="3"/>
  <c r="K326" i="3"/>
  <c r="Q325" i="3"/>
  <c r="L325" i="3"/>
  <c r="K325" i="3"/>
  <c r="Q324" i="3"/>
  <c r="L324" i="3"/>
  <c r="K324" i="3"/>
  <c r="Q323" i="3"/>
  <c r="L323" i="3"/>
  <c r="K323" i="3"/>
  <c r="Q322" i="3"/>
  <c r="L322" i="3"/>
  <c r="K322" i="3"/>
  <c r="Q321" i="3"/>
  <c r="L321" i="3"/>
  <c r="K321" i="3"/>
  <c r="Q320" i="3"/>
  <c r="L320" i="3"/>
  <c r="K320" i="3"/>
  <c r="Q319" i="3"/>
  <c r="L319" i="3"/>
  <c r="K319" i="3"/>
  <c r="Q318" i="3"/>
  <c r="L318" i="3"/>
  <c r="K318" i="3"/>
  <c r="Q317" i="3"/>
  <c r="L317" i="3"/>
  <c r="K317" i="3"/>
  <c r="Q316" i="3"/>
  <c r="L316" i="3"/>
  <c r="K316" i="3"/>
  <c r="Q315" i="3"/>
  <c r="L315" i="3"/>
  <c r="K315" i="3"/>
  <c r="Q314" i="3"/>
  <c r="L314" i="3"/>
  <c r="K314" i="3"/>
  <c r="Q313" i="3"/>
  <c r="L313" i="3"/>
  <c r="K313" i="3"/>
  <c r="Q312" i="3"/>
  <c r="L312" i="3"/>
  <c r="K312" i="3"/>
  <c r="Q311" i="3"/>
  <c r="L311" i="3"/>
  <c r="K311" i="3"/>
  <c r="Q310" i="3"/>
  <c r="L310" i="3"/>
  <c r="K310" i="3"/>
  <c r="Q309" i="3"/>
  <c r="L309" i="3"/>
  <c r="K309" i="3"/>
  <c r="Q308" i="3"/>
  <c r="L308" i="3"/>
  <c r="K308" i="3"/>
  <c r="Q307" i="3"/>
  <c r="L307" i="3"/>
  <c r="K307" i="3"/>
  <c r="Q306" i="3"/>
  <c r="L306" i="3"/>
  <c r="K306" i="3"/>
  <c r="Q305" i="3"/>
  <c r="L305" i="3"/>
  <c r="K305" i="3"/>
  <c r="Q304" i="3"/>
  <c r="L304" i="3"/>
  <c r="K304" i="3"/>
  <c r="Q303" i="3"/>
  <c r="L303" i="3"/>
  <c r="K303" i="3"/>
  <c r="Q302" i="3"/>
  <c r="L302" i="3"/>
  <c r="K302" i="3"/>
  <c r="Q301" i="3"/>
  <c r="L301" i="3"/>
  <c r="K301" i="3"/>
  <c r="Q300" i="3"/>
  <c r="L300" i="3"/>
  <c r="K300" i="3"/>
  <c r="Q299" i="3"/>
  <c r="L299" i="3"/>
  <c r="K299" i="3"/>
  <c r="Q298" i="3"/>
  <c r="L298" i="3"/>
  <c r="K298" i="3"/>
  <c r="Q297" i="3"/>
  <c r="L297" i="3"/>
  <c r="K297" i="3"/>
  <c r="Q296" i="3"/>
  <c r="L296" i="3"/>
  <c r="K296" i="3"/>
  <c r="Q295" i="3"/>
  <c r="L295" i="3"/>
  <c r="K295" i="3"/>
  <c r="Q294" i="3"/>
  <c r="L294" i="3"/>
  <c r="K294" i="3"/>
  <c r="Q293" i="3"/>
  <c r="L293" i="3"/>
  <c r="K293" i="3"/>
  <c r="Q292" i="3"/>
  <c r="L292" i="3"/>
  <c r="K292" i="3"/>
  <c r="Q291" i="3"/>
  <c r="L291" i="3"/>
  <c r="K291" i="3"/>
  <c r="Q290" i="3"/>
  <c r="L290" i="3"/>
  <c r="K290" i="3"/>
  <c r="Q289" i="3"/>
  <c r="L289" i="3"/>
  <c r="K289" i="3"/>
  <c r="Q288" i="3"/>
  <c r="L288" i="3"/>
  <c r="K288" i="3"/>
  <c r="Q287" i="3"/>
  <c r="L287" i="3"/>
  <c r="K287" i="3"/>
  <c r="Q286" i="3"/>
  <c r="L286" i="3"/>
  <c r="K286" i="3"/>
  <c r="Q285" i="3"/>
  <c r="L285" i="3"/>
  <c r="K285" i="3"/>
  <c r="Q284" i="3"/>
  <c r="L284" i="3"/>
  <c r="K284" i="3"/>
  <c r="Q283" i="3"/>
  <c r="L283" i="3"/>
  <c r="K283" i="3"/>
  <c r="Q282" i="3"/>
  <c r="L282" i="3"/>
  <c r="K282" i="3"/>
  <c r="Q281" i="3"/>
  <c r="L281" i="3"/>
  <c r="K281" i="3"/>
  <c r="Q280" i="3"/>
  <c r="L280" i="3"/>
  <c r="K280" i="3"/>
  <c r="Q279" i="3"/>
  <c r="L279" i="3"/>
  <c r="K279" i="3"/>
  <c r="Q278" i="3"/>
  <c r="L278" i="3"/>
  <c r="K278" i="3"/>
  <c r="Q277" i="3"/>
  <c r="L277" i="3"/>
  <c r="K277" i="3"/>
  <c r="Q276" i="3"/>
  <c r="L276" i="3"/>
  <c r="K276" i="3"/>
  <c r="Q275" i="3"/>
  <c r="L275" i="3"/>
  <c r="K275" i="3"/>
  <c r="Q274" i="3"/>
  <c r="L274" i="3"/>
  <c r="K274" i="3"/>
  <c r="Q273" i="3"/>
  <c r="L273" i="3"/>
  <c r="K273" i="3"/>
  <c r="Q272" i="3"/>
  <c r="L272" i="3"/>
  <c r="K272" i="3"/>
  <c r="Q271" i="3"/>
  <c r="L271" i="3"/>
  <c r="K271" i="3"/>
  <c r="Q270" i="3"/>
  <c r="L270" i="3"/>
  <c r="K270" i="3"/>
  <c r="Q269" i="3"/>
  <c r="L269" i="3"/>
  <c r="K269" i="3"/>
  <c r="Q268" i="3"/>
  <c r="L268" i="3"/>
  <c r="K268" i="3"/>
  <c r="Q267" i="3"/>
  <c r="L267" i="3"/>
  <c r="K267" i="3"/>
  <c r="Q266" i="3"/>
  <c r="L266" i="3"/>
  <c r="K266" i="3"/>
  <c r="Q265" i="3"/>
  <c r="L265" i="3"/>
  <c r="K265" i="3"/>
  <c r="Q264" i="3"/>
  <c r="L264" i="3"/>
  <c r="K264" i="3"/>
  <c r="Q263" i="3"/>
  <c r="L263" i="3"/>
  <c r="K263" i="3"/>
  <c r="Q262" i="3"/>
  <c r="L262" i="3"/>
  <c r="K262" i="3"/>
  <c r="Q261" i="3"/>
  <c r="L261" i="3"/>
  <c r="K261" i="3"/>
  <c r="Q260" i="3"/>
  <c r="L260" i="3"/>
  <c r="K260" i="3"/>
  <c r="Q259" i="3"/>
  <c r="L259" i="3"/>
  <c r="K259" i="3"/>
  <c r="Q258" i="3"/>
  <c r="L258" i="3"/>
  <c r="K258" i="3"/>
  <c r="Q257" i="3"/>
  <c r="L257" i="3"/>
  <c r="K257" i="3"/>
  <c r="Q256" i="3"/>
  <c r="L256" i="3"/>
  <c r="K256" i="3"/>
  <c r="Q255" i="3"/>
  <c r="L255" i="3"/>
  <c r="K255" i="3"/>
  <c r="Q254" i="3"/>
  <c r="L254" i="3"/>
  <c r="K254" i="3"/>
  <c r="Q253" i="3"/>
  <c r="L253" i="3"/>
  <c r="K253" i="3"/>
  <c r="Q252" i="3"/>
  <c r="L252" i="3"/>
  <c r="K252" i="3"/>
  <c r="Q251" i="3"/>
  <c r="L251" i="3"/>
  <c r="K251" i="3"/>
  <c r="Q250" i="3"/>
  <c r="L250" i="3"/>
  <c r="K250" i="3"/>
  <c r="Q249" i="3"/>
  <c r="L249" i="3"/>
  <c r="K249" i="3"/>
  <c r="Q248" i="3"/>
  <c r="L248" i="3"/>
  <c r="K248" i="3"/>
  <c r="Q247" i="3"/>
  <c r="L247" i="3"/>
  <c r="K247" i="3"/>
  <c r="Q246" i="3"/>
  <c r="L246" i="3"/>
  <c r="K246" i="3"/>
  <c r="Q245" i="3"/>
  <c r="L245" i="3"/>
  <c r="K245" i="3"/>
  <c r="Q244" i="3"/>
  <c r="L244" i="3"/>
  <c r="K244" i="3"/>
  <c r="Q243" i="3"/>
  <c r="L243" i="3"/>
  <c r="K243" i="3"/>
  <c r="Q242" i="3"/>
  <c r="L242" i="3"/>
  <c r="K242" i="3"/>
  <c r="Q241" i="3"/>
  <c r="L241" i="3"/>
  <c r="K241" i="3"/>
  <c r="Q240" i="3"/>
  <c r="L240" i="3"/>
  <c r="K240" i="3"/>
  <c r="Q239" i="3"/>
  <c r="L239" i="3"/>
  <c r="K239" i="3"/>
  <c r="Q238" i="3"/>
  <c r="L238" i="3"/>
  <c r="K238" i="3"/>
  <c r="Q237" i="3"/>
  <c r="L237" i="3"/>
  <c r="K237" i="3"/>
  <c r="Q236" i="3"/>
  <c r="L236" i="3"/>
  <c r="K236" i="3"/>
  <c r="Q235" i="3"/>
  <c r="L235" i="3"/>
  <c r="K235" i="3"/>
  <c r="Q234" i="3"/>
  <c r="L234" i="3"/>
  <c r="K234" i="3"/>
  <c r="Q233" i="3"/>
  <c r="L233" i="3"/>
  <c r="K233" i="3"/>
  <c r="Q232" i="3"/>
  <c r="L232" i="3"/>
  <c r="K232" i="3"/>
  <c r="Q231" i="3"/>
  <c r="L231" i="3"/>
  <c r="K231" i="3"/>
  <c r="Q230" i="3"/>
  <c r="L230" i="3"/>
  <c r="K230" i="3"/>
  <c r="Q229" i="3"/>
  <c r="L229" i="3"/>
  <c r="K229" i="3"/>
  <c r="Q228" i="3"/>
  <c r="L228" i="3"/>
  <c r="K228" i="3"/>
  <c r="Q227" i="3"/>
  <c r="L227" i="3"/>
  <c r="K227" i="3"/>
  <c r="Q226" i="3"/>
  <c r="L226" i="3"/>
  <c r="K226" i="3"/>
  <c r="Q225" i="3"/>
  <c r="L225" i="3"/>
  <c r="K225" i="3"/>
  <c r="Q224" i="3"/>
  <c r="L224" i="3"/>
  <c r="K224" i="3"/>
  <c r="Q223" i="3"/>
  <c r="L223" i="3"/>
  <c r="K223" i="3"/>
  <c r="Q222" i="3"/>
  <c r="L222" i="3"/>
  <c r="K222" i="3"/>
  <c r="Q221" i="3"/>
  <c r="L221" i="3"/>
  <c r="K221" i="3"/>
  <c r="Q220" i="3"/>
  <c r="L220" i="3"/>
  <c r="K220" i="3"/>
  <c r="Q219" i="3"/>
  <c r="L219" i="3"/>
  <c r="K219" i="3"/>
  <c r="Q218" i="3"/>
  <c r="L218" i="3"/>
  <c r="K218" i="3"/>
  <c r="Q217" i="3"/>
  <c r="L217" i="3"/>
  <c r="K217" i="3"/>
  <c r="Q216" i="3"/>
  <c r="L216" i="3"/>
  <c r="K216" i="3"/>
  <c r="Q215" i="3"/>
  <c r="L215" i="3"/>
  <c r="K215" i="3"/>
  <c r="Q214" i="3"/>
  <c r="L214" i="3"/>
  <c r="K214" i="3"/>
  <c r="Q213" i="3"/>
  <c r="L213" i="3"/>
  <c r="K213" i="3"/>
  <c r="Q212" i="3"/>
  <c r="L212" i="3"/>
  <c r="K212" i="3"/>
  <c r="Q211" i="3"/>
  <c r="L211" i="3"/>
  <c r="K211" i="3"/>
  <c r="Q210" i="3"/>
  <c r="L210" i="3"/>
  <c r="K210" i="3"/>
  <c r="Q209" i="3"/>
  <c r="L209" i="3"/>
  <c r="K209" i="3"/>
  <c r="Q208" i="3"/>
  <c r="L208" i="3"/>
  <c r="K208" i="3"/>
  <c r="Q207" i="3"/>
  <c r="L207" i="3"/>
  <c r="K207" i="3"/>
  <c r="Q206" i="3"/>
  <c r="L206" i="3"/>
  <c r="K206" i="3"/>
  <c r="Q205" i="3"/>
  <c r="L205" i="3"/>
  <c r="K205" i="3"/>
  <c r="Q204" i="3"/>
  <c r="L204" i="3"/>
  <c r="K204" i="3"/>
  <c r="Q203" i="3"/>
  <c r="L203" i="3"/>
  <c r="K203" i="3"/>
  <c r="Q202" i="3"/>
  <c r="L202" i="3"/>
  <c r="K202" i="3"/>
  <c r="Q201" i="3"/>
  <c r="L201" i="3"/>
  <c r="K201" i="3"/>
  <c r="Q200" i="3"/>
  <c r="L200" i="3"/>
  <c r="K200" i="3"/>
  <c r="Q199" i="3"/>
  <c r="L199" i="3"/>
  <c r="K199" i="3"/>
  <c r="Q198" i="3"/>
  <c r="L198" i="3"/>
  <c r="K198" i="3"/>
  <c r="Q197" i="3"/>
  <c r="L197" i="3"/>
  <c r="K197" i="3"/>
  <c r="Q196" i="3"/>
  <c r="L196" i="3"/>
  <c r="K196" i="3"/>
  <c r="Q195" i="3"/>
  <c r="L195" i="3"/>
  <c r="K195" i="3"/>
  <c r="Q194" i="3"/>
  <c r="L194" i="3"/>
  <c r="K194" i="3"/>
  <c r="Q193" i="3"/>
  <c r="L193" i="3"/>
  <c r="K193" i="3"/>
  <c r="Q192" i="3"/>
  <c r="L192" i="3"/>
  <c r="K192" i="3"/>
  <c r="Q191" i="3"/>
  <c r="L191" i="3"/>
  <c r="K191" i="3"/>
  <c r="Q190" i="3"/>
  <c r="L190" i="3"/>
  <c r="K190" i="3"/>
  <c r="Q189" i="3"/>
  <c r="L189" i="3"/>
  <c r="K189" i="3"/>
  <c r="Q188" i="3"/>
  <c r="L188" i="3"/>
  <c r="K188" i="3"/>
  <c r="Q187" i="3"/>
  <c r="L187" i="3"/>
  <c r="K187" i="3"/>
  <c r="Q186" i="3"/>
  <c r="L186" i="3"/>
  <c r="K186" i="3"/>
  <c r="Q185" i="3"/>
  <c r="L185" i="3"/>
  <c r="K185" i="3"/>
  <c r="Q184" i="3"/>
  <c r="L184" i="3"/>
  <c r="K184" i="3"/>
  <c r="Q183" i="3"/>
  <c r="L183" i="3"/>
  <c r="K183" i="3"/>
  <c r="Q182" i="3"/>
  <c r="L182" i="3"/>
  <c r="K182" i="3"/>
  <c r="Q181" i="3"/>
  <c r="L181" i="3"/>
  <c r="K181" i="3"/>
  <c r="Q180" i="3"/>
  <c r="L180" i="3"/>
  <c r="K180" i="3"/>
  <c r="Q179" i="3"/>
  <c r="L179" i="3"/>
  <c r="K179" i="3"/>
  <c r="Q178" i="3"/>
  <c r="L178" i="3"/>
  <c r="K178" i="3"/>
  <c r="Q177" i="3"/>
  <c r="L177" i="3"/>
  <c r="K177" i="3"/>
  <c r="Q176" i="3"/>
  <c r="L176" i="3"/>
  <c r="K176" i="3"/>
  <c r="Q175" i="3"/>
  <c r="L175" i="3"/>
  <c r="K175" i="3"/>
  <c r="Q174" i="3"/>
  <c r="L174" i="3"/>
  <c r="K174" i="3"/>
  <c r="Q173" i="3"/>
  <c r="L173" i="3"/>
  <c r="K173" i="3"/>
  <c r="Q172" i="3"/>
  <c r="L172" i="3"/>
  <c r="K172" i="3"/>
  <c r="Q171" i="3"/>
  <c r="L171" i="3"/>
  <c r="K171" i="3"/>
  <c r="Q170" i="3"/>
  <c r="L170" i="3"/>
  <c r="K170" i="3"/>
  <c r="Q169" i="3"/>
  <c r="L169" i="3"/>
  <c r="K169" i="3"/>
  <c r="Q168" i="3"/>
  <c r="L168" i="3"/>
  <c r="K168" i="3"/>
  <c r="Q167" i="3"/>
  <c r="L167" i="3"/>
  <c r="K167" i="3"/>
  <c r="Q166" i="3"/>
  <c r="L166" i="3"/>
  <c r="K166" i="3"/>
  <c r="Q165" i="3"/>
  <c r="L165" i="3"/>
  <c r="K165" i="3"/>
  <c r="Q164" i="3"/>
  <c r="L164" i="3"/>
  <c r="K164" i="3"/>
  <c r="Q163" i="3"/>
  <c r="L163" i="3"/>
  <c r="K163" i="3"/>
  <c r="Q162" i="3"/>
  <c r="L162" i="3"/>
  <c r="K162" i="3"/>
  <c r="Q161" i="3"/>
  <c r="L161" i="3"/>
  <c r="K161" i="3"/>
  <c r="Q160" i="3"/>
  <c r="L160" i="3"/>
  <c r="K160" i="3"/>
  <c r="Q159" i="3"/>
  <c r="L159" i="3"/>
  <c r="K159" i="3"/>
  <c r="Q158" i="3"/>
  <c r="L158" i="3"/>
  <c r="K158" i="3"/>
  <c r="Q157" i="3"/>
  <c r="L157" i="3"/>
  <c r="K157" i="3"/>
  <c r="Q156" i="3"/>
  <c r="L156" i="3"/>
  <c r="K156" i="3"/>
  <c r="Q155" i="3"/>
  <c r="L155" i="3"/>
  <c r="K155" i="3"/>
  <c r="Q154" i="3"/>
  <c r="L154" i="3"/>
  <c r="K154" i="3"/>
  <c r="Q153" i="3"/>
  <c r="L153" i="3"/>
  <c r="K153" i="3"/>
  <c r="Q152" i="3"/>
  <c r="L152" i="3"/>
  <c r="K152" i="3"/>
  <c r="Q151" i="3"/>
  <c r="L151" i="3"/>
  <c r="K151" i="3"/>
  <c r="Q150" i="3"/>
  <c r="L150" i="3"/>
  <c r="K150" i="3"/>
  <c r="Q149" i="3"/>
  <c r="L149" i="3"/>
  <c r="K149" i="3"/>
  <c r="Q148" i="3"/>
  <c r="L148" i="3"/>
  <c r="K148" i="3"/>
  <c r="Q147" i="3"/>
  <c r="L147" i="3"/>
  <c r="K147" i="3"/>
  <c r="Q146" i="3"/>
  <c r="L146" i="3"/>
  <c r="K146" i="3"/>
  <c r="Q145" i="3"/>
  <c r="L145" i="3"/>
  <c r="K145" i="3"/>
  <c r="Q144" i="3"/>
  <c r="L144" i="3"/>
  <c r="K144" i="3"/>
  <c r="Q143" i="3"/>
  <c r="L143" i="3"/>
  <c r="K143" i="3"/>
  <c r="Q142" i="3"/>
  <c r="L142" i="3"/>
  <c r="K142" i="3"/>
  <c r="Q141" i="3"/>
  <c r="L141" i="3"/>
  <c r="K141" i="3"/>
  <c r="Q140" i="3"/>
  <c r="L140" i="3"/>
  <c r="K140" i="3"/>
  <c r="Q139" i="3"/>
  <c r="L139" i="3"/>
  <c r="K139" i="3"/>
  <c r="Q138" i="3"/>
  <c r="L138" i="3"/>
  <c r="K138" i="3"/>
  <c r="Q137" i="3"/>
  <c r="L137" i="3"/>
  <c r="K137" i="3"/>
  <c r="Q136" i="3"/>
  <c r="L136" i="3"/>
  <c r="K136" i="3"/>
  <c r="Q135" i="3"/>
  <c r="L135" i="3"/>
  <c r="K135" i="3"/>
  <c r="Q134" i="3"/>
  <c r="L134" i="3"/>
  <c r="K134" i="3"/>
  <c r="Q133" i="3"/>
  <c r="L133" i="3"/>
  <c r="K133" i="3"/>
  <c r="Q132" i="3"/>
  <c r="L132" i="3"/>
  <c r="K132" i="3"/>
  <c r="Q131" i="3"/>
  <c r="L131" i="3"/>
  <c r="K131" i="3"/>
  <c r="Q130" i="3"/>
  <c r="L130" i="3"/>
  <c r="K130" i="3"/>
  <c r="Q129" i="3"/>
  <c r="L129" i="3"/>
  <c r="K129" i="3"/>
  <c r="Q128" i="3"/>
  <c r="L128" i="3"/>
  <c r="K128" i="3"/>
  <c r="Q127" i="3"/>
  <c r="L127" i="3"/>
  <c r="K127" i="3"/>
  <c r="Q126" i="3"/>
  <c r="L126" i="3"/>
  <c r="K126" i="3"/>
  <c r="Q125" i="3"/>
  <c r="L125" i="3"/>
  <c r="K125" i="3"/>
  <c r="Q124" i="3"/>
  <c r="L124" i="3"/>
  <c r="K124" i="3"/>
  <c r="Q123" i="3"/>
  <c r="L123" i="3"/>
  <c r="K123" i="3"/>
  <c r="Q122" i="3"/>
  <c r="L122" i="3"/>
  <c r="K122" i="3"/>
  <c r="Q121" i="3"/>
  <c r="L121" i="3"/>
  <c r="K121" i="3"/>
  <c r="Q120" i="3"/>
  <c r="L120" i="3"/>
  <c r="K120" i="3"/>
  <c r="Q119" i="3"/>
  <c r="L119" i="3"/>
  <c r="K119" i="3"/>
  <c r="Q118" i="3"/>
  <c r="L118" i="3"/>
  <c r="K118" i="3"/>
  <c r="Q117" i="3"/>
  <c r="L117" i="3"/>
  <c r="K117" i="3"/>
  <c r="Q116" i="3"/>
  <c r="L116" i="3"/>
  <c r="K116" i="3"/>
  <c r="Q115" i="3"/>
  <c r="L115" i="3"/>
  <c r="K115" i="3"/>
  <c r="Q114" i="3"/>
  <c r="L114" i="3"/>
  <c r="K114" i="3"/>
  <c r="Q113" i="3"/>
  <c r="L113" i="3"/>
  <c r="K113" i="3"/>
  <c r="Q112" i="3"/>
  <c r="L112" i="3"/>
  <c r="K112" i="3"/>
  <c r="Q111" i="3"/>
  <c r="L111" i="3"/>
  <c r="K111" i="3"/>
  <c r="Q110" i="3"/>
  <c r="L110" i="3"/>
  <c r="K110" i="3"/>
  <c r="Q109" i="3"/>
  <c r="L109" i="3"/>
  <c r="K109" i="3"/>
  <c r="Q108" i="3"/>
  <c r="L108" i="3"/>
  <c r="K108" i="3"/>
  <c r="Q107" i="3"/>
  <c r="L107" i="3"/>
  <c r="K107" i="3"/>
  <c r="Q106" i="3"/>
  <c r="L106" i="3"/>
  <c r="K106" i="3"/>
  <c r="Q105" i="3"/>
  <c r="L105" i="3"/>
  <c r="K105" i="3"/>
  <c r="Q104" i="3"/>
  <c r="L104" i="3"/>
  <c r="K104" i="3"/>
  <c r="Q103" i="3"/>
  <c r="L103" i="3"/>
  <c r="K103" i="3"/>
  <c r="Q102" i="3"/>
  <c r="L102" i="3"/>
  <c r="K102" i="3"/>
  <c r="Q101" i="3"/>
  <c r="L101" i="3"/>
  <c r="K101" i="3"/>
  <c r="Q100" i="3"/>
  <c r="L100" i="3"/>
  <c r="K100" i="3"/>
  <c r="Q99" i="3"/>
  <c r="L99" i="3"/>
  <c r="K99" i="3"/>
  <c r="Q98" i="3"/>
  <c r="L98" i="3"/>
  <c r="K98" i="3"/>
  <c r="Q97" i="3"/>
  <c r="L97" i="3"/>
  <c r="K97" i="3"/>
  <c r="Q96" i="3"/>
  <c r="L96" i="3"/>
  <c r="K96" i="3"/>
  <c r="Q95" i="3"/>
  <c r="L95" i="3"/>
  <c r="K95" i="3"/>
  <c r="Q94" i="3"/>
  <c r="L94" i="3"/>
  <c r="K94" i="3"/>
  <c r="Q93" i="3"/>
  <c r="L93" i="3"/>
  <c r="K93" i="3"/>
  <c r="Q92" i="3"/>
  <c r="L92" i="3"/>
  <c r="K92" i="3"/>
  <c r="Q91" i="3"/>
  <c r="L91" i="3"/>
  <c r="K91" i="3"/>
  <c r="Q90" i="3"/>
  <c r="L90" i="3"/>
  <c r="K90" i="3"/>
  <c r="Q89" i="3"/>
  <c r="L89" i="3"/>
  <c r="K89" i="3"/>
  <c r="Q88" i="3"/>
  <c r="L88" i="3"/>
  <c r="K88" i="3"/>
  <c r="Q87" i="3"/>
  <c r="L87" i="3"/>
  <c r="K87" i="3"/>
  <c r="Q86" i="3"/>
  <c r="L86" i="3"/>
  <c r="K86" i="3"/>
  <c r="Q85" i="3"/>
  <c r="L85" i="3"/>
  <c r="K85" i="3"/>
  <c r="Q84" i="3"/>
  <c r="L84" i="3"/>
  <c r="K84" i="3"/>
  <c r="Q83" i="3"/>
  <c r="L83" i="3"/>
  <c r="K83" i="3"/>
  <c r="Q82" i="3"/>
  <c r="L82" i="3"/>
  <c r="K82" i="3"/>
  <c r="Q81" i="3"/>
  <c r="L81" i="3"/>
  <c r="K81" i="3"/>
  <c r="Q80" i="3"/>
  <c r="L80" i="3"/>
  <c r="K80" i="3"/>
  <c r="Q79" i="3"/>
  <c r="L79" i="3"/>
  <c r="K79" i="3"/>
  <c r="Q78" i="3"/>
  <c r="L78" i="3"/>
  <c r="K78" i="3"/>
  <c r="Q77" i="3"/>
  <c r="L77" i="3"/>
  <c r="K77" i="3"/>
  <c r="Q76" i="3"/>
  <c r="L76" i="3"/>
  <c r="K76" i="3"/>
  <c r="Q75" i="3"/>
  <c r="L75" i="3"/>
  <c r="K75" i="3"/>
  <c r="Q74" i="3"/>
  <c r="L74" i="3"/>
  <c r="K74" i="3"/>
  <c r="Q73" i="3"/>
  <c r="L73" i="3"/>
  <c r="K73" i="3"/>
  <c r="Q72" i="3"/>
  <c r="L72" i="3"/>
  <c r="K72" i="3"/>
  <c r="Q71" i="3"/>
  <c r="L71" i="3"/>
  <c r="K71" i="3"/>
  <c r="Q70" i="3"/>
  <c r="L70" i="3"/>
  <c r="K70" i="3"/>
  <c r="Q69" i="3"/>
  <c r="L69" i="3"/>
  <c r="K69" i="3"/>
  <c r="Q68" i="3"/>
  <c r="L68" i="3"/>
  <c r="K68" i="3"/>
  <c r="Q67" i="3"/>
  <c r="L67" i="3"/>
  <c r="K67" i="3"/>
  <c r="Q66" i="3"/>
  <c r="L66" i="3"/>
  <c r="K66" i="3"/>
  <c r="Q65" i="3"/>
  <c r="L65" i="3"/>
  <c r="K65" i="3"/>
  <c r="Q64" i="3"/>
  <c r="L64" i="3"/>
  <c r="K64" i="3"/>
  <c r="Q63" i="3"/>
  <c r="L63" i="3"/>
  <c r="K63" i="3"/>
  <c r="Q62" i="3"/>
  <c r="L62" i="3"/>
  <c r="K62" i="3"/>
  <c r="Q61" i="3"/>
  <c r="L61" i="3"/>
  <c r="K61" i="3"/>
  <c r="Q60" i="3"/>
  <c r="L60" i="3"/>
  <c r="K60" i="3"/>
  <c r="Q59" i="3"/>
  <c r="L59" i="3"/>
  <c r="K59" i="3"/>
  <c r="Q58" i="3"/>
  <c r="L58" i="3"/>
  <c r="K58" i="3"/>
  <c r="Q57" i="3"/>
  <c r="L57" i="3"/>
  <c r="K57" i="3"/>
  <c r="Q56" i="3"/>
  <c r="L56" i="3"/>
  <c r="K56" i="3"/>
  <c r="Q55" i="3"/>
  <c r="L55" i="3"/>
  <c r="K55" i="3"/>
  <c r="Q54" i="3"/>
  <c r="L54" i="3"/>
  <c r="K54" i="3"/>
  <c r="Q53" i="3"/>
  <c r="L53" i="3"/>
  <c r="K53" i="3"/>
  <c r="Q52" i="3"/>
  <c r="L52" i="3"/>
  <c r="K52" i="3"/>
  <c r="Q51" i="3"/>
  <c r="L51" i="3"/>
  <c r="K51" i="3"/>
  <c r="Q50" i="3"/>
  <c r="L50" i="3"/>
  <c r="K50" i="3"/>
  <c r="Q49" i="3"/>
  <c r="L49" i="3"/>
  <c r="K49" i="3"/>
  <c r="Q48" i="3"/>
  <c r="L48" i="3"/>
  <c r="K48" i="3"/>
  <c r="Q47" i="3"/>
  <c r="L47" i="3"/>
  <c r="K47" i="3"/>
  <c r="Q46" i="3"/>
  <c r="L46" i="3"/>
  <c r="K46" i="3"/>
  <c r="Q45" i="3"/>
  <c r="L45" i="3"/>
  <c r="K45" i="3"/>
  <c r="Q44" i="3"/>
  <c r="L44" i="3"/>
  <c r="K44" i="3"/>
  <c r="Q43" i="3"/>
  <c r="L43" i="3"/>
  <c r="K43" i="3"/>
  <c r="Q42" i="3"/>
  <c r="L42" i="3"/>
  <c r="K42" i="3"/>
  <c r="Q41" i="3"/>
  <c r="L41" i="3"/>
  <c r="K41" i="3"/>
  <c r="Q40" i="3"/>
  <c r="L40" i="3"/>
  <c r="K40" i="3"/>
  <c r="Q39" i="3"/>
  <c r="L39" i="3"/>
  <c r="K39" i="3"/>
  <c r="Q38" i="3"/>
  <c r="L38" i="3"/>
  <c r="K38" i="3"/>
  <c r="Q37" i="3"/>
  <c r="L37" i="3"/>
  <c r="K37" i="3"/>
  <c r="Q36" i="3"/>
  <c r="L36" i="3"/>
  <c r="K36" i="3"/>
  <c r="Q35" i="3"/>
  <c r="L35" i="3"/>
  <c r="K35" i="3"/>
  <c r="Q34" i="3"/>
  <c r="L34" i="3"/>
  <c r="K34" i="3"/>
  <c r="Q33" i="3"/>
  <c r="L33" i="3"/>
  <c r="K33" i="3"/>
  <c r="Q32" i="3"/>
  <c r="L32" i="3"/>
  <c r="K32" i="3"/>
  <c r="Q31" i="3"/>
  <c r="L31" i="3"/>
  <c r="K31" i="3"/>
  <c r="Q30" i="3"/>
  <c r="L30" i="3"/>
  <c r="K30" i="3"/>
  <c r="Q29" i="3"/>
  <c r="L29" i="3"/>
  <c r="K29" i="3"/>
  <c r="Q28" i="3"/>
  <c r="L28" i="3"/>
  <c r="K28" i="3"/>
  <c r="Q27" i="3"/>
  <c r="L27" i="3"/>
  <c r="K27" i="3"/>
  <c r="Q26" i="3"/>
  <c r="L26" i="3"/>
  <c r="K26" i="3"/>
  <c r="Q25" i="3"/>
  <c r="L25" i="3"/>
  <c r="K25" i="3"/>
  <c r="Q24" i="3"/>
  <c r="L24" i="3"/>
  <c r="K24" i="3"/>
  <c r="Q23" i="3"/>
  <c r="L23" i="3"/>
  <c r="K23" i="3"/>
  <c r="Q22" i="3"/>
  <c r="L22" i="3"/>
  <c r="K22" i="3"/>
  <c r="Q21" i="3"/>
  <c r="L21" i="3"/>
  <c r="K21" i="3"/>
  <c r="Q20" i="3"/>
  <c r="L20" i="3"/>
  <c r="K20" i="3"/>
  <c r="Q19" i="3"/>
  <c r="L19" i="3"/>
  <c r="K19" i="3"/>
  <c r="Q18" i="3"/>
  <c r="L18" i="3"/>
  <c r="K18" i="3"/>
  <c r="Q17" i="3"/>
  <c r="L17" i="3"/>
  <c r="K17" i="3"/>
  <c r="Q16" i="3"/>
  <c r="L16" i="3"/>
  <c r="K16" i="3"/>
  <c r="Q15" i="3"/>
  <c r="L15" i="3"/>
  <c r="K15" i="3"/>
  <c r="Q14" i="3"/>
  <c r="L14" i="3"/>
  <c r="K14" i="3"/>
  <c r="Q13" i="3"/>
  <c r="L13" i="3"/>
  <c r="K13" i="3"/>
  <c r="Q12" i="3"/>
  <c r="L12" i="3"/>
  <c r="K12" i="3"/>
  <c r="Q11" i="3"/>
  <c r="L11" i="3"/>
  <c r="K11" i="3"/>
  <c r="Q10" i="3"/>
  <c r="L10" i="3"/>
  <c r="K10" i="3"/>
  <c r="Q9" i="3"/>
  <c r="L9" i="3"/>
  <c r="K9" i="3"/>
  <c r="Q8" i="3"/>
  <c r="L8" i="3"/>
  <c r="K8" i="3"/>
  <c r="Q7" i="3"/>
  <c r="L7" i="3"/>
  <c r="K7" i="3"/>
  <c r="Q6" i="3"/>
  <c r="L6" i="3"/>
  <c r="K6" i="3"/>
  <c r="Q5" i="3"/>
  <c r="L5" i="3"/>
  <c r="K5" i="3"/>
  <c r="Q4" i="3"/>
  <c r="L4" i="3"/>
  <c r="K4" i="3"/>
  <c r="Q3" i="3"/>
  <c r="L3" i="3"/>
  <c r="K3" i="3"/>
</calcChain>
</file>

<file path=xl/sharedStrings.xml><?xml version="1.0" encoding="utf-8"?>
<sst xmlns="http://schemas.openxmlformats.org/spreadsheetml/2006/main" count="7652" uniqueCount="5032">
  <si>
    <t>gene_ID</t>
  </si>
  <si>
    <t>NCBI Ref Seq</t>
  </si>
  <si>
    <t>Note</t>
  </si>
  <si>
    <t>eff_length</t>
  </si>
  <si>
    <t>KM1921</t>
  </si>
  <si>
    <t>KM1922</t>
  </si>
  <si>
    <t>KM1923</t>
  </si>
  <si>
    <t>KM1924</t>
  </si>
  <si>
    <t>KM1918</t>
  </si>
  <si>
    <t>KM1920</t>
  </si>
  <si>
    <t>KM1928</t>
  </si>
  <si>
    <t>1d</t>
  </si>
  <si>
    <t>10d</t>
  </si>
  <si>
    <t>pval</t>
  </si>
  <si>
    <t>qval</t>
  </si>
  <si>
    <t>b</t>
  </si>
  <si>
    <t>target_id</t>
  </si>
  <si>
    <t>10DO vs 1DO</t>
  </si>
  <si>
    <t>At_accesn</t>
  </si>
  <si>
    <t>At_evalue</t>
  </si>
  <si>
    <t>Nitab4.5_0000255g0110.1</t>
  </si>
  <si>
    <t>XM_016633551.1</t>
  </si>
  <si>
    <t xml:space="preserve">PEPC1; Pyridoxal phosphate phosphatase-related protein </t>
  </si>
  <si>
    <t>AT1G17710.1</t>
  </si>
  <si>
    <t>PEPC1, 'Pyridoxal phosphate phosphatase-related protein'</t>
  </si>
  <si>
    <t>Nitab4.5_0007754g0030.1</t>
  </si>
  <si>
    <t>XM_016623398.1</t>
  </si>
  <si>
    <t xml:space="preserve">ATEXT3, RSH, EXT3: extensin 3 </t>
  </si>
  <si>
    <t>AT1G21310.1</t>
  </si>
  <si>
    <t>Nitab4.5_0006492g0040.1</t>
  </si>
  <si>
    <t>Nitab4.5_0009383g0010.1</t>
  </si>
  <si>
    <t>XM_016579064.1</t>
  </si>
  <si>
    <t xml:space="preserve">Ctr copper transporter family </t>
  </si>
  <si>
    <t>AT3G46900</t>
  </si>
  <si>
    <t>Nitab4.5_0000073g0400.1</t>
  </si>
  <si>
    <t>XM_016618976.1</t>
  </si>
  <si>
    <t xml:space="preserve">SUS4, ATSUS4: sucrose synthase 4 </t>
  </si>
  <si>
    <t>AT3G43190.1</t>
  </si>
  <si>
    <t>'sucrose synthase 4'</t>
  </si>
  <si>
    <t>Nitab4.5_0003567g0040.1</t>
  </si>
  <si>
    <t>XM_016660335.1</t>
  </si>
  <si>
    <t xml:space="preserve">ATEXLB1, EXPR, AT-EXPR, ATEXPR1, ATHEXP BETA 3.1, EXLB1: expansin-like B1 </t>
  </si>
  <si>
    <t>AT4G17030.1</t>
  </si>
  <si>
    <t>'expansin-like B1'</t>
  </si>
  <si>
    <t>Nitab4.5_0001477g0070.1</t>
  </si>
  <si>
    <t>XM_016587502.1</t>
  </si>
  <si>
    <t xml:space="preserve">ATPRB1, PRB1: basic pathogenesis-related protein 1 </t>
  </si>
  <si>
    <t>Nitab4.5_0000312g0240.1</t>
  </si>
  <si>
    <t>XM_016635073.1</t>
  </si>
  <si>
    <t xml:space="preserve">Bifunctional inhibitor/lipid-transfer protein/seed storage 2S albumin superfamily protein </t>
  </si>
  <si>
    <t>Nitab4.5_0004038g0020.1</t>
  </si>
  <si>
    <t>Nitab4.5_0009399g0020.1</t>
  </si>
  <si>
    <t>XM_016591645.1</t>
  </si>
  <si>
    <t>'Bifunctional inhibitor/lipid-transfer protein/seed storage 2S albumin superfamily protein'</t>
  </si>
  <si>
    <t>Nitab4.5_0002219g0010.1</t>
  </si>
  <si>
    <t>XM_016658040.1</t>
  </si>
  <si>
    <t>AT5G05540.1</t>
  </si>
  <si>
    <t>'small RNA degrading nuclease 2'</t>
  </si>
  <si>
    <t>Nitab4.5_0002224g0100.1</t>
  </si>
  <si>
    <t>XM_016588701.1</t>
  </si>
  <si>
    <t>AT1G19530.1</t>
  </si>
  <si>
    <t>'unknown protein'</t>
  </si>
  <si>
    <t>Nitab4.5_0003766g0010.1</t>
  </si>
  <si>
    <t>XM_016625867.1</t>
  </si>
  <si>
    <t xml:space="preserve">Protein of unknown function (DUF506)  </t>
  </si>
  <si>
    <t>AT4G32480.1</t>
  </si>
  <si>
    <t>'Protein of unknown function (DUF506)'</t>
  </si>
  <si>
    <t>Nitab4.5_0002214g0060.1</t>
  </si>
  <si>
    <t>XM_016621117.1</t>
  </si>
  <si>
    <t xml:space="preserve">Adenine nucleotide alpha hydrolases-like superfamily protein </t>
  </si>
  <si>
    <t>AT3G03270.2</t>
  </si>
  <si>
    <t>'Adenine nucleotide alpha hydrolases-like superfamily protein'</t>
  </si>
  <si>
    <t>Nitab4.5_0000016g0170.1</t>
  </si>
  <si>
    <t>XM_016619184.1</t>
  </si>
  <si>
    <t xml:space="preserve">PGIP1, ATPGIP1: polygalacturonase inhibiting protein 1 </t>
  </si>
  <si>
    <t>Nitab4.5_0002156g0050.1</t>
  </si>
  <si>
    <t>XM_016604311.1</t>
  </si>
  <si>
    <t xml:space="preserve">PAP1, ATPAP1, PAP12, ATPAP12: purple acid phosphatase 12 </t>
  </si>
  <si>
    <t>AT2G27190.1</t>
  </si>
  <si>
    <t>'purple acid phosphatase 12'</t>
  </si>
  <si>
    <t>Nitab4.5_0000180g0140.1</t>
  </si>
  <si>
    <t>XM_016624436.1</t>
  </si>
  <si>
    <t xml:space="preserve">Glycosyl hydrolase superfamily protein </t>
  </si>
  <si>
    <t>AT4G16260.1</t>
  </si>
  <si>
    <t>'Glycosyl hydrolase superfamily protein'</t>
  </si>
  <si>
    <t>Nitab4.5_0002167g0060.1</t>
  </si>
  <si>
    <t>XM_016587684.1</t>
  </si>
  <si>
    <t>Nitab4.5_0003309g0070.1</t>
  </si>
  <si>
    <t>XM_016597780.1</t>
  </si>
  <si>
    <t xml:space="preserve">ATACP5, ATPAP17, PAP17: purple acid phosphatase 17 </t>
  </si>
  <si>
    <t>AT3G17790.1</t>
  </si>
  <si>
    <t>'purple acid phosphatase 17'</t>
  </si>
  <si>
    <t>Nitab4.5_0000430g0050.1</t>
  </si>
  <si>
    <t>XM_016622381.1</t>
  </si>
  <si>
    <t xml:space="preserve">Pectin lyase-like superfamily protein </t>
  </si>
  <si>
    <t>'Pectin lyase-like superfamily protein'</t>
  </si>
  <si>
    <t>Nitab4.5_0000139g0140.1</t>
  </si>
  <si>
    <t>XM_016626752.1</t>
  </si>
  <si>
    <t xml:space="preserve">LOCATED IN: endomembrane system; CONTAINS InterPro DOMAIN/s: Protein of unknown function DUF179 (InterPro:IPR003774), Thioredoxin fold (InterPro:IPR012335), Thioredoxin-like fold (InterPro:IPR012336); BEST Arabidopsis thaliana protein match is: Protein of unknown function (DUF179) (TAIR:AT1G33780.1). </t>
  </si>
  <si>
    <t>AT3G19780.2</t>
  </si>
  <si>
    <t>Nitab4.5_0006988g0020.1</t>
  </si>
  <si>
    <t>XM_016587321.1</t>
  </si>
  <si>
    <t xml:space="preserve">ATRBOHB, RBOHB: respiratory burst oxidase homolog B </t>
  </si>
  <si>
    <t>AT1G09090.2</t>
  </si>
  <si>
    <t>'respiratory burst oxidase homolog B'</t>
  </si>
  <si>
    <t xml:space="preserve">bHLH093: beta HLH protein 93 </t>
  </si>
  <si>
    <t>AT5G65640.1</t>
  </si>
  <si>
    <t>'beta HLH protein 93'</t>
  </si>
  <si>
    <t>Nitab4.5_0003875g0020.1</t>
  </si>
  <si>
    <t>XM_016651433.1</t>
  </si>
  <si>
    <t>AT4G12480.1</t>
  </si>
  <si>
    <t>Nitab4.5_0012800g0010.1</t>
  </si>
  <si>
    <t>XM_016612642.1</t>
  </si>
  <si>
    <t>Nitab4.5_0000908g0100.1</t>
  </si>
  <si>
    <t>XM_016588780.1</t>
  </si>
  <si>
    <t>Nitab4.5_0001386g0050.1</t>
  </si>
  <si>
    <t>XM_016610183.1</t>
  </si>
  <si>
    <t xml:space="preserve">Wound-responsive family protein </t>
  </si>
  <si>
    <t>Nitab4.5_0003201g0010.1</t>
  </si>
  <si>
    <t>XM_016579075.1</t>
  </si>
  <si>
    <t>AT2G25625.2</t>
  </si>
  <si>
    <t xml:space="preserve">Acyl-CoA N-acyltransferases (NAT) superfamily protein </t>
  </si>
  <si>
    <t>AT2G06025.1</t>
  </si>
  <si>
    <t>'Acyl-CoA N-acyltransferases (NAT) superfamily protein'</t>
  </si>
  <si>
    <t>Nitab4.5_0000477g0200.1</t>
  </si>
  <si>
    <t>XM_016584427.1</t>
  </si>
  <si>
    <t xml:space="preserve">Kunitz family trypsin and protease inhibitor protein </t>
  </si>
  <si>
    <t>Nitab4.5_0002150g0010.1</t>
  </si>
  <si>
    <t>XM_016614445.1</t>
  </si>
  <si>
    <t>AT1G47960.1</t>
  </si>
  <si>
    <t>'cell wall / vacuolar inhibitor of fructosidase 1'</t>
  </si>
  <si>
    <t>Nitab4.5_0000354g0040.1</t>
  </si>
  <si>
    <t>XM_016656513.1</t>
  </si>
  <si>
    <t>-</t>
  </si>
  <si>
    <t>'-'</t>
  </si>
  <si>
    <t>Nitab4.5_0000108g0210.1</t>
  </si>
  <si>
    <t>XR_001647407.1</t>
  </si>
  <si>
    <t xml:space="preserve">ASY1, ATASY1: DNA-binding HORMA family protein </t>
  </si>
  <si>
    <t>Nitab4.5_0002498g0070.1</t>
  </si>
  <si>
    <t>XM_016631818.1</t>
  </si>
  <si>
    <t xml:space="preserve">CML38: calmodulin-like 38 </t>
  </si>
  <si>
    <t>Nitab4.5_0002311g0040.1</t>
  </si>
  <si>
    <t>XM_016617475.1</t>
  </si>
  <si>
    <t>Nitab4.5_0000024g0190.1</t>
  </si>
  <si>
    <t>XM_016591278.1</t>
  </si>
  <si>
    <t xml:space="preserve">HMG1, HMGR1, AtHMGR1: hydroxy methylglutaryl CoA reductase 1 </t>
  </si>
  <si>
    <t>AT1G76490.1</t>
  </si>
  <si>
    <t>'hydroxy methylglutaryl CoA reductase 1'</t>
  </si>
  <si>
    <t xml:space="preserve">ATOCT3, 3-Oct: organic cation/carnitine transporter 3 </t>
  </si>
  <si>
    <t>AT1G16390.1</t>
  </si>
  <si>
    <t>'organic cation/carnitine transporter 3'</t>
  </si>
  <si>
    <t xml:space="preserve">UDP-Glycosyltransferase superfamily protein </t>
  </si>
  <si>
    <t>AT2G36970.1</t>
  </si>
  <si>
    <t>'UDP-Glycosyltransferase superfamily protein'</t>
  </si>
  <si>
    <t>Nitab4.5_0007815g0080.1</t>
  </si>
  <si>
    <t>XM_016655750.1</t>
  </si>
  <si>
    <t>Nitab4.5_0000500g0190.1</t>
  </si>
  <si>
    <t>AT3G14880.2</t>
  </si>
  <si>
    <t xml:space="preserve">HIPP20: Heavy metal transport/detoxification superfamily protein  </t>
  </si>
  <si>
    <t>AT1G71050.1</t>
  </si>
  <si>
    <t>'Heavy metal transport/detoxification superfamily protein'</t>
  </si>
  <si>
    <t>Nitab4.5_0003230g0050.1</t>
  </si>
  <si>
    <t>Nitab4.5_0013627g0020.1</t>
  </si>
  <si>
    <t>XM_016644710.1</t>
  </si>
  <si>
    <t xml:space="preserve">Putative glycosyl hydrolase of unknown function (DUF1680) </t>
  </si>
  <si>
    <t>AT5G12950.1</t>
  </si>
  <si>
    <t>'Putative glycosyl hydrolase of unknown function (DUF1680)'</t>
  </si>
  <si>
    <t>Nitab4.5_0000092g0120.1</t>
  </si>
  <si>
    <t>XM_016594542.1</t>
  </si>
  <si>
    <t xml:space="preserve">PAT1: GRAS family transcription factor </t>
  </si>
  <si>
    <t>AT5G48150.2</t>
  </si>
  <si>
    <t>'GRAS family transcription factor'</t>
  </si>
  <si>
    <t xml:space="preserve">ATSPLA2-ALPHA, PLA2-ALPHA: Phospholipase A2 family protein </t>
  </si>
  <si>
    <t>AT2G06925.1</t>
  </si>
  <si>
    <t>'Phospholipase A2 family protein'</t>
  </si>
  <si>
    <t xml:space="preserve">O-fucosyltransferase family protein </t>
  </si>
  <si>
    <t>'O-fucosyltransferase family protein'</t>
  </si>
  <si>
    <t xml:space="preserve">Protein of unknown function (DUF760) </t>
  </si>
  <si>
    <t>AT3G07310.1</t>
  </si>
  <si>
    <t>'Protein of unknown function (DUF760)'</t>
  </si>
  <si>
    <t>Nitab4.5_0005389g0040.1</t>
  </si>
  <si>
    <t>Nitab4.5_0001840g0060.1</t>
  </si>
  <si>
    <t xml:space="preserve">PAP10, ATPAP10: purple acid phosphatase 10 </t>
  </si>
  <si>
    <t>Nitab4.5_0000040g0340.1</t>
  </si>
  <si>
    <t>XM_016594737.1</t>
  </si>
  <si>
    <t xml:space="preserve">Ribonuclease T2 family protein </t>
  </si>
  <si>
    <t>AT1G14220.1</t>
  </si>
  <si>
    <t>Nitab4.5_0001477g0080.1</t>
  </si>
  <si>
    <t>XM_016587501.1</t>
  </si>
  <si>
    <t xml:space="preserve">CAP (Cysteine-rich secretory proteins, Antigen 5, and Pathogenesis-related 1 protein) superfamily protein </t>
  </si>
  <si>
    <t>AT2G14580.1</t>
  </si>
  <si>
    <t>'basic pathogenesis-related protein 1'</t>
  </si>
  <si>
    <t>Nitab4.5_0001759g0080.1</t>
  </si>
  <si>
    <t>XM_016659736.1</t>
  </si>
  <si>
    <t>AT4G27450.1</t>
  </si>
  <si>
    <t>'Aluminium induced protein with YGL and LRDR motifs'</t>
  </si>
  <si>
    <t>Nitab4.5_0029367g0020.1</t>
  </si>
  <si>
    <t>XM_016635313.1</t>
  </si>
  <si>
    <t xml:space="preserve">FLS2: Leucine-rich receptor-like protein kinase family protein </t>
  </si>
  <si>
    <t>AT5G46330.1</t>
  </si>
  <si>
    <t>'Leucine-rich receptor-like protein kinase family protein'</t>
  </si>
  <si>
    <t xml:space="preserve">TPS21: terpene synthase 21 </t>
  </si>
  <si>
    <t>AT5G23960.2</t>
  </si>
  <si>
    <t>'terpene synthase 21'</t>
  </si>
  <si>
    <t xml:space="preserve">AtPP2-B15, PP2-B15: phloem protein 2-B15 </t>
  </si>
  <si>
    <t>AT1G09155.1</t>
  </si>
  <si>
    <t>'phloem protein 2-B15'</t>
  </si>
  <si>
    <t>Nitab4.5_0000470g0170.1</t>
  </si>
  <si>
    <t>XM_016600215.1</t>
  </si>
  <si>
    <t xml:space="preserve">PHT1;7: phosphate transporter 1;7 </t>
  </si>
  <si>
    <t>AT3G54700.1</t>
  </si>
  <si>
    <t>'phosphate transporter 1'</t>
  </si>
  <si>
    <t>Nitab4.5_0010792g0020.1</t>
  </si>
  <si>
    <t>XM_016632906.1</t>
  </si>
  <si>
    <t xml:space="preserve">SAUR-like auxin-responsive protein family  </t>
  </si>
  <si>
    <t>'NB-ARC domain-containing disease resistance protein'</t>
  </si>
  <si>
    <t xml:space="preserve">Pollen Ole e 1 allergen and extensin family protein </t>
  </si>
  <si>
    <t>'Pollen Ole e 1 allergen and extensin family protein'</t>
  </si>
  <si>
    <t>Nitab4.5_0000413g0150.1</t>
  </si>
  <si>
    <t>XM_016622879.1</t>
  </si>
  <si>
    <t>Nitab4.5_0000837g0080.1</t>
  </si>
  <si>
    <t>XM_016585984.1</t>
  </si>
  <si>
    <t xml:space="preserve">TIP4;1: tonoplast intrinsic protein 4;1 </t>
  </si>
  <si>
    <t>AT2G25810.1</t>
  </si>
  <si>
    <t>'tonoplast intrinsic protein 4'</t>
  </si>
  <si>
    <t>Nitab4.5_0000091g0300.1</t>
  </si>
  <si>
    <t>XM_016595474.1</t>
  </si>
  <si>
    <t xml:space="preserve">OXS3, ATOXS3: oxidative stress 3 </t>
  </si>
  <si>
    <t>AT5G56550.1</t>
  </si>
  <si>
    <t>'oxidative stress 3'</t>
  </si>
  <si>
    <t>Nitab4.5_0005105g0020.1</t>
  </si>
  <si>
    <t xml:space="preserve">ATC4H, C4H, CYP73A5, REF3: cinnamate-4-hydroxylase </t>
  </si>
  <si>
    <t>AT2G30490.1</t>
  </si>
  <si>
    <t>'cinnamate-4-hydroxylase'</t>
  </si>
  <si>
    <t>Nitab4.5_0008809g0030.1</t>
  </si>
  <si>
    <t>XM_016600837.1</t>
  </si>
  <si>
    <t xml:space="preserve">RD22, ATRD22: BURP domain-containing protein </t>
  </si>
  <si>
    <t>AT5G25610.1</t>
  </si>
  <si>
    <t>'BURP domain-containing protein'</t>
  </si>
  <si>
    <t>Nitab4.5_0001133g0040.1</t>
  </si>
  <si>
    <t>XM_016650993.1</t>
  </si>
  <si>
    <t xml:space="preserve">Eukaryotic aspartyl protease family protein </t>
  </si>
  <si>
    <t>'Eukaryotic aspartyl protease family protein'</t>
  </si>
  <si>
    <t>Nitab4.5_0002498g0080.1</t>
  </si>
  <si>
    <t>XM_016628152.1</t>
  </si>
  <si>
    <t xml:space="preserve">CML39, CML37: calmodulin like 37 </t>
  </si>
  <si>
    <t>Nitab4.5_0007686g0010.1</t>
  </si>
  <si>
    <t>XM_016615224.1</t>
  </si>
  <si>
    <t xml:space="preserve">ATSPX2, SPX2: SPX domain gene 2 </t>
  </si>
  <si>
    <t>AT2G26660.1</t>
  </si>
  <si>
    <t>'SPX domain gene 2'</t>
  </si>
  <si>
    <t>XM_016596244.1</t>
  </si>
  <si>
    <t xml:space="preserve">ACS1, AT-ACS1: ACC synthase 1 </t>
  </si>
  <si>
    <t>Nitab4.5_0002468g0060.1</t>
  </si>
  <si>
    <t>XM_016654505.1</t>
  </si>
  <si>
    <t>unknown protein similar to AT5G40450.1</t>
  </si>
  <si>
    <t>AT5G40450.1</t>
  </si>
  <si>
    <t>Nitab4.5_0003950g0040.1</t>
  </si>
  <si>
    <t>XM_016577348.1</t>
  </si>
  <si>
    <t xml:space="preserve">RNS1, ATRNS1: ribonuclease 1 </t>
  </si>
  <si>
    <t>AT2G02990.1</t>
  </si>
  <si>
    <t>'ribonuclease 1'</t>
  </si>
  <si>
    <t>Nitab4.5_0002713g0020.1</t>
  </si>
  <si>
    <t>XM_016615653.1</t>
  </si>
  <si>
    <t xml:space="preserve">Protein of unknown function (duplicated DUF1399) </t>
  </si>
  <si>
    <t>AT2G22660.2</t>
  </si>
  <si>
    <t>'Protein of unknown function (duplicated DUF1399)'</t>
  </si>
  <si>
    <t>Nitab4.5_0006179g0020.1</t>
  </si>
  <si>
    <t>XM_016651276.1</t>
  </si>
  <si>
    <t>Nitab4.5_0004744g0030.1</t>
  </si>
  <si>
    <t>XM_016627382.1</t>
  </si>
  <si>
    <t>unknown protein similar to AT5G02090.1</t>
  </si>
  <si>
    <t>AT5G02090.1</t>
  </si>
  <si>
    <t>Nitab4.5_0000747g0050.1</t>
  </si>
  <si>
    <t>XM_016607901.1</t>
  </si>
  <si>
    <t>Nitab4.5_0000036g0420.1</t>
  </si>
  <si>
    <t>XM_016606522.1</t>
  </si>
  <si>
    <t>unknown protein similar to AT3G19615.1</t>
  </si>
  <si>
    <t>AT2G41700.2</t>
  </si>
  <si>
    <t>'ATP-binding cassette A1'</t>
  </si>
  <si>
    <t>Nitab4.5_0002172g0020.1</t>
  </si>
  <si>
    <t>XM_016604397.1</t>
  </si>
  <si>
    <t xml:space="preserve">SRG3: senescence-related gene 3 </t>
  </si>
  <si>
    <t>AT3G02040.1</t>
  </si>
  <si>
    <t>'senescence-related gene 3'</t>
  </si>
  <si>
    <t xml:space="preserve">Leucine-rich repeat (LRR) family protein </t>
  </si>
  <si>
    <t>Nitab4.5_0003604g0050.1</t>
  </si>
  <si>
    <t>XM_016609409.1</t>
  </si>
  <si>
    <t xml:space="preserve">ATOSM34, OSM34: osmotin 34 </t>
  </si>
  <si>
    <t>AT1G59780.1</t>
  </si>
  <si>
    <t>Nitab4.5_0009172g0030.1</t>
  </si>
  <si>
    <t>XM_016649941.1</t>
  </si>
  <si>
    <t>AT4G18380.2</t>
  </si>
  <si>
    <t>'F-box family protein'</t>
  </si>
  <si>
    <t>'Pyridoxal phosphate (PLP)-dependent transferases superfamily protein'</t>
  </si>
  <si>
    <t>Nitab4.5_0010222g0050.1</t>
  </si>
  <si>
    <t>XM_016583580.1</t>
  </si>
  <si>
    <t xml:space="preserve">ACO1, ATACO1: ACC oxidase 1 </t>
  </si>
  <si>
    <t>AT2G19590.1</t>
  </si>
  <si>
    <t>'ACC oxidase 1'</t>
  </si>
  <si>
    <t>Nitab4.5_0000468g0230.1</t>
  </si>
  <si>
    <t>XM_016626784.1</t>
  </si>
  <si>
    <t xml:space="preserve">Plant protein of unknown function (DUF946) </t>
  </si>
  <si>
    <t>AT2G44260.1</t>
  </si>
  <si>
    <t>'Plant protein of unknown function (DUF946)'</t>
  </si>
  <si>
    <t>Nitab4.5_0006400g0010.1</t>
  </si>
  <si>
    <t>XM_016640838.1</t>
  </si>
  <si>
    <t xml:space="preserve">ATXYL1, XYL1, TRG1: alpha-xylosidase 1 </t>
  </si>
  <si>
    <t>AT1G68560.1</t>
  </si>
  <si>
    <t>'alpha-xylosidase 1'</t>
  </si>
  <si>
    <t xml:space="preserve">RING/U-box superfamily protein </t>
  </si>
  <si>
    <t>'RING/U-box superfamily protein'</t>
  </si>
  <si>
    <t>Nitab4.5_0000038g0180.1</t>
  </si>
  <si>
    <t>XM_016654329.1</t>
  </si>
  <si>
    <t xml:space="preserve">Peroxidase superfamily protein </t>
  </si>
  <si>
    <t>AT4G26010.1</t>
  </si>
  <si>
    <t>'Peroxidase superfamily protein'</t>
  </si>
  <si>
    <t xml:space="preserve">ATPUP3, PUP3: purine permease 3 </t>
  </si>
  <si>
    <t>AT1G28220.1</t>
  </si>
  <si>
    <t>'purine permease 3'</t>
  </si>
  <si>
    <t xml:space="preserve">BHLH038, ORG2: basic helix-loop-helix (bHLH) DNA-binding superfamily protein </t>
  </si>
  <si>
    <t>AT3G56970.1</t>
  </si>
  <si>
    <t>'basic helix-loop-helix (bHLH) DNA-binding superfamily protein'</t>
  </si>
  <si>
    <t xml:space="preserve">Plant invertase/pectin methylesterase inhibitor superfamily protein </t>
  </si>
  <si>
    <t>Nitab4.5_0002796g0030.1</t>
  </si>
  <si>
    <t>XM_016628749.1</t>
  </si>
  <si>
    <t>Nitab4.5_0000436g0220.1</t>
  </si>
  <si>
    <t>XM_016584888.1</t>
  </si>
  <si>
    <t xml:space="preserve">ATPT1, PHT1;1: phosphate transporter 1;1 </t>
  </si>
  <si>
    <t>AT2G38940.1</t>
  </si>
  <si>
    <t>Nitab4.5_0006300g0010.1</t>
  </si>
  <si>
    <t>Nitab4.5_0006821g0020.1</t>
  </si>
  <si>
    <t>XM_016599254.1</t>
  </si>
  <si>
    <t>AT3G21770.1</t>
  </si>
  <si>
    <t>Nitab4.5_0003603g0090.1</t>
  </si>
  <si>
    <t>XM_016590154.1</t>
  </si>
  <si>
    <t xml:space="preserve">sks5: SKU5 similar 5 </t>
  </si>
  <si>
    <t>AT1G76160.1</t>
  </si>
  <si>
    <t>'SKU5 similar 5'</t>
  </si>
  <si>
    <t>directory</t>
  </si>
  <si>
    <t>code_4RNAseq</t>
  </si>
  <si>
    <t>RNA ID</t>
  </si>
  <si>
    <t>condition</t>
  </si>
  <si>
    <t>experiment</t>
  </si>
  <si>
    <t>age</t>
  </si>
  <si>
    <t>date of isolation</t>
  </si>
  <si>
    <t>kit manufacturer</t>
  </si>
  <si>
    <t>homogenizace</t>
  </si>
  <si>
    <t>concentration</t>
  </si>
  <si>
    <t>RIN</t>
  </si>
  <si>
    <t>sequenced</t>
  </si>
  <si>
    <t>BY-2_1d</t>
  </si>
  <si>
    <t>time_course_2025</t>
  </si>
  <si>
    <t>FavorGen</t>
  </si>
  <si>
    <t>FastPrep</t>
  </si>
  <si>
    <t>BY2_ALL</t>
  </si>
  <si>
    <t>200-500</t>
  </si>
  <si>
    <t>+</t>
  </si>
  <si>
    <t>BY-2_10d</t>
  </si>
  <si>
    <t>Sample TPMs</t>
  </si>
  <si>
    <t>Mean TPMs</t>
  </si>
  <si>
    <t>Nitab4.5_0007725g0020.1</t>
  </si>
  <si>
    <t>XM_016603345.1</t>
  </si>
  <si>
    <t>Nitab4.5_0009438g0020.1</t>
  </si>
  <si>
    <t>XM_016638610.1</t>
  </si>
  <si>
    <t>Nitab4.5_0000681g0150.1</t>
  </si>
  <si>
    <t>XM_016594263.1</t>
  </si>
  <si>
    <t>Nitab4.5_0004736g0010.1</t>
  </si>
  <si>
    <t>XM_016657947.1</t>
  </si>
  <si>
    <t>Nitab4.5_0002279g0040.1</t>
  </si>
  <si>
    <t>XM_016635288.1</t>
  </si>
  <si>
    <t>Nitab4.5_0006081g0010.1</t>
  </si>
  <si>
    <t>XM_016619569.1</t>
  </si>
  <si>
    <t>Nitab4.5_0005584g0050.1</t>
  </si>
  <si>
    <t>XM_016588183.1</t>
  </si>
  <si>
    <t>Nitab4.5_0025276g0010.1</t>
  </si>
  <si>
    <t>XM_016603279.1</t>
  </si>
  <si>
    <t>Nitab4.5_0003200g0100.1</t>
  </si>
  <si>
    <t>XM_016580401.1</t>
  </si>
  <si>
    <t>Nitab4.5_0020249g0010.1</t>
  </si>
  <si>
    <t>Nitab4.5_0001269g0060.1</t>
  </si>
  <si>
    <t>XM_016631470.1</t>
  </si>
  <si>
    <t>Nitab4.5_0007700g0010.1</t>
  </si>
  <si>
    <t>XM_016597897.1</t>
  </si>
  <si>
    <t>UP/DOWN (1/2)</t>
  </si>
  <si>
    <t>DEGs Day10 vs Day1</t>
  </si>
  <si>
    <t>'Auxin-responsive GH3 family protein'</t>
  </si>
  <si>
    <t xml:space="preserve">NAD(P)-binding Rossmann-fold superfamily protein </t>
  </si>
  <si>
    <t>AT1G24360.1</t>
  </si>
  <si>
    <t>'NAD(P)-binding Rossmann-fold superfamily protein'</t>
  </si>
  <si>
    <t>Nitab4.5_0003202g0040.1</t>
  </si>
  <si>
    <t>AT1G29010.1</t>
  </si>
  <si>
    <t>AT2G16980.2</t>
  </si>
  <si>
    <t>'Major facilitator superfamily protein'</t>
  </si>
  <si>
    <t xml:space="preserve">ZIP10: zinc transporter 10 precursor </t>
  </si>
  <si>
    <t>AT1G31260.1</t>
  </si>
  <si>
    <t>'zinc transporter 10 precursor'</t>
  </si>
  <si>
    <t>Nitab4.5_0016299g0010.1</t>
  </si>
  <si>
    <t>Nitab4.5_0003774g0040.1</t>
  </si>
  <si>
    <t xml:space="preserve">KCS11: 3-ketoacyl-CoA synthase 11 </t>
  </si>
  <si>
    <t>AT2G26640.1</t>
  </si>
  <si>
    <t>'3-ketoacyl-CoA synthase 11'</t>
  </si>
  <si>
    <t>Nitab4.5_0009419g0010.1</t>
  </si>
  <si>
    <t>Nitab4.5_0001430g0040.1</t>
  </si>
  <si>
    <t xml:space="preserve">MAN7, AtMAN7: Glycosyl hydrolase superfamily protein </t>
  </si>
  <si>
    <t xml:space="preserve">FRO2, FRD1, ATFRO2: ferric reduction oxidase 2 </t>
  </si>
  <si>
    <t>AT1G01580.1</t>
  </si>
  <si>
    <t>'ferric reduction oxidase 2'</t>
  </si>
  <si>
    <t xml:space="preserve">GDSL-like Lipase/Acylhydrolase family protein </t>
  </si>
  <si>
    <t>AT5G03820.1</t>
  </si>
  <si>
    <t>'GDSL-like Lipase/Acylhydrolase family protein'</t>
  </si>
  <si>
    <t xml:space="preserve">Exostosin family protein </t>
  </si>
  <si>
    <t>AT5G20260.1</t>
  </si>
  <si>
    <t>'Exostosin family protein'</t>
  </si>
  <si>
    <t>AT5G66460.1</t>
  </si>
  <si>
    <t>AT2G34700.1</t>
  </si>
  <si>
    <t xml:space="preserve">CYP82C4: cytochrome P450, family 82, subfamily C, polypeptide 4 </t>
  </si>
  <si>
    <t>AT2G33790.1</t>
  </si>
  <si>
    <t>'arabinogalactan protein 30'</t>
  </si>
  <si>
    <t xml:space="preserve">alpha/beta-Hydrolases superfamily protein </t>
  </si>
  <si>
    <t>AT4G18550.1</t>
  </si>
  <si>
    <t>'alpha/beta-Hydrolases superfamily protein'</t>
  </si>
  <si>
    <t xml:space="preserve">CYP96A10: cytochrome P450, family 96, subfamily A, polypeptide 10 </t>
  </si>
  <si>
    <t xml:space="preserve">https://www.uniprot.org/uniprotkb/Q9FS16/entry </t>
  </si>
  <si>
    <t>TAIR10_description,  Edwards annotation, or Solanum lycopersium note</t>
  </si>
  <si>
    <t>Dicots PLAZA 5.0 : gene pages</t>
  </si>
  <si>
    <t>ATEXLB1, EXPR, AT-EXPR, ATEXPR1, ATHEXP BETA 3.1, EXLB1: Expansin B1, cellulose-binding-like domain, Expansin/pollen allergen, DPBB domain, RlpA-like double-psi beta-barrel domain, Barwin-like endoglucanase</t>
  </si>
  <si>
    <t>https://www.ncbi.nlm.nih.gov/gene/827411</t>
  </si>
  <si>
    <t>Nitab4.5_0009567g0010.1</t>
  </si>
  <si>
    <t>XM_016650387.1</t>
  </si>
  <si>
    <t>Nitab4.5_0022765g0010.1</t>
  </si>
  <si>
    <t>XM_016640492.1</t>
  </si>
  <si>
    <t xml:space="preserve">GAMMA-TIP, TIP1;1, GAMMA-TIP1: gamma tonoplast intrinsic protein </t>
  </si>
  <si>
    <t>AT2G36830.1</t>
  </si>
  <si>
    <t>Nitab4.5_0000278g0010.1</t>
  </si>
  <si>
    <t>XM_016600503.1</t>
  </si>
  <si>
    <t xml:space="preserve">HSP20-like chaperones superfamily protein </t>
  </si>
  <si>
    <t>Nitab4.5_0009946g0020.1</t>
  </si>
  <si>
    <t>XM_016608865.1</t>
  </si>
  <si>
    <t xml:space="preserve">Aluminium induced protein with YGL and LRDR motifs </t>
  </si>
  <si>
    <t>Nitab4.5_0000073g0350.1</t>
  </si>
  <si>
    <t>XM_016588258.1</t>
  </si>
  <si>
    <t>AT1G53540.1</t>
  </si>
  <si>
    <t>'HSP20-like chaperones superfamily protein'</t>
  </si>
  <si>
    <t>Nitab4.5_0014015g0010.1</t>
  </si>
  <si>
    <t>XM_016602129.1</t>
  </si>
  <si>
    <t>AT3G49960.1</t>
  </si>
  <si>
    <t>Nitab4.5_0000032g0010.1</t>
  </si>
  <si>
    <t>XM_016631739.1</t>
  </si>
  <si>
    <t xml:space="preserve">Inositol monophosphatase family protein </t>
  </si>
  <si>
    <t>AT1G43670.1</t>
  </si>
  <si>
    <t>Nitab4.5_0009672g0010.1</t>
  </si>
  <si>
    <t>XM_016629405.1</t>
  </si>
  <si>
    <t xml:space="preserve">ATTPS11, TPS11, ATTPSB: trehalose phosphatase/synthase 11 </t>
  </si>
  <si>
    <t>AT2G18700.1</t>
  </si>
  <si>
    <t>'trehalose phosphatase/synthase 11'</t>
  </si>
  <si>
    <t>Nitab4.5_0005255g0010.1</t>
  </si>
  <si>
    <t>Nitab4.5_0001904g0070.1</t>
  </si>
  <si>
    <t>XM_016608215.1</t>
  </si>
  <si>
    <t>Nitab4.5_0000662g0180.1</t>
  </si>
  <si>
    <t>XM_016629011.1</t>
  </si>
  <si>
    <t>Nitab4.5_0002066g0110.1</t>
  </si>
  <si>
    <t>XM_016592992.1</t>
  </si>
  <si>
    <t>Nitab4.5_0009648g0020.1</t>
  </si>
  <si>
    <t>XM_016646097.1</t>
  </si>
  <si>
    <t xml:space="preserve">XERO1: dehydrin xero 1 </t>
  </si>
  <si>
    <t>AT3G50980.1</t>
  </si>
  <si>
    <t>Nitab4.5_0001301g0090.1</t>
  </si>
  <si>
    <t>XM_016602787.1</t>
  </si>
  <si>
    <t xml:space="preserve">BXL2, ATBXL2: beta-xylosidase 2 </t>
  </si>
  <si>
    <t>AT1G02640.1</t>
  </si>
  <si>
    <t>Nitab4.5_0010009g0010.1</t>
  </si>
  <si>
    <t>Nitab4.5_0003893g0030.1</t>
  </si>
  <si>
    <t>XM_016658362.1</t>
  </si>
  <si>
    <t xml:space="preserve">BGLU46: beta glucosidase 46 </t>
  </si>
  <si>
    <t>AT1G61820.1</t>
  </si>
  <si>
    <t>Nitab4.5_0002537g0010.1</t>
  </si>
  <si>
    <t>XM_016621834.1</t>
  </si>
  <si>
    <t>AT4G00380.1</t>
  </si>
  <si>
    <t>'XH/XS domain-containing protein'</t>
  </si>
  <si>
    <t>Nitab4.5_0002537g0030.1</t>
  </si>
  <si>
    <t>XM_016621836.1</t>
  </si>
  <si>
    <t>Nitab4.5_0006895g0010.1</t>
  </si>
  <si>
    <t>XM_016649366.1</t>
  </si>
  <si>
    <t>Nitab4.5_0001488g0020.1</t>
  </si>
  <si>
    <t>XM_016635861.1</t>
  </si>
  <si>
    <t xml:space="preserve">CYP72A15: cytochrome P450, family 72, subfamily A, polypeptide 15 </t>
  </si>
  <si>
    <t>AT3G14690.1</t>
  </si>
  <si>
    <t>'cytochrome P450, family 72, subfamily A, polypeptide 15'</t>
  </si>
  <si>
    <t>Nitab4.5_0006888g0010.1</t>
  </si>
  <si>
    <t>XM_016598402.1</t>
  </si>
  <si>
    <t xml:space="preserve">ATBCAT-2, BCAT-2: branched-chain amino acid transaminase 2 </t>
  </si>
  <si>
    <t>AT1G10070.2</t>
  </si>
  <si>
    <t>Nitab4.5_0005100g0050.1</t>
  </si>
  <si>
    <t>XM_016660414.1</t>
  </si>
  <si>
    <t xml:space="preserve">Pathogenesis-related thaumatin superfamily protein </t>
  </si>
  <si>
    <t>AT5G02140.1</t>
  </si>
  <si>
    <t>'Pathogenesis-related thaumatin superfamily protein'</t>
  </si>
  <si>
    <t>Nitab4.5_0001114g0030.1</t>
  </si>
  <si>
    <t>XM_016621069.1</t>
  </si>
  <si>
    <t xml:space="preserve">lysine-ketoglutarate reductase/saccharopine dehydrogenase bifunctional enzyme </t>
  </si>
  <si>
    <t>AT4G33150.2</t>
  </si>
  <si>
    <t>Nitab4.5_0000365g0160.1</t>
  </si>
  <si>
    <t>XM_016613843.1</t>
  </si>
  <si>
    <t xml:space="preserve">ATHSP22.0: HSP20-like chaperones superfamily protein </t>
  </si>
  <si>
    <t>AT4G10250.1</t>
  </si>
  <si>
    <t>Nitab4.5_0007276g0010.1</t>
  </si>
  <si>
    <t>XM_016609227.1</t>
  </si>
  <si>
    <t>AT2G38250.1</t>
  </si>
  <si>
    <t>'Homeodomain-like superfamily protein'</t>
  </si>
  <si>
    <t>Nitab4.5_0001357g0030.1</t>
  </si>
  <si>
    <t>XM_016597859.1</t>
  </si>
  <si>
    <t>Nitab4.5_0001646g0050.1</t>
  </si>
  <si>
    <t>XM_016609496.1</t>
  </si>
  <si>
    <t>Nitab4.5_0004937g0030.1</t>
  </si>
  <si>
    <t>XM_016652303.1</t>
  </si>
  <si>
    <t>Nitab4.5_0002302g0040.1</t>
  </si>
  <si>
    <t>XM_016623637.1</t>
  </si>
  <si>
    <t>unknown protein similar to AT3G03150.1</t>
  </si>
  <si>
    <t>AT3G03150.1</t>
  </si>
  <si>
    <t>Nitab4.5_0005743g0010.1</t>
  </si>
  <si>
    <t>XM_016591502.1</t>
  </si>
  <si>
    <t>AT1G01490.2</t>
  </si>
  <si>
    <t>Nitab4.5_0003247g0010.1</t>
  </si>
  <si>
    <t>XM_016594686.1</t>
  </si>
  <si>
    <t>Nitab4.5_0012887g0010.1</t>
  </si>
  <si>
    <t>XM_016607417.1</t>
  </si>
  <si>
    <t xml:space="preserve">DREB2C, AtERF48: Integrase-type DNA-binding superfamily protein </t>
  </si>
  <si>
    <t>AT2G40340.1</t>
  </si>
  <si>
    <t>'Integrase-type DNA-binding superfamily protein'</t>
  </si>
  <si>
    <t>Nitab4.5_0000753g0140.1</t>
  </si>
  <si>
    <t>XM_016648262.1</t>
  </si>
  <si>
    <t xml:space="preserve">Class I glutamine amidotransferase-like superfamily protein </t>
  </si>
  <si>
    <t>AT5G38200.1</t>
  </si>
  <si>
    <t>'Class I glutamine amidotransferase-like superfamily protein'</t>
  </si>
  <si>
    <t>Nitab4.5_0005181g0060.1</t>
  </si>
  <si>
    <t>XM_016607186.1</t>
  </si>
  <si>
    <t xml:space="preserve">RCY1, ATRCY1: arginine-rich cyclin 1 </t>
  </si>
  <si>
    <t>Nitab4.5_0003722g0030.1</t>
  </si>
  <si>
    <t>XM_016584345.1</t>
  </si>
  <si>
    <t xml:space="preserve">Lactoylglutathione lyase / glyoxalase I family protein </t>
  </si>
  <si>
    <t>AT1G80160.1</t>
  </si>
  <si>
    <t>'Lactoylglutathione lyase / glyoxalase I family protein'</t>
  </si>
  <si>
    <t>Nitab4.5_0008156g0030.1</t>
  </si>
  <si>
    <t>XM_016641252.1</t>
  </si>
  <si>
    <t xml:space="preserve">ASN1, DIN6, AT-ASN1: glutamine-dependent asparagine synthase 1 </t>
  </si>
  <si>
    <t>AT3G47340.1</t>
  </si>
  <si>
    <t>'glutamine-dependent asparagine synthase 1'</t>
  </si>
  <si>
    <t>Nitab4.5_0008097g0010.1</t>
  </si>
  <si>
    <t>XM_016621605.1</t>
  </si>
  <si>
    <t>unknown protein similar to AT5G02160.1</t>
  </si>
  <si>
    <t>AT5G02160.1</t>
  </si>
  <si>
    <t>Nitab4.5_0001036g0110.1</t>
  </si>
  <si>
    <t>XM_016601724.1</t>
  </si>
  <si>
    <t>Nitab4.5_0004891g0060.1</t>
  </si>
  <si>
    <t>XM_016601198.1</t>
  </si>
  <si>
    <t xml:space="preserve">BIP, BIP2: Heat shock protein 70 (Hsp 70) family protein </t>
  </si>
  <si>
    <t>AT5G42020.1</t>
  </si>
  <si>
    <t>'Heat shock protein 70 (Hsp 70) family protein'</t>
  </si>
  <si>
    <t>Nitab4.5_0005766g0040.1</t>
  </si>
  <si>
    <t>XM_016602920.1</t>
  </si>
  <si>
    <t>AT3G14250.1</t>
  </si>
  <si>
    <t>Nitab4.5_0012646g0010.1</t>
  </si>
  <si>
    <t>XM_016593301.1</t>
  </si>
  <si>
    <t>Nitab4.5_0004775g0010.1</t>
  </si>
  <si>
    <t>XM_016590742.1</t>
  </si>
  <si>
    <t>Nitab4.5_0000319g0220.1</t>
  </si>
  <si>
    <t xml:space="preserve">HSP21: heat shock protein 21 </t>
  </si>
  <si>
    <t>AT4G27670.1</t>
  </si>
  <si>
    <t>'heat shock protein 21'</t>
  </si>
  <si>
    <t>Nitab4.5_0000278g0030.1</t>
  </si>
  <si>
    <t>XM_016609134.1</t>
  </si>
  <si>
    <t>Nitab4.5_0003652g0010.1</t>
  </si>
  <si>
    <t>XM_016584872.1</t>
  </si>
  <si>
    <t>Nitab4.5_0010392g0010.1</t>
  </si>
  <si>
    <t>XM_016644591.1</t>
  </si>
  <si>
    <t>Nitab4.5_0002426g0050.1</t>
  </si>
  <si>
    <t>XM_016619891.1</t>
  </si>
  <si>
    <t>Nitab4.5_0002283g0030.1</t>
  </si>
  <si>
    <t>XM_016622771.1</t>
  </si>
  <si>
    <t xml:space="preserve">RPT2: Phototropic-responsive NPH3 family protein </t>
  </si>
  <si>
    <t>AT2G30520.1</t>
  </si>
  <si>
    <t>'Phototropic-responsive NPH3 family protein'</t>
  </si>
  <si>
    <t>Nitab4.5_0000040g0110.1</t>
  </si>
  <si>
    <t>XM_016595619.1</t>
  </si>
  <si>
    <t xml:space="preserve">NAP, ANAC029, ATNAP: NAC-like, activated by AP3/PI </t>
  </si>
  <si>
    <t>AT1G69490.1</t>
  </si>
  <si>
    <t>'NAC-like, activated by AP3/PI'</t>
  </si>
  <si>
    <t>Nitab4.5_0001922g0090.1</t>
  </si>
  <si>
    <t>XM_016577370.1</t>
  </si>
  <si>
    <t>unknown protein similar to AT3G10020.1</t>
  </si>
  <si>
    <t>Nitab4.5_0005090g0030.1</t>
  </si>
  <si>
    <t>XM_016593218.1</t>
  </si>
  <si>
    <t>Nitab4.5_0007306g0020.1</t>
  </si>
  <si>
    <t>XM_016582854.1</t>
  </si>
  <si>
    <t xml:space="preserve">SSP4: SCP1-like small phosphatase 4 </t>
  </si>
  <si>
    <t>AT5G46410.2</t>
  </si>
  <si>
    <t>'SCP1-like small phosphatase 4'</t>
  </si>
  <si>
    <t>Nitab4.5_0003873g0010.1</t>
  </si>
  <si>
    <t>XM_016656037.1</t>
  </si>
  <si>
    <t xml:space="preserve">anac075, NAC075: NAC domain containing protein 75 </t>
  </si>
  <si>
    <t>AT4G29230.1</t>
  </si>
  <si>
    <t>'NAC domain containing protein 75'</t>
  </si>
  <si>
    <t>Nitab4.5_0004218g0020.1</t>
  </si>
  <si>
    <t>Nitab4.5_0007252g0020.1</t>
  </si>
  <si>
    <t>XM_016589769.1</t>
  </si>
  <si>
    <t xml:space="preserve">LOX5: PLAT/LH2 domain-containing lipoxygenase family protein </t>
  </si>
  <si>
    <t>AT3G22400.1</t>
  </si>
  <si>
    <t>'PLAT/LH2 domain-containing lipoxygenase family protein'</t>
  </si>
  <si>
    <t>Nitab4.5_0000043g0310.1</t>
  </si>
  <si>
    <t>XM_016650232.1</t>
  </si>
  <si>
    <t xml:space="preserve">Haloacid dehalogenase-like hydrolase (HAD) superfamily protein </t>
  </si>
  <si>
    <t>AT2G32150.1</t>
  </si>
  <si>
    <t>'Haloacid dehalogenase-like hydrolase (HAD) superfamily protein'</t>
  </si>
  <si>
    <t>Nitab4.5_0001955g0110.1</t>
  </si>
  <si>
    <t>XM_016585149.1</t>
  </si>
  <si>
    <t xml:space="preserve">DNAJ heat shock family protein </t>
  </si>
  <si>
    <t>AT2G20560.1</t>
  </si>
  <si>
    <t>'DNAJ heat shock family protein'</t>
  </si>
  <si>
    <t>Nitab4.5_0000118g0060.1</t>
  </si>
  <si>
    <t>XM_016596776.1</t>
  </si>
  <si>
    <t>Nitab4.5_0001696g0140.1</t>
  </si>
  <si>
    <t>XM_016616954.1</t>
  </si>
  <si>
    <t xml:space="preserve">SEN1, ATSEN1, DIN1: Rhodanese/Cell cycle control phosphatase superfamily protein </t>
  </si>
  <si>
    <t>AT4G35770.1</t>
  </si>
  <si>
    <t>'Rhodanese/Cell cycle control phosphatase superfamily protein'</t>
  </si>
  <si>
    <t>Nitab4.5_0000531g0020.1</t>
  </si>
  <si>
    <t>XM_016579504.1</t>
  </si>
  <si>
    <t xml:space="preserve">Protein of unknown function (DUF668) </t>
  </si>
  <si>
    <t>AT1G34320.1</t>
  </si>
  <si>
    <t>'Protein of unknown function (DUF668)'</t>
  </si>
  <si>
    <t>Nitab4.5_0008414g0050.1</t>
  </si>
  <si>
    <t>XM_016615018.1</t>
  </si>
  <si>
    <t>Nitab4.5_0000244g0010.1</t>
  </si>
  <si>
    <t>XM_016653281.1</t>
  </si>
  <si>
    <t>Nitab4.5_0004123g0030.1</t>
  </si>
  <si>
    <t>XM_016653976.1</t>
  </si>
  <si>
    <t xml:space="preserve">PLP2, PLA IIA, PLA2A: phospholipase A 2A </t>
  </si>
  <si>
    <t>AT2G26560.1</t>
  </si>
  <si>
    <t>'phospholipase A 2A'</t>
  </si>
  <si>
    <t>Nitab4.5_0000829g0040.1</t>
  </si>
  <si>
    <t>XM_016617007.1</t>
  </si>
  <si>
    <t xml:space="preserve">Uncharacterised protein family (UPF0497) </t>
  </si>
  <si>
    <t>AT4G15610.1</t>
  </si>
  <si>
    <t>'Uncharacterised protein family (UPF0497)'</t>
  </si>
  <si>
    <t>Nitab4.5_0000288g0110.1</t>
  </si>
  <si>
    <t>XM_016611528.1</t>
  </si>
  <si>
    <t>Nitab4.5_0001159g0190.1</t>
  </si>
  <si>
    <t>XM_016622604.1</t>
  </si>
  <si>
    <t>AT5G39380.1</t>
  </si>
  <si>
    <t>'Plant calmodulin-binding protein-related'</t>
  </si>
  <si>
    <t>Nitab4.5_0007821g0040.1</t>
  </si>
  <si>
    <t>XM_016652795.1</t>
  </si>
  <si>
    <t xml:space="preserve">Hsp70b: heat shock protein 70B </t>
  </si>
  <si>
    <t>Nitab4.5_0009955g0010.1</t>
  </si>
  <si>
    <t>XM_016648839.1</t>
  </si>
  <si>
    <t xml:space="preserve">PLA-I{beta]2: alpha/beta-Hydrolases superfamily protein </t>
  </si>
  <si>
    <t>Nitab4.5_0008523g0030.1</t>
  </si>
  <si>
    <t>XM_016637755.1</t>
  </si>
  <si>
    <t xml:space="preserve">BGAL12: beta-galactosidase 12 </t>
  </si>
  <si>
    <t>AT4G26140.1</t>
  </si>
  <si>
    <t>'beta-galactosidase 12'</t>
  </si>
  <si>
    <t>Nitab4.5_0000742g0110.1</t>
  </si>
  <si>
    <t>XM_016600724.1</t>
  </si>
  <si>
    <t xml:space="preserve">Chaperone DnaJ-domain superfamily protein </t>
  </si>
  <si>
    <t>AT1G71000.1</t>
  </si>
  <si>
    <t>'Chaperone DnaJ-domain superfamily protein'</t>
  </si>
  <si>
    <t>Nitab4.5_0000527g0200.1</t>
  </si>
  <si>
    <t>XM_016621813.1</t>
  </si>
  <si>
    <t>Nitab4.5_0002479g0010.1</t>
  </si>
  <si>
    <t>XM_016593071.1</t>
  </si>
  <si>
    <t xml:space="preserve">Calcium-dependent lipid-binding (CaLB domain) family protein </t>
  </si>
  <si>
    <t>Nitab4.5_0000009g0510.1</t>
  </si>
  <si>
    <t>XM_016605567.1</t>
  </si>
  <si>
    <t xml:space="preserve">ATHCHIB, PR3, PR-3, CHI-B, B-CHI, HCHIB: basic chitinase </t>
  </si>
  <si>
    <t>AT3G12500.1</t>
  </si>
  <si>
    <t>'basic chitinase'</t>
  </si>
  <si>
    <t>Nitab4.5_0000355g0250.1</t>
  </si>
  <si>
    <t>XM_016610291.1</t>
  </si>
  <si>
    <t>Nitab4.5_0005316g0010.1</t>
  </si>
  <si>
    <t>XM_016635290.1</t>
  </si>
  <si>
    <t>AT1G18130.1</t>
  </si>
  <si>
    <t>'Class II aaRS and biotin synthetases superfamily protein'</t>
  </si>
  <si>
    <t>Nitab4.5_0003823g0060.1</t>
  </si>
  <si>
    <t>XM_016620740.1</t>
  </si>
  <si>
    <t xml:space="preserve">Regulator of Vps4 activity in the MVB pathway protein </t>
  </si>
  <si>
    <t>AT1G13340.1</t>
  </si>
  <si>
    <t>'Regulator of Vps4 activity in the MVB pathway protein'</t>
  </si>
  <si>
    <t>Nitab4.5_0000074g0060.1</t>
  </si>
  <si>
    <t>XM_016618152.1</t>
  </si>
  <si>
    <t>Nitab4.5_0005361g0010.1</t>
  </si>
  <si>
    <t>XM_016586823.1</t>
  </si>
  <si>
    <t xml:space="preserve">BIR1: BAK1-interacting receptor-like kinase 1 </t>
  </si>
  <si>
    <t>AT5G48380.1</t>
  </si>
  <si>
    <t>'BAK1-interacting receptor-like kinase 1'</t>
  </si>
  <si>
    <t>Nitab4.5_0001176g0090.1</t>
  </si>
  <si>
    <t>XM_016631978.1</t>
  </si>
  <si>
    <t xml:space="preserve">RCI3, RCI3A: Peroxidase superfamily protein </t>
  </si>
  <si>
    <t>AT1G05260.1</t>
  </si>
  <si>
    <t>Nitab4.5_0000244g0300.1</t>
  </si>
  <si>
    <t>XM_016609778.1</t>
  </si>
  <si>
    <t>Nitab4.5_0000007g0270.1</t>
  </si>
  <si>
    <t>Nitab4.5_0003324g0100.1</t>
  </si>
  <si>
    <t>XM_016641812.1</t>
  </si>
  <si>
    <t>AT1G72060.1</t>
  </si>
  <si>
    <t>'serine-type endopeptidase inhibitors'</t>
  </si>
  <si>
    <t>Nitab4.5_0006348g0010.1</t>
  </si>
  <si>
    <t>XM_016615640.1</t>
  </si>
  <si>
    <t xml:space="preserve">Plant invertase/pectin methylesterase inhibitor superfamily </t>
  </si>
  <si>
    <t>AT2G45220.1</t>
  </si>
  <si>
    <t>'Plant invertase/pectin methylesterase inhibitor superfamily'</t>
  </si>
  <si>
    <t>Nitab4.5_0000845g0120.1</t>
  </si>
  <si>
    <t>XM_016611440.1</t>
  </si>
  <si>
    <t xml:space="preserve">PDLP2: plasmodesmata-located protein 2 </t>
  </si>
  <si>
    <t>AT1G04520.1</t>
  </si>
  <si>
    <t>'plasmodesmata-located protein 2'</t>
  </si>
  <si>
    <t>Nitab4.5_0001483g0030.1</t>
  </si>
  <si>
    <t>XM_016629093.1</t>
  </si>
  <si>
    <t>AT1G23550.1</t>
  </si>
  <si>
    <t>'similar to RCD one 2'</t>
  </si>
  <si>
    <t>Nitab4.5_0009737g0010.1</t>
  </si>
  <si>
    <t>XM_016597060.1</t>
  </si>
  <si>
    <t>AT5G52740.1</t>
  </si>
  <si>
    <t>'Copper transport protein family'</t>
  </si>
  <si>
    <t>Nitab4.5_0001128g0030.1</t>
  </si>
  <si>
    <t>XM_016594599.1</t>
  </si>
  <si>
    <t>Nitab4.5_0027601g0010.1</t>
  </si>
  <si>
    <t>XM_016650500.1</t>
  </si>
  <si>
    <t xml:space="preserve">UGT73B3: UDP-glucosyl transferase 73B3 </t>
  </si>
  <si>
    <t>Nitab4.5_0001244g0180.1</t>
  </si>
  <si>
    <t>XM_016601190.1</t>
  </si>
  <si>
    <t xml:space="preserve">Subtilisin-like serine endopeptidase family protein </t>
  </si>
  <si>
    <t>AT5G67090.1</t>
  </si>
  <si>
    <t>'Subtilisin-like serine endopeptidase family protein'</t>
  </si>
  <si>
    <t>Nitab4.5_0004937g0060.1</t>
  </si>
  <si>
    <t>XM_016623215.1</t>
  </si>
  <si>
    <t>Nitab4.5_0007114g0010.1</t>
  </si>
  <si>
    <t>XM_016579828.1</t>
  </si>
  <si>
    <t xml:space="preserve">KING1: SNF1-related protein kinase regulatory subunit gamma 1 </t>
  </si>
  <si>
    <t>AT3G48530.1</t>
  </si>
  <si>
    <t>'SNF1-related protein kinase regulatory subunit gamma 1'</t>
  </si>
  <si>
    <t>Nitab4.5_0000646g0090.1</t>
  </si>
  <si>
    <t>XM_016589661.1</t>
  </si>
  <si>
    <t xml:space="preserve">LAG1: TRAM, LAG1 and CLN8 (TLC) lipid-sensing domain containing protein </t>
  </si>
  <si>
    <t>AT3G25540.1</t>
  </si>
  <si>
    <t>'TRAM, LAG1 and CLN8 (TLC) lipid-sensing domain containing protein'</t>
  </si>
  <si>
    <t>Nitab4.5_0009492g0010.1</t>
  </si>
  <si>
    <t>XM_016592041.1</t>
  </si>
  <si>
    <t xml:space="preserve">protein serine/threonine kinases;protein kinases;ATP binding;sugar binding;kinases;carbohydrate binding </t>
  </si>
  <si>
    <t>AT1G11330.1</t>
  </si>
  <si>
    <t>'S-locus lectin protein kinase family protein'</t>
  </si>
  <si>
    <t>Nitab4.5_0001982g0120.1</t>
  </si>
  <si>
    <t>XM_016583529.1</t>
  </si>
  <si>
    <t xml:space="preserve">Methylenetetrahydrofolate reductase family protein </t>
  </si>
  <si>
    <t>AT5G38710.1</t>
  </si>
  <si>
    <t>'Methylenetetrahydrofolate reductase family protein'</t>
  </si>
  <si>
    <t>Nitab4.5_0000222g0210.1</t>
  </si>
  <si>
    <t>Nitab4.5_0000343g0060.1</t>
  </si>
  <si>
    <t>XM_016599850.1</t>
  </si>
  <si>
    <t>Nitab4.5_0000505g0110.1</t>
  </si>
  <si>
    <t>XM_016599484.1</t>
  </si>
  <si>
    <t xml:space="preserve">ATGSTU19, GST8, GSTU19: glutathione S-transferase TAU 19 </t>
  </si>
  <si>
    <t>AT1G78380.1</t>
  </si>
  <si>
    <t>'glutathione S-transferase TAU 19'</t>
  </si>
  <si>
    <t>Nitab4.5_0013267g0010.1</t>
  </si>
  <si>
    <t>XM_016598373.1</t>
  </si>
  <si>
    <t xml:space="preserve">Plant neutral invertase family protein </t>
  </si>
  <si>
    <t>AT4G34860.2</t>
  </si>
  <si>
    <t>'Plant neutral invertase family protein'</t>
  </si>
  <si>
    <t>Nitab4.5_0011455g0030.1</t>
  </si>
  <si>
    <t>XM_016633621.1</t>
  </si>
  <si>
    <t>Nitab4.5_0003524g0040.1</t>
  </si>
  <si>
    <t>XM_016615688.1</t>
  </si>
  <si>
    <t xml:space="preserve">Heavy metal transport/detoxification superfamily protein  </t>
  </si>
  <si>
    <t>AT5G03380.1</t>
  </si>
  <si>
    <t>Nitab4.5_0002113g0180.1</t>
  </si>
  <si>
    <t>XM_016608522.1</t>
  </si>
  <si>
    <t xml:space="preserve">MBF1C, ATMBF1C: multiprotein bridging factor 1C </t>
  </si>
  <si>
    <t>Nitab4.5_0029531g0010.1</t>
  </si>
  <si>
    <t>XM_016635769.1</t>
  </si>
  <si>
    <t>Nitab4.5_0007793g0050.1</t>
  </si>
  <si>
    <t>XM_016604001.1</t>
  </si>
  <si>
    <t xml:space="preserve">MBD11, ATMBD11: methyl-CPG-binding domain 11 </t>
  </si>
  <si>
    <t>AT3G15790.1</t>
  </si>
  <si>
    <t>'methyl-CPG-binding domain 11'</t>
  </si>
  <si>
    <t>Nitab4.5_0002640g0060.1</t>
  </si>
  <si>
    <t>XM_016637719.1</t>
  </si>
  <si>
    <t xml:space="preserve">ATGEX1, GEX1: gamete expressed protein 1 </t>
  </si>
  <si>
    <t>Nitab4.5_0003611g0030.1</t>
  </si>
  <si>
    <t>XM_016587419.1</t>
  </si>
  <si>
    <t xml:space="preserve">F-box and associated interaction domains-containing protein </t>
  </si>
  <si>
    <t>AT3G07870.1</t>
  </si>
  <si>
    <t>'F-box and associated interaction domains-containing protein'</t>
  </si>
  <si>
    <t>Nitab4.5_0001110g0010.1</t>
  </si>
  <si>
    <t>XM_016631186.1</t>
  </si>
  <si>
    <t>Nitab4.5_0001255g0020.1</t>
  </si>
  <si>
    <t>XM_016653013.1</t>
  </si>
  <si>
    <t xml:space="preserve">CT-BMY, BAM3, BMY8: chloroplast beta-amylase </t>
  </si>
  <si>
    <t>AT4G17090.1</t>
  </si>
  <si>
    <t>'chloroplast beta-amylase'</t>
  </si>
  <si>
    <t>Nitab4.5_0000754g0140.1</t>
  </si>
  <si>
    <t>XM_016596631.1</t>
  </si>
  <si>
    <t xml:space="preserve">Serine protease inhibitor, potato inhibitor I-type family protein </t>
  </si>
  <si>
    <t>Nitab4.5_0008251g0010.1</t>
  </si>
  <si>
    <t>AT3G54710.1</t>
  </si>
  <si>
    <t>'homolog of yeast CDT1 B homolog of yeast CDT1 B'</t>
  </si>
  <si>
    <t>Nitab4.5_0002031g0100.1</t>
  </si>
  <si>
    <t>XM_016640961.1</t>
  </si>
  <si>
    <t>AT3G06130.2</t>
  </si>
  <si>
    <t>Nitab4.5_0001098g0020.1</t>
  </si>
  <si>
    <t>XM_016589821.1</t>
  </si>
  <si>
    <t xml:space="preserve">YSL3: YELLOW STRIPE like 3 </t>
  </si>
  <si>
    <t>AT5G53550.2</t>
  </si>
  <si>
    <t>'YELLOW STRIPE like 3'</t>
  </si>
  <si>
    <t>Nitab4.5_0010254g0020.1</t>
  </si>
  <si>
    <t>XM_016600354.1</t>
  </si>
  <si>
    <t>Nitab4.5_0002986g0090.1</t>
  </si>
  <si>
    <t>XM_016594624.1</t>
  </si>
  <si>
    <t>Nitab4.5_0000802g0150.1</t>
  </si>
  <si>
    <t>XM_016622683.1</t>
  </si>
  <si>
    <t xml:space="preserve">HSPRO2, ATHSPRO2: ortholog of sugar beet HS1 PRO-1 2 </t>
  </si>
  <si>
    <t>Nitab4.5_0009867g0010.1</t>
  </si>
  <si>
    <t>XM_016634555.1</t>
  </si>
  <si>
    <t xml:space="preserve">J8: Chaperone DnaJ-domain superfamily protein </t>
  </si>
  <si>
    <t>AT1G80920.1</t>
  </si>
  <si>
    <t>Nitab4.5_0000244g0310.1</t>
  </si>
  <si>
    <t>XM_016609779.1</t>
  </si>
  <si>
    <t xml:space="preserve">UGT73B4: UDP-glycosyltransferase 73B4 </t>
  </si>
  <si>
    <t>Nitab4.5_0000785g0170.1</t>
  </si>
  <si>
    <t>XM_016636266.1</t>
  </si>
  <si>
    <t xml:space="preserve">Protein of unknown function (DUF1637) </t>
  </si>
  <si>
    <t>AT5G39890.1</t>
  </si>
  <si>
    <t>'Protein of unknown function (DUF1637)'</t>
  </si>
  <si>
    <t>Nitab4.5_0007185g0030.1</t>
  </si>
  <si>
    <t>XM_016657415.1</t>
  </si>
  <si>
    <t xml:space="preserve">PMZ, SAP12: zinc finger (AN1-like) family protein </t>
  </si>
  <si>
    <t>AT3G28210.1</t>
  </si>
  <si>
    <t>'zinc finger (AN1-like) family protein'</t>
  </si>
  <si>
    <t>Nitab4.5_0002443g0040.1</t>
  </si>
  <si>
    <t>XM_016606479.1</t>
  </si>
  <si>
    <t>Nitab4.5_0001645g0070.1</t>
  </si>
  <si>
    <t>XM_016612550.1</t>
  </si>
  <si>
    <t>AT2G29120.1</t>
  </si>
  <si>
    <t>'glutamate receptor 2.7'</t>
  </si>
  <si>
    <t>Nitab4.5_0012929g0010.1</t>
  </si>
  <si>
    <t>XM_016611226.1</t>
  </si>
  <si>
    <t>Nitab4.5_0004880g0010.1</t>
  </si>
  <si>
    <t>XM_016651439.1</t>
  </si>
  <si>
    <t xml:space="preserve">CIPK11, PKS5, SIP4, SNRK3.22: SOS3-interacting protein 4 </t>
  </si>
  <si>
    <t>AT2G30360.1</t>
  </si>
  <si>
    <t>'SOS3-interacting protein 4'</t>
  </si>
  <si>
    <t>Nitab4.5_0001439g0050.1</t>
  </si>
  <si>
    <t>XM_016603885.1</t>
  </si>
  <si>
    <t xml:space="preserve">CYP81D4: cytochrome P450, family 81, subfamily D, polypeptide 4 </t>
  </si>
  <si>
    <t>AT4G37330.1</t>
  </si>
  <si>
    <t>'cytochrome P450, family 81, subfamily D, polypeptide 4'</t>
  </si>
  <si>
    <t>Nitab4.5_0005424g0010.1</t>
  </si>
  <si>
    <t>XM_016580251.1</t>
  </si>
  <si>
    <t>AT5G13310.1</t>
  </si>
  <si>
    <t>Nitab4.5_0000287g0050.1</t>
  </si>
  <si>
    <t>XM_016631957.1</t>
  </si>
  <si>
    <t xml:space="preserve">HXXXD-type acyl-transferase family protein </t>
  </si>
  <si>
    <t>AT5G42830.1</t>
  </si>
  <si>
    <t>'HXXXD-type acyl-transferase family protein'</t>
  </si>
  <si>
    <t>Nitab4.5_0000358g0150.1</t>
  </si>
  <si>
    <t>XM_016620697.1</t>
  </si>
  <si>
    <t>AT5G18130.1</t>
  </si>
  <si>
    <t>Nitab4.5_0000470g0180.1</t>
  </si>
  <si>
    <t>XM_016587079.1</t>
  </si>
  <si>
    <t xml:space="preserve">SMP1: Pre-mRNA splicing Prp18-interacting factor </t>
  </si>
  <si>
    <t>AT1G65660.1</t>
  </si>
  <si>
    <t>'Pre-mRNA splicing Prp18-interacting factor'</t>
  </si>
  <si>
    <t>Nitab4.5_0002160g0070.1</t>
  </si>
  <si>
    <t>XM_016652978.1</t>
  </si>
  <si>
    <t>unknown protein similar to AT1G01770.1</t>
  </si>
  <si>
    <t>AT1G01770.1</t>
  </si>
  <si>
    <t>Nitab4.5_0001239g0160.1</t>
  </si>
  <si>
    <t>XM_016612043.1</t>
  </si>
  <si>
    <t xml:space="preserve">P-loop containing nucleoside triphosphate hydrolases superfamily protein </t>
  </si>
  <si>
    <t>AT3G28600.1</t>
  </si>
  <si>
    <t>'P-loop containing nucleoside triphosphate hydrolases superfamily protein'</t>
  </si>
  <si>
    <t>Nitab4.5_0005129g0040.1</t>
  </si>
  <si>
    <t>XM_016597200.1</t>
  </si>
  <si>
    <t xml:space="preserve">DEAR2: DREB and EAR motif protein 2 </t>
  </si>
  <si>
    <t>AT5G67190.1</t>
  </si>
  <si>
    <t>'DREB and EAR motif protein 2'</t>
  </si>
  <si>
    <t>Nitab4.5_0000780g0080.1</t>
  </si>
  <si>
    <t>XM_016620600.1</t>
  </si>
  <si>
    <t>AT3G13065.1</t>
  </si>
  <si>
    <t>'STRUBBELIG-receptor family 4'</t>
  </si>
  <si>
    <t>Nitab4.5_0012489g0020.1</t>
  </si>
  <si>
    <t>XM_016583887.1</t>
  </si>
  <si>
    <t xml:space="preserve">HSP81-1, ATHS83, HSP81.1, HSP83, ATHSP90.1, AtHsp90-1, HSP90.1: heat shock protein 90.1 </t>
  </si>
  <si>
    <t>AT5G52640.1</t>
  </si>
  <si>
    <t>'heat shock protein 90.1'</t>
  </si>
  <si>
    <t>Nitab4.5_0002700g0030.1</t>
  </si>
  <si>
    <t>XM_016650483.1</t>
  </si>
  <si>
    <t>unknown protein similar to AT2G24100.1</t>
  </si>
  <si>
    <t>AT2G24100.1</t>
  </si>
  <si>
    <t>Nitab4.5_0007744g0010.1</t>
  </si>
  <si>
    <t>XM_016621178.1</t>
  </si>
  <si>
    <t>Nitab4.5_0001764g0070.1</t>
  </si>
  <si>
    <t>XM_016598766.1</t>
  </si>
  <si>
    <t>Nitab4.5_0000351g0040.1</t>
  </si>
  <si>
    <t>XM_016577461.1</t>
  </si>
  <si>
    <t xml:space="preserve">PLAC8 family protein </t>
  </si>
  <si>
    <t>AT1G52200.1</t>
  </si>
  <si>
    <t>'PLAC8 family protein'</t>
  </si>
  <si>
    <t>Nitab4.5_0000827g0030.1</t>
  </si>
  <si>
    <t>AT1G28680.1</t>
  </si>
  <si>
    <t>Nitab4.5_0001233g0080.1</t>
  </si>
  <si>
    <t>XM_016590979.1</t>
  </si>
  <si>
    <t>Nitab4.5_0002786g0110.1</t>
  </si>
  <si>
    <t>XM_016657601.1</t>
  </si>
  <si>
    <t xml:space="preserve">CDPK19, CPK8: calcium-dependent protein kinase 19 </t>
  </si>
  <si>
    <t>AT5G19450.2</t>
  </si>
  <si>
    <t>'calcium-dependent protein kinase 19'</t>
  </si>
  <si>
    <t>Nitab4.5_0000839g0060.1</t>
  </si>
  <si>
    <t>XM_016617288.1</t>
  </si>
  <si>
    <t>Nitab4.5_0005982g0020.1</t>
  </si>
  <si>
    <t>XM_016587715.1</t>
  </si>
  <si>
    <t xml:space="preserve">Dormancy/auxin associated family protein </t>
  </si>
  <si>
    <t>AT1G56220.3</t>
  </si>
  <si>
    <t>'Dormancy/auxin associated family protein'</t>
  </si>
  <si>
    <t>Nitab4.5_0011739g0010.1</t>
  </si>
  <si>
    <t>XM_016581028.1</t>
  </si>
  <si>
    <t xml:space="preserve">HSP17.6II: 17.6 kDa class II heat shock protein </t>
  </si>
  <si>
    <t>AT5G12020.1</t>
  </si>
  <si>
    <t>'17.6 kDa class II heat shock protein'</t>
  </si>
  <si>
    <t>Nitab4.5_0009127g0040.1</t>
  </si>
  <si>
    <t>XM_016629365.1</t>
  </si>
  <si>
    <t xml:space="preserve">AtPP2-A15, PP2-A15: phloem protein 2-A15 </t>
  </si>
  <si>
    <t>AT3G53000.1</t>
  </si>
  <si>
    <t>'phloem protein 2-A15'</t>
  </si>
  <si>
    <t>Nitab4.5_0002859g0040.1</t>
  </si>
  <si>
    <t>XM_016613300.1</t>
  </si>
  <si>
    <t xml:space="preserve">ATROPGEF11, ROPGEF11, PIRF1: RHO guanyl-nucleotide exchange factor 11 </t>
  </si>
  <si>
    <t>AT1G52240.2</t>
  </si>
  <si>
    <t>'RHO guanyl-nucleotide exchange factor 11'</t>
  </si>
  <si>
    <t>Nitab4.5_0000278g0160.1</t>
  </si>
  <si>
    <t>XM_016599641.1</t>
  </si>
  <si>
    <t xml:space="preserve">Duplicated homeodomain-like superfamily protein </t>
  </si>
  <si>
    <t>AT5G05790.1</t>
  </si>
  <si>
    <t>'Duplicated homeodomain-like superfamily protein'</t>
  </si>
  <si>
    <t>Nitab4.5_0005256g0020.1</t>
  </si>
  <si>
    <t>XM_016643370.1</t>
  </si>
  <si>
    <t>Nitab4.5_0004485g0020.1</t>
  </si>
  <si>
    <t>XM_016620859.1</t>
  </si>
  <si>
    <t>AT3G28580.1</t>
  </si>
  <si>
    <t>Nitab4.5_0000584g0040.1</t>
  </si>
  <si>
    <t>XM_016646051.1</t>
  </si>
  <si>
    <t>unknown protein similar to AT5G10695.1</t>
  </si>
  <si>
    <t>Nitab4.5_0001088g0130.1</t>
  </si>
  <si>
    <t>XM_016656002.1</t>
  </si>
  <si>
    <t xml:space="preserve">ATERF15, ERF15: ethylene-responsive element binding factor 15 </t>
  </si>
  <si>
    <t>Nitab4.5_0010169g0040.1</t>
  </si>
  <si>
    <t>XM_016587844.1</t>
  </si>
  <si>
    <t>unknown protein similar to AT1G62520.1</t>
  </si>
  <si>
    <t>Nitab4.5_0000694g0160.1</t>
  </si>
  <si>
    <t>XM_016645656.1</t>
  </si>
  <si>
    <t>Nitab4.5_0004526g0040.1</t>
  </si>
  <si>
    <t>XM_016649217.1</t>
  </si>
  <si>
    <t>unknown protein similar to AT5G56880.1</t>
  </si>
  <si>
    <t>Nitab4.5_0000518g0070.1</t>
  </si>
  <si>
    <t>XM_016609728.1</t>
  </si>
  <si>
    <t>AT4G39700.1</t>
  </si>
  <si>
    <t>Nitab4.5_0000898g0030.1</t>
  </si>
  <si>
    <t>XM_016612612.1</t>
  </si>
  <si>
    <t xml:space="preserve">AP4.3A: protein kinase family protein </t>
  </si>
  <si>
    <t>AT2G32800.1</t>
  </si>
  <si>
    <t>'protein kinase family protein'</t>
  </si>
  <si>
    <t>Nitab4.5_0004053g0010.1</t>
  </si>
  <si>
    <t>XM_016654767.1</t>
  </si>
  <si>
    <t>Nitab4.5_0004541g0060.1</t>
  </si>
  <si>
    <t>XM_016659669.1</t>
  </si>
  <si>
    <t>Nitab4.5_0013777g0010.1</t>
  </si>
  <si>
    <t>XM_016644411.1</t>
  </si>
  <si>
    <t>AT2G38800.1</t>
  </si>
  <si>
    <t>Nitab4.5_0004273g0010.1</t>
  </si>
  <si>
    <t>XM_016648483.1</t>
  </si>
  <si>
    <t xml:space="preserve">Protein kinase superfamily protein </t>
  </si>
  <si>
    <t>AT5G47070.1</t>
  </si>
  <si>
    <t>'Protein kinase superfamily protein'</t>
  </si>
  <si>
    <t>Nitab4.5_0003969g0060.1</t>
  </si>
  <si>
    <t>XM_016580880.1</t>
  </si>
  <si>
    <t xml:space="preserve">HSP70, ATHSP70: heat shock protein 70 </t>
  </si>
  <si>
    <t>AT3G12580.1</t>
  </si>
  <si>
    <t>'heat shock protein 70'</t>
  </si>
  <si>
    <t>Nitab4.5_0007578g0010.1</t>
  </si>
  <si>
    <t>XM_016598919.1</t>
  </si>
  <si>
    <t>Nitab4.5_0000316g0130.1</t>
  </si>
  <si>
    <t>XM_016630312.1</t>
  </si>
  <si>
    <t>Nitab4.5_0000008g0060.1</t>
  </si>
  <si>
    <t>XM_016624190.1</t>
  </si>
  <si>
    <t xml:space="preserve">ATGSTU8, GSTU8: glutathione S-transferase TAU 8 </t>
  </si>
  <si>
    <t>AT3G09270.1</t>
  </si>
  <si>
    <t>'glutathione S-transferase TAU 8'</t>
  </si>
  <si>
    <t>Nitab4.5_0000187g0090.1</t>
  </si>
  <si>
    <t>XM_016653526.1</t>
  </si>
  <si>
    <t>Nitab4.5_0000203g0240.1</t>
  </si>
  <si>
    <t>XM_016656469.1</t>
  </si>
  <si>
    <t xml:space="preserve">SRO2: similar to RCD one 2 </t>
  </si>
  <si>
    <t>Nitab4.5_0003041g0050.1</t>
  </si>
  <si>
    <t>XM_016612718.1</t>
  </si>
  <si>
    <t xml:space="preserve">Glycosyl hydrolase family protein with chitinase insertion domain </t>
  </si>
  <si>
    <t>AT4G19810.1</t>
  </si>
  <si>
    <t>'Glycosyl hydrolase family protein with chitinase insertion domain'</t>
  </si>
  <si>
    <t>Nitab4.5_0000057g0200.1</t>
  </si>
  <si>
    <t>XM_016624665.1</t>
  </si>
  <si>
    <t>Nitab4.5_0000092g0040.1</t>
  </si>
  <si>
    <t>XM_016605536.1</t>
  </si>
  <si>
    <t xml:space="preserve">ATATG18F, ATG18F, G18F: homolog of yeast autophagy 18 (ATG18) F </t>
  </si>
  <si>
    <t>AT5G54730.1</t>
  </si>
  <si>
    <t>'homolog of yeast autophagy 18 (ATG18) F'</t>
  </si>
  <si>
    <t>Nitab4.5_0009514g0070.1</t>
  </si>
  <si>
    <t xml:space="preserve">PLATZ transcription factor family protein </t>
  </si>
  <si>
    <t>Nitab4.5_0004969g0050.1</t>
  </si>
  <si>
    <t>XM_016620424.1</t>
  </si>
  <si>
    <t>Nitab4.5_0008292g0020.1</t>
  </si>
  <si>
    <t>XM_016652421.1</t>
  </si>
  <si>
    <t>Nitab4.5_0013087g0020.1</t>
  </si>
  <si>
    <t>XM_016656927.1</t>
  </si>
  <si>
    <t>Nitab4.5_0001793g0150.1</t>
  </si>
  <si>
    <t>XM_016596508.1</t>
  </si>
  <si>
    <t xml:space="preserve">ATFRO8, FRO8: ferric reduction oxidase 8 </t>
  </si>
  <si>
    <t>AT5G50160.1</t>
  </si>
  <si>
    <t>'ferric reduction oxidase 8'</t>
  </si>
  <si>
    <t>Nitab4.5_0007109g0010.1</t>
  </si>
  <si>
    <t>XM_016627452.1</t>
  </si>
  <si>
    <t>AT1G61260.1</t>
  </si>
  <si>
    <t>'Protein of unknown function (DUF761)'</t>
  </si>
  <si>
    <t>Nitab4.5_0000629g0040.1</t>
  </si>
  <si>
    <t>XM_016614855.1</t>
  </si>
  <si>
    <t xml:space="preserve">ATPase E1-E2 type family protein / haloacid dehalogenase-like hydrolase family protein </t>
  </si>
  <si>
    <t>Nitab4.5_0000512g0110.1</t>
  </si>
  <si>
    <t>XM_016653104.1</t>
  </si>
  <si>
    <t xml:space="preserve">RMA1, ATRMA1: RING membrane-anchor 1 </t>
  </si>
  <si>
    <t>AT4G03510.2</t>
  </si>
  <si>
    <t>'RING membrane-anchor 1'</t>
  </si>
  <si>
    <t>Nitab4.5_0000923g0100.1</t>
  </si>
  <si>
    <t>XM_016597697.1</t>
  </si>
  <si>
    <t>AT1G17180.1</t>
  </si>
  <si>
    <t>'glutathione S-transferase TAU 25'</t>
  </si>
  <si>
    <t>Nitab4.5_0003465g0060.1</t>
  </si>
  <si>
    <t>XM_016622161.1</t>
  </si>
  <si>
    <t xml:space="preserve">SPHK1: sphingosine kinase 1 </t>
  </si>
  <si>
    <t>AT4G21540.1</t>
  </si>
  <si>
    <t>'sphingosine kinase 1'</t>
  </si>
  <si>
    <t>Nitab4.5_0000376g0050.1</t>
  </si>
  <si>
    <t>XM_016605799.1</t>
  </si>
  <si>
    <t>Nitab4.5_0000381g0020.1</t>
  </si>
  <si>
    <t>XM_016597352.1</t>
  </si>
  <si>
    <t xml:space="preserve">Protein of unknown function (DUF567) </t>
  </si>
  <si>
    <t>AT5G01750.2</t>
  </si>
  <si>
    <t>'Protein of unknown function (DUF567)'</t>
  </si>
  <si>
    <t>Nitab4.5_0003658g0020.1</t>
  </si>
  <si>
    <t>XM_016657364.1</t>
  </si>
  <si>
    <t>Nitab4.5_0002049g0040.1</t>
  </si>
  <si>
    <t>XM_016612743.1</t>
  </si>
  <si>
    <t>AT2G35795.1</t>
  </si>
  <si>
    <t>Nitab4.5_0000188g0090.1</t>
  </si>
  <si>
    <t>XM_016577564.1</t>
  </si>
  <si>
    <t>Nitab4.5_0000515g0060.1</t>
  </si>
  <si>
    <t>XM_016579785.1</t>
  </si>
  <si>
    <t xml:space="preserve">Glutaredoxin family protein </t>
  </si>
  <si>
    <t>AT3G57070.1</t>
  </si>
  <si>
    <t>'Glutaredoxin family protein'</t>
  </si>
  <si>
    <t>Nitab4.5_0007882g0010.1</t>
  </si>
  <si>
    <t>XM_016636502.1</t>
  </si>
  <si>
    <t xml:space="preserve">PCR2: PLANT CADMIUM RESISTANCE 2 </t>
  </si>
  <si>
    <t>AT1G14870.1</t>
  </si>
  <si>
    <t>'PLANT CADMIUM RESISTANCE 2'</t>
  </si>
  <si>
    <t>Nitab4.5_0002545g0050.1</t>
  </si>
  <si>
    <t>XM_016601740.1</t>
  </si>
  <si>
    <t>Nitab4.5_0000008g0270.1</t>
  </si>
  <si>
    <t>XM_016635322.1</t>
  </si>
  <si>
    <t>Nitab4.5_0000403g0130.1</t>
  </si>
  <si>
    <t>XM_016622991.1</t>
  </si>
  <si>
    <t>Nitab4.5_0011081g0020.1</t>
  </si>
  <si>
    <t>XM_016630354.1</t>
  </si>
  <si>
    <t>Nitab4.5_0003888g0010.1</t>
  </si>
  <si>
    <t>XM_016599123.1</t>
  </si>
  <si>
    <t>Nitab4.5_0000980g0290.1</t>
  </si>
  <si>
    <t>XM_016591148.1</t>
  </si>
  <si>
    <t>AT1G75750.2</t>
  </si>
  <si>
    <t>'GAST1 protein homolog 1'</t>
  </si>
  <si>
    <t>Nitab4.5_0001467g0020.1</t>
  </si>
  <si>
    <t>XM_016626147.1</t>
  </si>
  <si>
    <t xml:space="preserve">HB-4, WOX13, ATWOX13: WUSCHEL related homeobox 13 </t>
  </si>
  <si>
    <t>AT4G35550.1</t>
  </si>
  <si>
    <t>'WUSCHEL related homeobox 13'</t>
  </si>
  <si>
    <t>Nitab4.5_0004333g0020.1</t>
  </si>
  <si>
    <t>XM_016640984.1</t>
  </si>
  <si>
    <t xml:space="preserve">PSAE-2: photosystem I subunit E-2 </t>
  </si>
  <si>
    <t>AT2G20260.1</t>
  </si>
  <si>
    <t>'photosystem I subunit E-2'</t>
  </si>
  <si>
    <t>Nitab4.5_0002853g0100.1</t>
  </si>
  <si>
    <t>XM_016585628.1</t>
  </si>
  <si>
    <t xml:space="preserve">AtPP2-A12, PP2-A12: phloem protein 2-A12 </t>
  </si>
  <si>
    <t>AT1G12710.1</t>
  </si>
  <si>
    <t>'phloem protein 2-A12'</t>
  </si>
  <si>
    <t>Nitab4.5_0008292g0010.1</t>
  </si>
  <si>
    <t>XM_016652429.1</t>
  </si>
  <si>
    <t>Nitab4.5_0002521g0010.1</t>
  </si>
  <si>
    <t>XM_016633120.1</t>
  </si>
  <si>
    <t xml:space="preserve">ZFP4: zinc finger protein 4 </t>
  </si>
  <si>
    <t>AT1G66140.1</t>
  </si>
  <si>
    <t>'zinc finger protein 4'</t>
  </si>
  <si>
    <t>Nitab4.5_0004920g0030.1</t>
  </si>
  <si>
    <t>XM_016588321.1</t>
  </si>
  <si>
    <t>Nitab4.5_0003176g0020.1</t>
  </si>
  <si>
    <t>XM_016625956.1</t>
  </si>
  <si>
    <t xml:space="preserve">ARM repeat superfamily protein </t>
  </si>
  <si>
    <t>AT3G01400.1</t>
  </si>
  <si>
    <t>'ARM repeat superfamily protein'</t>
  </si>
  <si>
    <t>Nitab4.5_0010010g0010.1</t>
  </si>
  <si>
    <t>XM_016609741.1</t>
  </si>
  <si>
    <t xml:space="preserve">Galactose mutarotase-like superfamily protein </t>
  </si>
  <si>
    <t>AT3G47800.1</t>
  </si>
  <si>
    <t>'Galactose mutarotase-like superfamily protein'</t>
  </si>
  <si>
    <t>Nitab4.5_0004024g0020.1</t>
  </si>
  <si>
    <t>XR_001650108.1</t>
  </si>
  <si>
    <t>AT4G10710.1</t>
  </si>
  <si>
    <t>'global transcription factor C'</t>
  </si>
  <si>
    <t>Nitab4.5_0000102g0010.1</t>
  </si>
  <si>
    <t>XM_016658168.1</t>
  </si>
  <si>
    <t xml:space="preserve">ASN2: asparagine synthetase 2 </t>
  </si>
  <si>
    <t>Nitab4.5_0000785g0230.1</t>
  </si>
  <si>
    <t>XM_016625973.1</t>
  </si>
  <si>
    <t>AT1G54400.1</t>
  </si>
  <si>
    <t>Nitab4.5_0000933g0030.1</t>
  </si>
  <si>
    <t>XM_016604898.1</t>
  </si>
  <si>
    <t>AT1G07400.1</t>
  </si>
  <si>
    <t>Nitab4.5_0008613g0010.1</t>
  </si>
  <si>
    <t>XM_016642378.1</t>
  </si>
  <si>
    <t>AT1G77145.1</t>
  </si>
  <si>
    <t>Nitab4.5_0001636g0020.1</t>
  </si>
  <si>
    <t>XM_016647361.1</t>
  </si>
  <si>
    <t xml:space="preserve">ATNIC1, NIC1: nicotinamidase 1 </t>
  </si>
  <si>
    <t>AT2G22570.1</t>
  </si>
  <si>
    <t>'nicotinamidase 1'</t>
  </si>
  <si>
    <t>Nitab4.5_0001644g0100.1</t>
  </si>
  <si>
    <t>XM_016636997.1</t>
  </si>
  <si>
    <t xml:space="preserve">BGLU44: B-S glucosidase 44 </t>
  </si>
  <si>
    <t>AT3G18080.1</t>
  </si>
  <si>
    <t>'B-S glucosidase 44'</t>
  </si>
  <si>
    <t>Nitab4.5_0001515g0070.1</t>
  </si>
  <si>
    <t>XM_016623943.1</t>
  </si>
  <si>
    <t>AT2G25790.1</t>
  </si>
  <si>
    <t>Nitab4.5_0006985g0010.1</t>
  </si>
  <si>
    <t>XM_016626012.1</t>
  </si>
  <si>
    <t xml:space="preserve">PAP2, IAA27: phytochrome-associated protein 2 </t>
  </si>
  <si>
    <t>AT4G29080.1</t>
  </si>
  <si>
    <t>'phytochrome-associated protein 2'</t>
  </si>
  <si>
    <t>Nitab4.5_0006224g0040.1</t>
  </si>
  <si>
    <t>XM_016597337.1</t>
  </si>
  <si>
    <t xml:space="preserve">Protein of unknown function (DUF1262) </t>
  </si>
  <si>
    <t>AT1G61600.1</t>
  </si>
  <si>
    <t>'Protein of unknown function (DUF1262)'</t>
  </si>
  <si>
    <t>Nitab4.5_0001303g0060.1</t>
  </si>
  <si>
    <t>XM_016592719.1</t>
  </si>
  <si>
    <t xml:space="preserve">AtSIP1, SIP1: seed imbibition 1 </t>
  </si>
  <si>
    <t>AT1G55740.1</t>
  </si>
  <si>
    <t>'seed imbibition 1'</t>
  </si>
  <si>
    <t>Nitab4.5_0010036g0010.1</t>
  </si>
  <si>
    <t>XM_016651011.1</t>
  </si>
  <si>
    <t>unknown protein similar to AT5G07330.1</t>
  </si>
  <si>
    <t>AT5G07330.1</t>
  </si>
  <si>
    <t>Nitab4.5_0002335g0040.1</t>
  </si>
  <si>
    <t>XM_016622068.1</t>
  </si>
  <si>
    <t xml:space="preserve">Octicosapeptide/Phox/Bem1p family protein </t>
  </si>
  <si>
    <t>Nitab4.5_0000085g0010.1</t>
  </si>
  <si>
    <t>XM_016616604.1</t>
  </si>
  <si>
    <t>unknown protein similar to AT4G14746.1</t>
  </si>
  <si>
    <t>AT4G14746.1</t>
  </si>
  <si>
    <t>Nitab4.5_0021096g0010.1</t>
  </si>
  <si>
    <t>XM_016630580.1</t>
  </si>
  <si>
    <t>Nitab4.5_0004476g0030.1</t>
  </si>
  <si>
    <t>XM_016597709.1</t>
  </si>
  <si>
    <t xml:space="preserve">ACT-like superfamily protein </t>
  </si>
  <si>
    <t>AT2G36840.1</t>
  </si>
  <si>
    <t>'ACT-like superfamily protein'</t>
  </si>
  <si>
    <t>Nitab4.5_0000321g0130.1</t>
  </si>
  <si>
    <t>XM_016608621.1</t>
  </si>
  <si>
    <t>Nitab4.5_0006852g0070.1</t>
  </si>
  <si>
    <t>XM_016593256.1</t>
  </si>
  <si>
    <t xml:space="preserve">ATHSFA2, HSFA2: heat shock transcription factor A2 </t>
  </si>
  <si>
    <t>AT2G26150.2</t>
  </si>
  <si>
    <t>'heat shock transcription factor A2'</t>
  </si>
  <si>
    <t>Nitab4.5_0000697g0010.1</t>
  </si>
  <si>
    <t>XM_016612670.1</t>
  </si>
  <si>
    <t>AT4G27890.1</t>
  </si>
  <si>
    <t>Nitab4.5_0005609g0060.1</t>
  </si>
  <si>
    <t>XM_016628613.1</t>
  </si>
  <si>
    <t xml:space="preserve">LRR XI-23, RLK7: Leucine-rich receptor-like protein kinase family protein </t>
  </si>
  <si>
    <t>AT1G09970.1</t>
  </si>
  <si>
    <t>Nitab4.5_0009327g0020.1</t>
  </si>
  <si>
    <t>XM_016591540.1</t>
  </si>
  <si>
    <t xml:space="preserve">C2H2-type zinc finger family protein </t>
  </si>
  <si>
    <t>Nitab4.5_0000716g0080.1</t>
  </si>
  <si>
    <t>XM_016614808.1</t>
  </si>
  <si>
    <t xml:space="preserve">SNARE-like superfamily protein </t>
  </si>
  <si>
    <t>AT5G52270.1</t>
  </si>
  <si>
    <t>'SNARE-like superfamily protein'</t>
  </si>
  <si>
    <t>Nitab4.5_0000368g0110.1</t>
  </si>
  <si>
    <t>XM_016633373.1</t>
  </si>
  <si>
    <t xml:space="preserve">ATBZIP53, BZIP53: basic region/leucine zipper motif 53 </t>
  </si>
  <si>
    <t>AT3G62420.1</t>
  </si>
  <si>
    <t>'basic region/leucine zipper motif 53'</t>
  </si>
  <si>
    <t>Nitab4.5_0002218g0010.1</t>
  </si>
  <si>
    <t>XM_016650053.1</t>
  </si>
  <si>
    <t>Nitab4.5_0000869g0020.1</t>
  </si>
  <si>
    <t>XM_016626715.1</t>
  </si>
  <si>
    <t>AT1G30080.1</t>
  </si>
  <si>
    <t>Nitab4.5_0001812g0080.1</t>
  </si>
  <si>
    <t>XM_016623015.1</t>
  </si>
  <si>
    <t xml:space="preserve">BT1: BTB and TAZ domain protein 1 </t>
  </si>
  <si>
    <t>AT5G63160.1</t>
  </si>
  <si>
    <t>'BTB and TAZ domain protein 1'</t>
  </si>
  <si>
    <t>Nitab4.5_0001265g0010.1</t>
  </si>
  <si>
    <t>XM_016589374.1</t>
  </si>
  <si>
    <t xml:space="preserve">Protein of unknown function (DUF1442) </t>
  </si>
  <si>
    <t>AT2G45360.1</t>
  </si>
  <si>
    <t>'Protein of unknown function (DUF1442)'</t>
  </si>
  <si>
    <t>Nitab4.5_0000230g0170.1</t>
  </si>
  <si>
    <t>XM_016620901.1</t>
  </si>
  <si>
    <t>Nitab4.5_0001423g0100.1</t>
  </si>
  <si>
    <t>XM_016607407.1</t>
  </si>
  <si>
    <t xml:space="preserve">Major facilitator superfamily protein </t>
  </si>
  <si>
    <t>AT1G54730.2</t>
  </si>
  <si>
    <t>Nitab4.5_0000397g0280.1</t>
  </si>
  <si>
    <t>XM_016580597.1</t>
  </si>
  <si>
    <t xml:space="preserve">ATSGP1, SGP1: Ras-related small GTP-binding family protein </t>
  </si>
  <si>
    <t>AT5G54840.1</t>
  </si>
  <si>
    <t>'Ras-related small GTP-binding family protein'</t>
  </si>
  <si>
    <t>Nitab4.5_0000786g0220.1</t>
  </si>
  <si>
    <t>XM_016651830.1</t>
  </si>
  <si>
    <t xml:space="preserve">EXO: Phosphate-responsive 1 family protein </t>
  </si>
  <si>
    <t>Nitab4.5_0007851g0010.1</t>
  </si>
  <si>
    <t>XM_016612655.1</t>
  </si>
  <si>
    <t xml:space="preserve">pathogenesis-related family protein </t>
  </si>
  <si>
    <t>AT1G78780.2</t>
  </si>
  <si>
    <t>'pathogenesis-related family protein'</t>
  </si>
  <si>
    <t>Nitab4.5_0002112g0040.1</t>
  </si>
  <si>
    <t>XM_016660080.1</t>
  </si>
  <si>
    <t>Nitab4.5_0000287g0030.1</t>
  </si>
  <si>
    <t>XM_016600225.1</t>
  </si>
  <si>
    <t>Nitab4.5_0004051g0050.1</t>
  </si>
  <si>
    <t>XR_001657693.1</t>
  </si>
  <si>
    <t>Nitab4.5_0002998g0060.1</t>
  </si>
  <si>
    <t>XM_016622885.1</t>
  </si>
  <si>
    <t xml:space="preserve">HSF3, HSFA1B, ATHSFA1B: heat shock factor 3 </t>
  </si>
  <si>
    <t>AT5G16820.2</t>
  </si>
  <si>
    <t>'heat shock factor 3'</t>
  </si>
  <si>
    <t>Nitab4.5_0002113g0140.1</t>
  </si>
  <si>
    <t>XM_016589554.1</t>
  </si>
  <si>
    <t xml:space="preserve">NRPB6B, NRPE6B: RNA polymerase Rpb6 </t>
  </si>
  <si>
    <t>AT2G04630.1</t>
  </si>
  <si>
    <t>'RNA polymerase Rpb6'</t>
  </si>
  <si>
    <t>Nitab4.5_0001756g0170.1</t>
  </si>
  <si>
    <t>XM_016644193.1</t>
  </si>
  <si>
    <t>Nitab4.5_0000366g0010.1</t>
  </si>
  <si>
    <t>XM_016620574.1</t>
  </si>
  <si>
    <t>Nitab4.5_0003680g0030.1</t>
  </si>
  <si>
    <t>XM_016580079.1</t>
  </si>
  <si>
    <t xml:space="preserve">MLS: malate synthase </t>
  </si>
  <si>
    <t>AT5G03860.2</t>
  </si>
  <si>
    <t>'malate synthase'</t>
  </si>
  <si>
    <t>Nitab4.5_0000574g0090.1</t>
  </si>
  <si>
    <t>XM_016646310.1</t>
  </si>
  <si>
    <t>AT5G37670.1</t>
  </si>
  <si>
    <t>Nitab4.5_0000568g0210.1</t>
  </si>
  <si>
    <t xml:space="preserve">SPFH/Band 7/PHB domain-containing membrane-associated protein family </t>
  </si>
  <si>
    <t>Nitab4.5_0000766g0080.1</t>
  </si>
  <si>
    <t>XM_016652989.1</t>
  </si>
  <si>
    <t>Nitab4.5_0001349g0130.1</t>
  </si>
  <si>
    <t>XM_016618564.1</t>
  </si>
  <si>
    <t xml:space="preserve">EBF1, FBL6: EIN3-binding F box protein 1 </t>
  </si>
  <si>
    <t>AT2G25490.1</t>
  </si>
  <si>
    <t>'EIN3-binding F box protein 1'</t>
  </si>
  <si>
    <t>Nitab4.5_0000321g0110.1</t>
  </si>
  <si>
    <t>XM_016622214.1</t>
  </si>
  <si>
    <t xml:space="preserve">Protein of unknown function (DUF1423) </t>
  </si>
  <si>
    <t>AT1G05410.1</t>
  </si>
  <si>
    <t>'Protein of unknown function (DUF1423)'</t>
  </si>
  <si>
    <t>Nitab4.5_0001323g0170.1</t>
  </si>
  <si>
    <t>XM_016587225.1</t>
  </si>
  <si>
    <t>AT2G48020.1</t>
  </si>
  <si>
    <t>Nitab4.5_0002630g0010.1</t>
  </si>
  <si>
    <t>XM_016635481.1</t>
  </si>
  <si>
    <t xml:space="preserve">XTR6, XTH23: xyloglucan endotransglycosylase 6 </t>
  </si>
  <si>
    <t>AT4G25810.1</t>
  </si>
  <si>
    <t>'xyloglucan endotransglycosylase 6'</t>
  </si>
  <si>
    <t>Nitab4.5_0000355g0060.1</t>
  </si>
  <si>
    <t>XM_016607561.1</t>
  </si>
  <si>
    <t xml:space="preserve">IAA13: auxin-induced protein 13 </t>
  </si>
  <si>
    <t>AT2G33310.3</t>
  </si>
  <si>
    <t>'auxin-induced protein 13'</t>
  </si>
  <si>
    <t>Nitab4.5_0006892g0010.1</t>
  </si>
  <si>
    <t>XM_016646618.1</t>
  </si>
  <si>
    <t>unknown protein similar to AT2G17710.1</t>
  </si>
  <si>
    <t>AT2G17710.1</t>
  </si>
  <si>
    <t>Nitab4.5_0000148g0060.1</t>
  </si>
  <si>
    <t>XM_016585753.1</t>
  </si>
  <si>
    <t>AT3G50940.1</t>
  </si>
  <si>
    <t>Nitab4.5_0000935g0190.1</t>
  </si>
  <si>
    <t>XM_016626159.1</t>
  </si>
  <si>
    <t>AT5G14370.1</t>
  </si>
  <si>
    <t>'CCT motif family protein'</t>
  </si>
  <si>
    <t>Nitab4.5_0004898g0010.1</t>
  </si>
  <si>
    <t>XM_016583175.1</t>
  </si>
  <si>
    <t xml:space="preserve">D-arabinono-1,4-lactone oxidase family protein </t>
  </si>
  <si>
    <t>AT2G46760.1</t>
  </si>
  <si>
    <t>'D-arabinono-1,4-lactone oxidase family protein'</t>
  </si>
  <si>
    <t>Nitab4.5_0006992g0080.1</t>
  </si>
  <si>
    <t>XM_016618106.1</t>
  </si>
  <si>
    <t xml:space="preserve">RPM1-interacting protein 4 (RIN4) family protein </t>
  </si>
  <si>
    <t>Nitab4.5_0000617g0210.1</t>
  </si>
  <si>
    <t>XM_016644323.1</t>
  </si>
  <si>
    <t>AT2G34930.1</t>
  </si>
  <si>
    <t>'disease resistance family protein / LRR family protein'</t>
  </si>
  <si>
    <t>Nitab4.5_0001105g0070.1</t>
  </si>
  <si>
    <t>Nitab4.5_0008206g0030.1</t>
  </si>
  <si>
    <t>XM_016616893.1</t>
  </si>
  <si>
    <t xml:space="preserve">SPPL4, ATSPPL4: SIGNAL PEPTIDE PEPTIDASE-LIKE 4 </t>
  </si>
  <si>
    <t>AT1G01650.1</t>
  </si>
  <si>
    <t>'SIGNAL PEPTIDE PEPTIDASE-LIKE 4'</t>
  </si>
  <si>
    <t>Nitab4.5_0009681g0020.1</t>
  </si>
  <si>
    <t>XM_016602636.1</t>
  </si>
  <si>
    <t>AT5G52280.1</t>
  </si>
  <si>
    <t>'Myosin heavy chain-related protein'</t>
  </si>
  <si>
    <t>Nitab4.5_0000106g0030.1</t>
  </si>
  <si>
    <t>XM_016606968.1</t>
  </si>
  <si>
    <t xml:space="preserve">TET3: tetraspanin3 </t>
  </si>
  <si>
    <t>AT3G45600.1</t>
  </si>
  <si>
    <t>'tetraspanin3'</t>
  </si>
  <si>
    <t>Nitab4.5_0000036g0410.1</t>
  </si>
  <si>
    <t>XR_001649698.1</t>
  </si>
  <si>
    <t>Nitab4.5_0002375g0030.1</t>
  </si>
  <si>
    <t>XM_016625525.1</t>
  </si>
  <si>
    <t xml:space="preserve">BGLU45: beta-glucosidase 45 </t>
  </si>
  <si>
    <t>AT4G21760.1</t>
  </si>
  <si>
    <t>'beta-glucosidase 47'</t>
  </si>
  <si>
    <t>Nitab4.5_0000859g0280.1</t>
  </si>
  <si>
    <t>Nitab4.5_0000005g0090.1</t>
  </si>
  <si>
    <t>XM_016593922.1</t>
  </si>
  <si>
    <t xml:space="preserve">RVE1: Homeodomain-like superfamily protein </t>
  </si>
  <si>
    <t>AT5G17300.1</t>
  </si>
  <si>
    <t>Nitab4.5_0006823g0010.1</t>
  </si>
  <si>
    <t>XM_016612637.1</t>
  </si>
  <si>
    <t xml:space="preserve">ATBZIP61, BZIP61: Basic-leucine zipper (bZIP) transcription factor family protein </t>
  </si>
  <si>
    <t>AT3G58120.1</t>
  </si>
  <si>
    <t>'Basic-leucine zipper (bZIP) transcription factor family protein'</t>
  </si>
  <si>
    <t>Nitab4.5_0010408g0030.1</t>
  </si>
  <si>
    <t>XM_016609131.1</t>
  </si>
  <si>
    <t xml:space="preserve">ACR1: ACT domain repeat 1 </t>
  </si>
  <si>
    <t>AT5G65890.1</t>
  </si>
  <si>
    <t>'ACT domain repeat 1'</t>
  </si>
  <si>
    <t>Nitab4.5_0007488g0040.1</t>
  </si>
  <si>
    <t>XM_016621637.1</t>
  </si>
  <si>
    <t>Nitab4.5_0000976g0150.1</t>
  </si>
  <si>
    <t>XM_016588392.1</t>
  </si>
  <si>
    <t>Nitab4.5_0000074g0100.1</t>
  </si>
  <si>
    <t>XM_016597140.1</t>
  </si>
  <si>
    <t>Nitab4.5_0000262g0030.1</t>
  </si>
  <si>
    <t>XM_016599433.1</t>
  </si>
  <si>
    <t xml:space="preserve">ubiquinol-cytochrome C chaperone family protein </t>
  </si>
  <si>
    <t>AT5G51220.1</t>
  </si>
  <si>
    <t>'ubiquinol-cytochrome C chaperone family protein'</t>
  </si>
  <si>
    <t>Nitab4.5_0002402g0010.1</t>
  </si>
  <si>
    <t>XM_016627573.1</t>
  </si>
  <si>
    <t xml:space="preserve">ABR1: Integrase-type DNA-binding superfamily protein </t>
  </si>
  <si>
    <t>AT5G64750.1</t>
  </si>
  <si>
    <t>Nitab4.5_0009209g0010.1</t>
  </si>
  <si>
    <t>XM_016616396.1</t>
  </si>
  <si>
    <t>AT4G17900.1</t>
  </si>
  <si>
    <t>'PLATZ transcription factor family protein'</t>
  </si>
  <si>
    <t>Nitab4.5_0000770g0140.1</t>
  </si>
  <si>
    <t>XM_016629548.1</t>
  </si>
  <si>
    <t>Nitab4.5_0013721g0010.1</t>
  </si>
  <si>
    <t>XM_016590973.1</t>
  </si>
  <si>
    <t xml:space="preserve">Beta-glucosidase, GBA2 type family protein </t>
  </si>
  <si>
    <t>AT5G49900.1</t>
  </si>
  <si>
    <t>'Beta-glucosidase, GBA2 type family protein'</t>
  </si>
  <si>
    <t>Nitab4.5_0008659g0010.1</t>
  </si>
  <si>
    <t>XM_016620056.1</t>
  </si>
  <si>
    <t>Nitab4.5_0001533g0010.1</t>
  </si>
  <si>
    <t>XM_016638712.1</t>
  </si>
  <si>
    <t xml:space="preserve">ATGA2OX2, GA2OX2: gibberellin 2-oxidase </t>
  </si>
  <si>
    <t>AT1G30040.1</t>
  </si>
  <si>
    <t>'gibberellin 2-oxidase'</t>
  </si>
  <si>
    <t>Nitab4.5_0000998g0020.1</t>
  </si>
  <si>
    <t>XM_016633020.1</t>
  </si>
  <si>
    <t xml:space="preserve">Peroxisomal membrane 22 kDa (Mpv17/PMP22) family protein </t>
  </si>
  <si>
    <t>AT4G03410.1</t>
  </si>
  <si>
    <t>'Peroxisomal membrane 22 kDa (Mpv17/PMP22) family protein'</t>
  </si>
  <si>
    <t>Nitab4.5_0000009g0030.1</t>
  </si>
  <si>
    <t xml:space="preserve">GT, UGT74F2, ATSAGT1, SGT1, SAGT1: UDP-glucosyltransferase 74F2 </t>
  </si>
  <si>
    <t>AT2G43820.1</t>
  </si>
  <si>
    <t>'UDP-glucosyltransferase 74F2'</t>
  </si>
  <si>
    <t>Nitab4.5_0000445g0120.1</t>
  </si>
  <si>
    <t>XM_016590314.1</t>
  </si>
  <si>
    <t>AT4G25980.1</t>
  </si>
  <si>
    <t>Nitab4.5_0008546g0010.1</t>
  </si>
  <si>
    <t>XM_016580356.1</t>
  </si>
  <si>
    <t>AT4G33940.1</t>
  </si>
  <si>
    <t>Nitab4.5_0000089g0110.1</t>
  </si>
  <si>
    <t>XM_016639277.1</t>
  </si>
  <si>
    <t xml:space="preserve">Protein of unknown function, DUF593 </t>
  </si>
  <si>
    <t>AT1G70750.1</t>
  </si>
  <si>
    <t>'Protein of unknown function, DUF593'</t>
  </si>
  <si>
    <t>Nitab4.5_0008517g0010.1</t>
  </si>
  <si>
    <t>XM_016600495.1</t>
  </si>
  <si>
    <t xml:space="preserve">ALDH2B7, ALDH2B: aldehyde dehydrogenase 2B7 </t>
  </si>
  <si>
    <t>AT3G48000.1</t>
  </si>
  <si>
    <t>'aldehyde dehydrogenase 2B4'</t>
  </si>
  <si>
    <t>Nitab4.5_0004330g0020.1</t>
  </si>
  <si>
    <t>XM_016609740.1</t>
  </si>
  <si>
    <t xml:space="preserve">EFE, ACO4, EAT1: ethylene-forming enzyme </t>
  </si>
  <si>
    <t>AT1G05010.1</t>
  </si>
  <si>
    <t>'ethylene-forming enzyme'</t>
  </si>
  <si>
    <t>Nitab4.5_0005287g0030.1</t>
  </si>
  <si>
    <t>XM_016595226.1</t>
  </si>
  <si>
    <t xml:space="preserve">RSL2: ROOT HAIR DEFECTIVE 6-LIKE 2 </t>
  </si>
  <si>
    <t>Nitab4.5_0001014g0160.1</t>
  </si>
  <si>
    <t>unknown protein similar to AT5G66985.1</t>
  </si>
  <si>
    <t>Nitab4.5_0023502g0010.1</t>
  </si>
  <si>
    <t>XM_016592150.1</t>
  </si>
  <si>
    <t xml:space="preserve">CAB1, AB140, CAB140, LHCB1.3: chlorophyll A/B binding protein 1 </t>
  </si>
  <si>
    <t>AT1G29930.1</t>
  </si>
  <si>
    <t>'chlorophyll A/B binding protein 1'</t>
  </si>
  <si>
    <t>Nitab4.5_0007309g0040.1</t>
  </si>
  <si>
    <t>Nitab4.5_0000391g0110.1</t>
  </si>
  <si>
    <t>XM_016580081.1</t>
  </si>
  <si>
    <t>AT3G11810.1</t>
  </si>
  <si>
    <t>Nitab4.5_0001187g0090.1</t>
  </si>
  <si>
    <t>XM_016582170.1</t>
  </si>
  <si>
    <t>AT5G05170.1</t>
  </si>
  <si>
    <t>'Cellulose synthase family protein'</t>
  </si>
  <si>
    <t>Nitab4.5_0000759g0270.1</t>
  </si>
  <si>
    <t>XM_016596079.1</t>
  </si>
  <si>
    <t xml:space="preserve">Bax inhibitor-1 family protein </t>
  </si>
  <si>
    <t>AT1G03070.2</t>
  </si>
  <si>
    <t>'Bax inhibitor-1 family protein'</t>
  </si>
  <si>
    <t>Nitab4.5_0005380g0050.1</t>
  </si>
  <si>
    <t>XM_016660674.1</t>
  </si>
  <si>
    <t xml:space="preserve">PSB27: photosystem II family protein </t>
  </si>
  <si>
    <t>Nitab4.5_0010209g0020.1</t>
  </si>
  <si>
    <t>XM_016628339.1</t>
  </si>
  <si>
    <t>Nitab4.5_0000106g0180.1</t>
  </si>
  <si>
    <t>XM_016658579.1</t>
  </si>
  <si>
    <t xml:space="preserve">Protein of unknown function, DUF584 </t>
  </si>
  <si>
    <t>AT5G60680.1</t>
  </si>
  <si>
    <t>'Protein of unknown function, DUF584'</t>
  </si>
  <si>
    <t>Nitab4.5_0006392g0050.1</t>
  </si>
  <si>
    <t>XM_016654055.1</t>
  </si>
  <si>
    <t xml:space="preserve">FTSH6, ATFTSH6: FTSH protease 6 </t>
  </si>
  <si>
    <t>AT5G15250.1</t>
  </si>
  <si>
    <t>'FTSH protease 6'</t>
  </si>
  <si>
    <t>Nitab4.5_0000391g0200.1</t>
  </si>
  <si>
    <t>XM_016625566.1</t>
  </si>
  <si>
    <t>AT1G13530.1</t>
  </si>
  <si>
    <t>Nitab4.5_0022581g0010.1</t>
  </si>
  <si>
    <t>XR_001655714.1</t>
  </si>
  <si>
    <t>Nitab4.5_0005096g0010.1</t>
  </si>
  <si>
    <t>XM_016654925.1</t>
  </si>
  <si>
    <t xml:space="preserve">AGT2: alanine:glyoxylate aminotransferase 2 </t>
  </si>
  <si>
    <t>AT4G39660.1</t>
  </si>
  <si>
    <t>'alanine</t>
  </si>
  <si>
    <t>Nitab4.5_0000745g0220.1</t>
  </si>
  <si>
    <t>XM_016624088.1</t>
  </si>
  <si>
    <t xml:space="preserve">AtMYB78, MYB78: myb domain protein 78 </t>
  </si>
  <si>
    <t>AT5G49620.1</t>
  </si>
  <si>
    <t>'myb domain protein 78'</t>
  </si>
  <si>
    <t>Nitab4.5_0000403g0110.1</t>
  </si>
  <si>
    <t>XM_016658756.1</t>
  </si>
  <si>
    <t xml:space="preserve">MHK: Protein kinase superfamily protein </t>
  </si>
  <si>
    <t>AT4G13020.1</t>
  </si>
  <si>
    <t>Nitab4.5_0009367g0020.1</t>
  </si>
  <si>
    <t>XM_016610883.1</t>
  </si>
  <si>
    <t>unknown protein similar to AT3G03870.2</t>
  </si>
  <si>
    <t>AT3G03870.2</t>
  </si>
  <si>
    <t>Nitab4.5_0000832g0130.1</t>
  </si>
  <si>
    <t>XM_016584571.1</t>
  </si>
  <si>
    <t xml:space="preserve">Pyridoxal phosphate (PLP)-dependent transferases superfamily protein </t>
  </si>
  <si>
    <t>AT5G51920.1</t>
  </si>
  <si>
    <t>Nitab4.5_0012752g0010.1</t>
  </si>
  <si>
    <t>XM_016582164.1</t>
  </si>
  <si>
    <t>Nitab4.5_0000070g0090.1</t>
  </si>
  <si>
    <t>XM_016649756.1</t>
  </si>
  <si>
    <t xml:space="preserve">Protein of unknown function (DUF1635) </t>
  </si>
  <si>
    <t>AT2G28690.1</t>
  </si>
  <si>
    <t>'Protein of unknown function (DUF1635)'</t>
  </si>
  <si>
    <t>Nitab4.5_0007568g0020.1</t>
  </si>
  <si>
    <t>XM_016609007.1</t>
  </si>
  <si>
    <t xml:space="preserve">ATPAP22, PAP22: purple acid phosphatase 22 </t>
  </si>
  <si>
    <t>AT3G52820.1</t>
  </si>
  <si>
    <t>'purple acid phosphatase 22'</t>
  </si>
  <si>
    <t>Nitab4.5_0004030g0050.1</t>
  </si>
  <si>
    <t>XM_016652094.1</t>
  </si>
  <si>
    <t>Nitab4.5_0002642g0090.1</t>
  </si>
  <si>
    <t>XM_016658601.1</t>
  </si>
  <si>
    <t xml:space="preserve">EIF4A1, RH4, TIF4A1: eukaryotic translation initiation factor 4A1 </t>
  </si>
  <si>
    <t>AT3G13920.1</t>
  </si>
  <si>
    <t>'eukaryotic translation initiation factor 4A1'</t>
  </si>
  <si>
    <t>Nitab4.5_0000522g0190.1</t>
  </si>
  <si>
    <t>XM_016588988.1</t>
  </si>
  <si>
    <t xml:space="preserve">JAR1: Auxin-responsive GH3 family protein </t>
  </si>
  <si>
    <t>AT2G46370.4</t>
  </si>
  <si>
    <t>Nitab4.5_0000212g0150.1</t>
  </si>
  <si>
    <t>XM_016615908.1</t>
  </si>
  <si>
    <t xml:space="preserve">Protein of unknown function (DUF179) </t>
  </si>
  <si>
    <t>AT3G29240.2</t>
  </si>
  <si>
    <t>'Protein of unknown function (DUF179)'</t>
  </si>
  <si>
    <t>Nitab4.5_0000043g0340.1</t>
  </si>
  <si>
    <t>XM_016626614.1</t>
  </si>
  <si>
    <t>Nitab4.5_0000119g0200.1</t>
  </si>
  <si>
    <t>XM_016576917.1</t>
  </si>
  <si>
    <t xml:space="preserve">alpha 1,4-glycosyltransferase family protein </t>
  </si>
  <si>
    <t>Nitab4.5_0001211g0100.1</t>
  </si>
  <si>
    <t>XM_016588630.1</t>
  </si>
  <si>
    <t xml:space="preserve">Leucine-rich repeat protein kinase family protein </t>
  </si>
  <si>
    <t>AT1G74360.1</t>
  </si>
  <si>
    <t>'Leucine-rich repeat protein kinase family protein'</t>
  </si>
  <si>
    <t>Nitab4.5_0005249g0020.1</t>
  </si>
  <si>
    <t>XM_016616535.1</t>
  </si>
  <si>
    <t xml:space="preserve">Protein of unknown function DUF829, transmembrane 53 </t>
  </si>
  <si>
    <t>AT2G15695.1</t>
  </si>
  <si>
    <t>'Protein of unknown function DUF829, transmembrane 53'</t>
  </si>
  <si>
    <t>Nitab4.5_0009210g0030.1</t>
  </si>
  <si>
    <t>XM_016606010.1</t>
  </si>
  <si>
    <t xml:space="preserve">CAC3: acetyl Co-enzyme a carboxylase carboxyltransferase alpha subunit </t>
  </si>
  <si>
    <t>AT2G38040.2</t>
  </si>
  <si>
    <t>'acetyl Co-enzyme a carboxylase carboxyltransferase alpha subunit'</t>
  </si>
  <si>
    <t>Nitab4.5_0001600g0110.1</t>
  </si>
  <si>
    <t>XM_016598009.1</t>
  </si>
  <si>
    <t>AT3G43740.1</t>
  </si>
  <si>
    <t>'Leucine-rich repeat (LRR) family protein'</t>
  </si>
  <si>
    <t>Nitab4.5_0000569g0160.1</t>
  </si>
  <si>
    <t>XM_016616099.1</t>
  </si>
  <si>
    <t xml:space="preserve">CYP81D8: cytochrome P450, family 81, subfamily D, polypeptide 8 </t>
  </si>
  <si>
    <t>AT4G37370.1</t>
  </si>
  <si>
    <t>'cytochrome P450, family 81, subfamily D, polypeptide 8'</t>
  </si>
  <si>
    <t>Nitab4.5_0002248g0050.1</t>
  </si>
  <si>
    <t>XM_016585198.1</t>
  </si>
  <si>
    <t xml:space="preserve">At17.1: Encodes a protein whose expression is responsive to nematode infection. </t>
  </si>
  <si>
    <t>Nitab4.5_0000837g0120.1</t>
  </si>
  <si>
    <t>XM_016612711.1</t>
  </si>
  <si>
    <t>AT1G10340.1</t>
  </si>
  <si>
    <t>'Ankyrin repeat family protein'</t>
  </si>
  <si>
    <t>Nitab4.5_0001696g0100.1</t>
  </si>
  <si>
    <t>XM_016626403.1</t>
  </si>
  <si>
    <t xml:space="preserve">ACT-like protein tyrosine kinase family protein </t>
  </si>
  <si>
    <t>AT4G35780.1</t>
  </si>
  <si>
    <t>'ACT-like protein tyrosine kinase family protein'</t>
  </si>
  <si>
    <t>Nitab4.5_0000744g0040.1</t>
  </si>
  <si>
    <t>XM_016641242.1</t>
  </si>
  <si>
    <t>Nitab4.5_0002752g0080.1</t>
  </si>
  <si>
    <t>XM_016640254.1</t>
  </si>
  <si>
    <t>AT1G26090.1</t>
  </si>
  <si>
    <t>Nitab4.5_0003726g0030.1</t>
  </si>
  <si>
    <t>XM_016588423.1</t>
  </si>
  <si>
    <t>Nitab4.5_0000723g0110.1</t>
  </si>
  <si>
    <t>XM_016579542.1</t>
  </si>
  <si>
    <t>AT5G66390.1</t>
  </si>
  <si>
    <t>Nitab4.5_0002329g0040.1</t>
  </si>
  <si>
    <t>XM_016590678.1</t>
  </si>
  <si>
    <t xml:space="preserve">AtRLP7, RLP7: receptor like protein 7 </t>
  </si>
  <si>
    <t>AT1G45616.1</t>
  </si>
  <si>
    <t>'receptor like protein 6'</t>
  </si>
  <si>
    <t>Nitab4.5_0000238g0090.1</t>
  </si>
  <si>
    <t>XM_016641323.1</t>
  </si>
  <si>
    <t>Nitab4.5_0008600g0010.1</t>
  </si>
  <si>
    <t>XM_016647236.1</t>
  </si>
  <si>
    <t xml:space="preserve">neurofilament protein-related </t>
  </si>
  <si>
    <t>AT3G05900.1</t>
  </si>
  <si>
    <t>'neurofilament protein-related'</t>
  </si>
  <si>
    <t>Nitab4.5_0002167g0030.1</t>
  </si>
  <si>
    <t>XM_016614545.1</t>
  </si>
  <si>
    <t>Nitab4.5_0005754g0010.1</t>
  </si>
  <si>
    <t>XM_016653182.1</t>
  </si>
  <si>
    <t>AT2G23780.1</t>
  </si>
  <si>
    <t>Nitab4.5_0000262g0190.1</t>
  </si>
  <si>
    <t>XM_016609886.1</t>
  </si>
  <si>
    <t>Nitab4.5_0007512g0050.1</t>
  </si>
  <si>
    <t>XM_016614633.1</t>
  </si>
  <si>
    <t>AT2G37050.1</t>
  </si>
  <si>
    <t>Nitab4.5_0000559g0400.1</t>
  </si>
  <si>
    <t>XM_016583228.1</t>
  </si>
  <si>
    <t xml:space="preserve">Peptidase family M48 family protein </t>
  </si>
  <si>
    <t>AT3G27110.2</t>
  </si>
  <si>
    <t>'Peptidase family M48 family protein'</t>
  </si>
  <si>
    <t>Nitab4.5_0004726g0010.1</t>
  </si>
  <si>
    <t>XM_016656458.1</t>
  </si>
  <si>
    <t xml:space="preserve">LOX6: PLAT/LH2 domain-containing lipoxygenase family protein </t>
  </si>
  <si>
    <t>AT1G67560.1</t>
  </si>
  <si>
    <t>Nitab4.5_0007665g0010.1</t>
  </si>
  <si>
    <t>XM_016615830.1</t>
  </si>
  <si>
    <t>AT3G59060.4</t>
  </si>
  <si>
    <t>'phytochrome interacting factor 3-like 6'</t>
  </si>
  <si>
    <t>Nitab4.5_0012091g0010.1</t>
  </si>
  <si>
    <t>XM_016584144.1</t>
  </si>
  <si>
    <t>unknown protein similar to AT1G05060.1</t>
  </si>
  <si>
    <t>AT1G05060.1</t>
  </si>
  <si>
    <t>Nitab4.5_0001519g0010.1</t>
  </si>
  <si>
    <t>XM_016648317.1</t>
  </si>
  <si>
    <t>AT2G26150.1</t>
  </si>
  <si>
    <t>Nitab4.5_0006110g0050.1</t>
  </si>
  <si>
    <t>XM_016629790.1</t>
  </si>
  <si>
    <t xml:space="preserve">Cysteine/Histidine-rich C1 domain family protein </t>
  </si>
  <si>
    <t>AT2G27660.1</t>
  </si>
  <si>
    <t>'Cysteine/Histidine-rich C1 domain family protein'</t>
  </si>
  <si>
    <t>Nitab4.5_0002824g0080.1</t>
  </si>
  <si>
    <t>Nitab4.5_0017907g0010.1</t>
  </si>
  <si>
    <t>XM_016646237.1</t>
  </si>
  <si>
    <t>Nitab4.5_0004300g0180.1</t>
  </si>
  <si>
    <t>XM_016602248.1</t>
  </si>
  <si>
    <t>Nitab4.5_0002586g0120.1</t>
  </si>
  <si>
    <t>XM_016613689.1</t>
  </si>
  <si>
    <t>Nitab4.5_0001237g0030.1</t>
  </si>
  <si>
    <t>XM_016640969.1</t>
  </si>
  <si>
    <t>AT2G32030.1</t>
  </si>
  <si>
    <t>Nitab4.5_0004873g0070.1</t>
  </si>
  <si>
    <t>XM_016648139.1</t>
  </si>
  <si>
    <t xml:space="preserve">Iron-sulphur cluster biosynthesis family protein </t>
  </si>
  <si>
    <t>AT5G03905.1</t>
  </si>
  <si>
    <t>'Iron-sulphur cluster biosynthesis family protein'</t>
  </si>
  <si>
    <t>Nitab4.5_0000496g0100.1</t>
  </si>
  <si>
    <t>XM_016591425.1</t>
  </si>
  <si>
    <t xml:space="preserve">Thiamin diphosphate-binding fold (THDP-binding) superfamily protein </t>
  </si>
  <si>
    <t>AT5G09300.1</t>
  </si>
  <si>
    <t>'Thiamin diphosphate-binding fold (THDP-binding) superfamily protein'</t>
  </si>
  <si>
    <t>Nitab4.5_0004785g0050.1</t>
  </si>
  <si>
    <t>XM_016612425.1</t>
  </si>
  <si>
    <t>Nitab4.5_0000343g0240.1</t>
  </si>
  <si>
    <t>XM_016582464.1</t>
  </si>
  <si>
    <t>AT2G05940.1</t>
  </si>
  <si>
    <t>Nitab4.5_0004738g0080.1</t>
  </si>
  <si>
    <t>XM_016602425.1</t>
  </si>
  <si>
    <t>Nitab4.5_0008776g0010.1</t>
  </si>
  <si>
    <t>XM_016596381.1</t>
  </si>
  <si>
    <t xml:space="preserve">PGL1: 6-phosphogluconolactonase 1 </t>
  </si>
  <si>
    <t>AT1G13700.1</t>
  </si>
  <si>
    <t>'6-phosphogluconolactonase 1'</t>
  </si>
  <si>
    <t>Nitab4.5_0011475g0030.1</t>
  </si>
  <si>
    <t>Nitab4.5_0010151g0030.1</t>
  </si>
  <si>
    <t>XR_001647714.1</t>
  </si>
  <si>
    <t xml:space="preserve">CYP94B1: cytochrome P450, family 94, subfamily B, polypeptide 1 </t>
  </si>
  <si>
    <t>AT1G34540.1</t>
  </si>
  <si>
    <t>'cytochrome P450, family 94, subfamily D, polypeptide 1'</t>
  </si>
  <si>
    <t>Nitab4.5_0001216g0060.1</t>
  </si>
  <si>
    <t>XM_016591174.1</t>
  </si>
  <si>
    <t xml:space="preserve">TGA9, bZIP21: bZIP transcription factor family protein </t>
  </si>
  <si>
    <t>AT1G08320.3</t>
  </si>
  <si>
    <t>'bZIP transcription factor family protein'</t>
  </si>
  <si>
    <t>Nitab4.5_0000568g0030.1</t>
  </si>
  <si>
    <t>XM_016609063.1</t>
  </si>
  <si>
    <t xml:space="preserve">ATEXPA1, EXP1, AT-EXP1, ATEXP1, ATHEXP ALPHA 1.2, EXPA1: expansin A1 </t>
  </si>
  <si>
    <t>AT1G69530.2</t>
  </si>
  <si>
    <t>'expansin A1'</t>
  </si>
  <si>
    <t>Nitab4.5_0001814g0020.1</t>
  </si>
  <si>
    <t>XM_016591978.1</t>
  </si>
  <si>
    <t>Nitab4.5_0000143g0210.1</t>
  </si>
  <si>
    <t>XM_016650906.1</t>
  </si>
  <si>
    <t xml:space="preserve">SWIB complex BAF60b domain-containing protein </t>
  </si>
  <si>
    <t>AT4G22360.1</t>
  </si>
  <si>
    <t>'SWIB complex BAF60b domain-containing protein'</t>
  </si>
  <si>
    <t>Nitab4.5_0003030g0080.1</t>
  </si>
  <si>
    <t>XM_016616226.1</t>
  </si>
  <si>
    <t>Nitab4.5_0000575g0040.1</t>
  </si>
  <si>
    <t>XM_016649145.1</t>
  </si>
  <si>
    <t>AT5G02800.1</t>
  </si>
  <si>
    <t>Nitab4.5_0001422g0130.1</t>
  </si>
  <si>
    <t>XR_001642154.1</t>
  </si>
  <si>
    <t>AT5G62570.2</t>
  </si>
  <si>
    <t>'Calmodulin binding protein-like'</t>
  </si>
  <si>
    <t>Nitab4.5_0001540g0080.1</t>
  </si>
  <si>
    <t>XM_016647831.1</t>
  </si>
  <si>
    <t xml:space="preserve">LOG1, ATLOG1: Putative lysine decarboxylase family protein </t>
  </si>
  <si>
    <t>AT2G28305.1</t>
  </si>
  <si>
    <t>'Putative lysine decarboxylase family protein'</t>
  </si>
  <si>
    <t>Nitab4.5_0007028g0030.1</t>
  </si>
  <si>
    <t>XM_016635693.1</t>
  </si>
  <si>
    <t xml:space="preserve">ATHB-7, ATHB7, HB-7: homeobox 7 </t>
  </si>
  <si>
    <t>AT2G46680.1</t>
  </si>
  <si>
    <t>'homeobox 7'</t>
  </si>
  <si>
    <t>Nitab4.5_0004448g0010.1</t>
  </si>
  <si>
    <t>XM_016591609.1</t>
  </si>
  <si>
    <t>Nitab4.5_0010435g0020.1</t>
  </si>
  <si>
    <t>XM_016638077.1</t>
  </si>
  <si>
    <t>AT2G44500.1</t>
  </si>
  <si>
    <t>Nitab4.5_0006813g0020.1</t>
  </si>
  <si>
    <t>XM_016613733.1</t>
  </si>
  <si>
    <t xml:space="preserve">Arabinanase/levansucrase/invertase </t>
  </si>
  <si>
    <t>AT3G49880.1</t>
  </si>
  <si>
    <t>'glycosyl hydrolase family protein 43'</t>
  </si>
  <si>
    <t>Nitab4.5_0002499g0080.1</t>
  </si>
  <si>
    <t>XM_016628112.1</t>
  </si>
  <si>
    <t xml:space="preserve">SCL13: SCARECROW-like 13 </t>
  </si>
  <si>
    <t>AT4G17230.1</t>
  </si>
  <si>
    <t>'SCARECROW-like 13'</t>
  </si>
  <si>
    <t>Nitab4.5_0004513g0010.1</t>
  </si>
  <si>
    <t>XM_016608318.1</t>
  </si>
  <si>
    <t xml:space="preserve">MSS3: Calcium-binding EF-hand family protein </t>
  </si>
  <si>
    <t>Nitab4.5_0009643g0050.1</t>
  </si>
  <si>
    <t>Nitab4.5_0003465g0030.1</t>
  </si>
  <si>
    <t>XM_016619220.1</t>
  </si>
  <si>
    <t xml:space="preserve">STP1, ATSTP1: sugar transporter 1 </t>
  </si>
  <si>
    <t>AT1G11260.1</t>
  </si>
  <si>
    <t>'sugar transporter 1'</t>
  </si>
  <si>
    <t>Nitab4.5_0016580g0020.1</t>
  </si>
  <si>
    <t>XM_016602633.1</t>
  </si>
  <si>
    <t>Nitab4.5_0004153g0010.1</t>
  </si>
  <si>
    <t>XM_016617942.1</t>
  </si>
  <si>
    <t>Nitab4.5_0000019g0350.1</t>
  </si>
  <si>
    <t>XM_016625709.1</t>
  </si>
  <si>
    <t xml:space="preserve">emb1381: embryo defective 1381 </t>
  </si>
  <si>
    <t>AT2G31340.1</t>
  </si>
  <si>
    <t>'embryo defective 1381'</t>
  </si>
  <si>
    <t>Nitab4.5_0009401g0020.1</t>
  </si>
  <si>
    <t>XM_016612224.1</t>
  </si>
  <si>
    <t>Nitab4.5_0000346g0050.1</t>
  </si>
  <si>
    <t>XR_001655610.1</t>
  </si>
  <si>
    <t xml:space="preserve">Emsy N Terminus (ENT)/ plant Tudor-like domains-containing protein </t>
  </si>
  <si>
    <t>AT5G13020.1</t>
  </si>
  <si>
    <t>'Emsy N Terminus (ENT)/ plant Tudor-like domains-containing protein'</t>
  </si>
  <si>
    <t>Nitab4.5_0007648g0020.1</t>
  </si>
  <si>
    <t>XM_016582617.1</t>
  </si>
  <si>
    <t>AT3G07565.1</t>
  </si>
  <si>
    <t>'Protein of unknown function (DUF3755)'</t>
  </si>
  <si>
    <t>Nitab4.5_0000255g0210.1</t>
  </si>
  <si>
    <t>XM_016608996.1</t>
  </si>
  <si>
    <t xml:space="preserve">BGAL17: beta-galactosidase 17 </t>
  </si>
  <si>
    <t>AT1G72990.1</t>
  </si>
  <si>
    <t>'beta-galactosidase 17'</t>
  </si>
  <si>
    <t>Nitab4.5_0005644g0040.1</t>
  </si>
  <si>
    <t>XM_016648740.1</t>
  </si>
  <si>
    <t xml:space="preserve">RNA-binding KH domain-containing protein </t>
  </si>
  <si>
    <t>AT5G15270.1</t>
  </si>
  <si>
    <t>'RNA-binding KH domain-containing protein'</t>
  </si>
  <si>
    <t>Nitab4.5_0004051g0010.1</t>
  </si>
  <si>
    <t>XM_016589423.1</t>
  </si>
  <si>
    <t>AT4G23500.1</t>
  </si>
  <si>
    <t>Nitab4.5_0000286g0070.1</t>
  </si>
  <si>
    <t>XM_016626021.1</t>
  </si>
  <si>
    <t>Nitab4.5_0000734g0030.1</t>
  </si>
  <si>
    <t>XM_016587042.1</t>
  </si>
  <si>
    <t xml:space="preserve">ATERF-1, ERF-1: ethylene responsive element binding factor 1 </t>
  </si>
  <si>
    <t>Nitab4.5_0000135g0030.1</t>
  </si>
  <si>
    <t>XM_016592456.1</t>
  </si>
  <si>
    <t>Nitab4.5_0000421g0110.1</t>
  </si>
  <si>
    <t>XM_016646466.1</t>
  </si>
  <si>
    <t>AT4G15300.1</t>
  </si>
  <si>
    <t>'cytochrome P450, family 702, subfamily A, polypeptide 2'</t>
  </si>
  <si>
    <t>Nitab4.5_0000414g0110.1</t>
  </si>
  <si>
    <t>XM_016647975.1</t>
  </si>
  <si>
    <t>Nitab4.5_0004596g0040.1</t>
  </si>
  <si>
    <t>XM_016639288.1</t>
  </si>
  <si>
    <t xml:space="preserve">DRT111: D111/G-patch domain-containing protein </t>
  </si>
  <si>
    <t>AT1G30480.1</t>
  </si>
  <si>
    <t>'D111/G-patch domain-containing protein'</t>
  </si>
  <si>
    <t>Nitab4.5_0001677g0080.1</t>
  </si>
  <si>
    <t>XM_016624023.1</t>
  </si>
  <si>
    <t xml:space="preserve">AT5PTASE13, 5PTASE13: Endonuclease/exonuclease/phosphatase family protein </t>
  </si>
  <si>
    <t>AT1G05630.2</t>
  </si>
  <si>
    <t>'Endonuclease/exonuclease/phosphatase family protein'</t>
  </si>
  <si>
    <t>Nitab4.5_0008080g0020.1</t>
  </si>
  <si>
    <t>XM_016658986.1</t>
  </si>
  <si>
    <t xml:space="preserve">BGLU17: beta glucosidase 17 </t>
  </si>
  <si>
    <t>AT5G44640.1</t>
  </si>
  <si>
    <t>'beta glucosidase 13'</t>
  </si>
  <si>
    <t>Nitab4.5_0006094g0020.1</t>
  </si>
  <si>
    <t>XM_016618616.1</t>
  </si>
  <si>
    <t>AT1G03220.1</t>
  </si>
  <si>
    <t>Nitab4.5_0002824g0070.1</t>
  </si>
  <si>
    <t>XM_016625085.1</t>
  </si>
  <si>
    <t>unknown protein similar to AT5G57000.2</t>
  </si>
  <si>
    <t>AT5G57000.2</t>
  </si>
  <si>
    <t>Nitab4.5_0007994g0010.1</t>
  </si>
  <si>
    <t>XM_016601829.1</t>
  </si>
  <si>
    <t>Nitab4.5_0001157g0020.1</t>
  </si>
  <si>
    <t>XM_016600641.1</t>
  </si>
  <si>
    <t>Nitab4.5_0000525g0080.1</t>
  </si>
  <si>
    <t>XM_016644995.1</t>
  </si>
  <si>
    <t>AT2G33580.1</t>
  </si>
  <si>
    <t>Nitab4.5_0003077g0020.1</t>
  </si>
  <si>
    <t>XM_016590048.1</t>
  </si>
  <si>
    <t xml:space="preserve">HGO: homogentisate 1,2-dioxygenase </t>
  </si>
  <si>
    <t>AT5G54080.2</t>
  </si>
  <si>
    <t>'homogentisate 1,2-dioxygenase'</t>
  </si>
  <si>
    <t>Nitab4.5_0002259g0040.1</t>
  </si>
  <si>
    <t>XM_016608637.1</t>
  </si>
  <si>
    <t xml:space="preserve">S-adenosyl-L-methionine-dependent methyltransferases superfamily protein </t>
  </si>
  <si>
    <t>Nitab4.5_0001252g0020.1</t>
  </si>
  <si>
    <t>XM_016621051.1</t>
  </si>
  <si>
    <t xml:space="preserve">S-locus lectin protein kinase family protein </t>
  </si>
  <si>
    <t>AT4G27290.1</t>
  </si>
  <si>
    <t>Nitab4.5_0000363g0260.1</t>
  </si>
  <si>
    <t>XM_016622175.1</t>
  </si>
  <si>
    <t xml:space="preserve">CP12-2, CP12: CP12 domain-containing protein 2 </t>
  </si>
  <si>
    <t>Nitab4.5_0002405g0050.1</t>
  </si>
  <si>
    <t>XM_016595315.1</t>
  </si>
  <si>
    <t>AT4G37300.1</t>
  </si>
  <si>
    <t>'maternal effect embryo arrest 59'</t>
  </si>
  <si>
    <t>Nitab4.5_0000036g0170.1</t>
  </si>
  <si>
    <t>XM_016624835.1</t>
  </si>
  <si>
    <t>Nitab4.5_0007231g0010.1</t>
  </si>
  <si>
    <t>XM_016622204.1</t>
  </si>
  <si>
    <t>Nitab4.5_0000013g0330.1</t>
  </si>
  <si>
    <t>XM_016643654.1</t>
  </si>
  <si>
    <t xml:space="preserve">MAPKKK21: mitogen-activated protein kinase kinase kinase 21 </t>
  </si>
  <si>
    <t>Nitab4.5_0005900g0060.1</t>
  </si>
  <si>
    <t>XM_016645061.1</t>
  </si>
  <si>
    <t xml:space="preserve">FUT2, ATFUT2: fucosyltransferase 2 </t>
  </si>
  <si>
    <t>AT2G03220.1</t>
  </si>
  <si>
    <t>'fucosyltransferase 1'</t>
  </si>
  <si>
    <t>Nitab4.5_0009309g0010.1</t>
  </si>
  <si>
    <t>XM_016635795.1</t>
  </si>
  <si>
    <t>AT3G06130.1</t>
  </si>
  <si>
    <t>Nitab4.5_0007373g0020.1</t>
  </si>
  <si>
    <t>XM_016657319.1</t>
  </si>
  <si>
    <t>AT5G06740.1</t>
  </si>
  <si>
    <t>'Concanavalin A-like lectin protein kinase family protein'</t>
  </si>
  <si>
    <t>Nitab4.5_0006706g0030.1</t>
  </si>
  <si>
    <t>XM_016652489.1</t>
  </si>
  <si>
    <t>Nitab4.5_0000775g0060.1</t>
  </si>
  <si>
    <t>XM_016615438.1</t>
  </si>
  <si>
    <t xml:space="preserve">Galactose oxidase/kelch repeat superfamily protein </t>
  </si>
  <si>
    <t>AT1G55270.1</t>
  </si>
  <si>
    <t>'Galactose oxidase/kelch repeat superfamily protein'</t>
  </si>
  <si>
    <t>Nitab4.5_0000116g0330.1</t>
  </si>
  <si>
    <t>XM_016620290.1</t>
  </si>
  <si>
    <t>AT2G47520.1</t>
  </si>
  <si>
    <t>Nitab4.5_0010278g0030.1</t>
  </si>
  <si>
    <t>XM_016597356.1</t>
  </si>
  <si>
    <t xml:space="preserve">ACHT4: atypical CYS  HIS rich thioredoxin 4 </t>
  </si>
  <si>
    <t>AT1G08570.1</t>
  </si>
  <si>
    <t>'atypical CYS  HIS rich thioredoxin 4'</t>
  </si>
  <si>
    <t>Nitab4.5_0000755g0060.1</t>
  </si>
  <si>
    <t>XR_001652591.1</t>
  </si>
  <si>
    <t>Nitab4.5_0003725g0090.1</t>
  </si>
  <si>
    <t>XM_016651705.1</t>
  </si>
  <si>
    <t xml:space="preserve">WLIM1: GATA type zinc finger transcription factor family protein </t>
  </si>
  <si>
    <t>AT1G10200.1</t>
  </si>
  <si>
    <t>'GATA type zinc finger transcription factor family protein'</t>
  </si>
  <si>
    <t>Nitab4.5_0000417g0150.1</t>
  </si>
  <si>
    <t>XM_016633777.1</t>
  </si>
  <si>
    <t xml:space="preserve">ATNRT1:2, NTL1, NRT1:2: nitrate transporter 1:2 </t>
  </si>
  <si>
    <t>AT1G69850.1</t>
  </si>
  <si>
    <t>'nitrate transporter 1</t>
  </si>
  <si>
    <t>Nitab4.5_0002579g0020.1</t>
  </si>
  <si>
    <t>XM_016602896.1</t>
  </si>
  <si>
    <t>AT1G23800.1</t>
  </si>
  <si>
    <t>'aldehyde dehydrogenase 2B7'</t>
  </si>
  <si>
    <t>Nitab4.5_0000247g0080.1</t>
  </si>
  <si>
    <t>XM_016637136.1</t>
  </si>
  <si>
    <t xml:space="preserve">ATMYB4, MYB4: myb domain protein 4 </t>
  </si>
  <si>
    <t>AT4G38620.1</t>
  </si>
  <si>
    <t>'myb domain protein 4'</t>
  </si>
  <si>
    <t>Nitab4.5_0002543g0060.1</t>
  </si>
  <si>
    <t>XM_016586332.1</t>
  </si>
  <si>
    <t xml:space="preserve">unknown protein; BEST Arabidopsis thaliana protein match is: unknown protein (TAIR:AT3G19200.1). </t>
  </si>
  <si>
    <t>AT4G34419.1</t>
  </si>
  <si>
    <t>Nitab4.5_0002700g0120.1</t>
  </si>
  <si>
    <t>XM_016619450.1</t>
  </si>
  <si>
    <t>Nitab4.5_0000939g0030.1</t>
  </si>
  <si>
    <t>XM_016605805.1</t>
  </si>
  <si>
    <t xml:space="preserve">COBL4, IRX6: COBRA-like extracellular glycosyl-phosphatidyl inositol-anchored protein family </t>
  </si>
  <si>
    <t>AT5G15630.1</t>
  </si>
  <si>
    <t>'COBRA-like extracellular glycosyl-phosphatidyl inositol-anchored protein family'</t>
  </si>
  <si>
    <t>Nitab4.5_0001197g0020.1</t>
  </si>
  <si>
    <t>Nitab4.5_0000807g0110.1</t>
  </si>
  <si>
    <t>XM_016631993.1</t>
  </si>
  <si>
    <t xml:space="preserve">O-Glycosyl hydrolases family 17 protein </t>
  </si>
  <si>
    <t>AT5G58090.1</t>
  </si>
  <si>
    <t>'O-Glycosyl hydrolases family 17 protein'</t>
  </si>
  <si>
    <t>Nitab4.5_0000058g0200.1</t>
  </si>
  <si>
    <t>XM_016642003.1</t>
  </si>
  <si>
    <t>AT5G45840.1</t>
  </si>
  <si>
    <t>Nitab4.5_0005997g0030.1</t>
  </si>
  <si>
    <t>XM_016597610.1</t>
  </si>
  <si>
    <t xml:space="preserve">RNI-like superfamily protein </t>
  </si>
  <si>
    <t>AT5G23340.1</t>
  </si>
  <si>
    <t>'RNI-like superfamily protein'</t>
  </si>
  <si>
    <t>Nitab4.5_0006971g0030.1</t>
  </si>
  <si>
    <t>XM_016581468.1</t>
  </si>
  <si>
    <t>AT3G63220.1</t>
  </si>
  <si>
    <t>Nitab4.5_0001458g0080.1</t>
  </si>
  <si>
    <t>XM_016643583.1</t>
  </si>
  <si>
    <t xml:space="preserve">Xanthine/uracil permease family protein </t>
  </si>
  <si>
    <t>AT1G60030.1</t>
  </si>
  <si>
    <t>'nucleobase-ascorbate transporter 7'</t>
  </si>
  <si>
    <t>Nitab4.5_0002673g0060.1</t>
  </si>
  <si>
    <t>XM_016585946.1</t>
  </si>
  <si>
    <t>AT1G22730.1</t>
  </si>
  <si>
    <t>'MA3 domain-containing protein'</t>
  </si>
  <si>
    <t>Nitab4.5_0008086g0040.1</t>
  </si>
  <si>
    <t>XM_016647811.1</t>
  </si>
  <si>
    <t xml:space="preserve">CIPK1, SnRK3.16: CBL-interacting protein kinase 1 </t>
  </si>
  <si>
    <t>AT3G17510.1</t>
  </si>
  <si>
    <t>'CBL-interacting protein kinase 1'</t>
  </si>
  <si>
    <t>Nitab4.5_0000647g0060.1</t>
  </si>
  <si>
    <t>XM_016626496.1</t>
  </si>
  <si>
    <t xml:space="preserve">SCL14, ATGRAS2, GRAS2: SCARECROW-like 14 </t>
  </si>
  <si>
    <t>AT1G07530.1</t>
  </si>
  <si>
    <t>'SCARECROW-like 14'</t>
  </si>
  <si>
    <t>Nitab4.5_0009483g0020.1</t>
  </si>
  <si>
    <t>XM_016643715.1</t>
  </si>
  <si>
    <t xml:space="preserve">ADF6, ATADF6: actin depolymerizing factor 6 </t>
  </si>
  <si>
    <t>AT2G31200.1</t>
  </si>
  <si>
    <t>'actin depolymerizing factor 6'</t>
  </si>
  <si>
    <t>Nitab4.5_0009499g0020.1</t>
  </si>
  <si>
    <t>XM_016603160.1</t>
  </si>
  <si>
    <t xml:space="preserve">XTR3, XTH25: xyloglucan endotransglucosylase/hydrolase 25 </t>
  </si>
  <si>
    <t>Nitab4.5_0000736g0050.1</t>
  </si>
  <si>
    <t>XM_016610273.1</t>
  </si>
  <si>
    <t xml:space="preserve">Protein of unknown function (DUF1645) </t>
  </si>
  <si>
    <t>AT2G15760.1</t>
  </si>
  <si>
    <t>'Protein of unknown function (DUF1645)'</t>
  </si>
  <si>
    <t>Nitab4.5_0006641g0030.1</t>
  </si>
  <si>
    <t>XM_016596911.1</t>
  </si>
  <si>
    <t>Nitab4.5_0003022g0010.1</t>
  </si>
  <si>
    <t>XM_016577120.1</t>
  </si>
  <si>
    <t xml:space="preserve">Protein of unknown function (DUF789) </t>
  </si>
  <si>
    <t>AT4G03420.1</t>
  </si>
  <si>
    <t>'Protein of unknown function (DUF789)'</t>
  </si>
  <si>
    <t>Nitab4.5_0003321g0060.1</t>
  </si>
  <si>
    <t>XM_016643828.1</t>
  </si>
  <si>
    <t xml:space="preserve">PMSR4: peptide met sulfoxide reductase 4 </t>
  </si>
  <si>
    <t>AT4G25130.1</t>
  </si>
  <si>
    <t>'peptide met sulfoxide reductase 4'</t>
  </si>
  <si>
    <t>Nitab4.5_0005686g0040.1</t>
  </si>
  <si>
    <t>XM_016638613.1</t>
  </si>
  <si>
    <t>unknown protein similar to AT3G07510.2</t>
  </si>
  <si>
    <t>AT3G07510.2</t>
  </si>
  <si>
    <t>Nitab4.5_0000714g0030.1</t>
  </si>
  <si>
    <t>XM_016589615.1</t>
  </si>
  <si>
    <t>AT1G66920.2</t>
  </si>
  <si>
    <t>Nitab4.5_0002784g0030.1</t>
  </si>
  <si>
    <t>XM_016659154.1</t>
  </si>
  <si>
    <t>unknown protein similar to AT5G05360.1</t>
  </si>
  <si>
    <t>AT5G05360.1</t>
  </si>
  <si>
    <t>Nitab4.5_0001651g0090.1</t>
  </si>
  <si>
    <t>XM_016624101.1</t>
  </si>
  <si>
    <t>AT4G32300.1</t>
  </si>
  <si>
    <t>'S-domain-2 5'</t>
  </si>
  <si>
    <t>Nitab4.5_0000246g0260.1</t>
  </si>
  <si>
    <t>XM_016584369.1</t>
  </si>
  <si>
    <t xml:space="preserve">D-mannose binding lectin protein with Apple-like carbohydrate-binding domain </t>
  </si>
  <si>
    <t>Nitab4.5_0000817g0020.1</t>
  </si>
  <si>
    <t>XM_016618115.1</t>
  </si>
  <si>
    <t xml:space="preserve">AMP-dependent synthetase and ligase family protein </t>
  </si>
  <si>
    <t>Nitab4.5_0000274g0040.1</t>
  </si>
  <si>
    <t>XM_016576765.1</t>
  </si>
  <si>
    <t>Nitab4.5_0017675g0010.1</t>
  </si>
  <si>
    <t>XM_016579881.1</t>
  </si>
  <si>
    <t>Nitab4.5_0013714g0020.1</t>
  </si>
  <si>
    <t>XM_016588327.1</t>
  </si>
  <si>
    <t>Nitab4.5_0007815g0090.1</t>
  </si>
  <si>
    <t>XM_016596310.1</t>
  </si>
  <si>
    <t>Nitab4.5_0001018g0120.1</t>
  </si>
  <si>
    <t>XM_016597952.1</t>
  </si>
  <si>
    <t>unknown protein similar to AT3G19990.1</t>
  </si>
  <si>
    <t>AT3G19990.1</t>
  </si>
  <si>
    <t>Nitab4.5_0001508g0030.1</t>
  </si>
  <si>
    <t>XM_016608566.1</t>
  </si>
  <si>
    <t xml:space="preserve">Sugar isomerase (SIS) family protein </t>
  </si>
  <si>
    <t>Nitab4.5_0006569g0010.1</t>
  </si>
  <si>
    <t>XM_016654691.1</t>
  </si>
  <si>
    <t>AT5G18980.1</t>
  </si>
  <si>
    <t>Nitab4.5_0001134g0020.1</t>
  </si>
  <si>
    <t>XM_016637402.1</t>
  </si>
  <si>
    <t xml:space="preserve">Calcium-binding EF-hand family protein </t>
  </si>
  <si>
    <t>AT4G27280.1</t>
  </si>
  <si>
    <t>'Calcium-binding EF-hand family protein'</t>
  </si>
  <si>
    <t>Nitab4.5_0001059g0060.1</t>
  </si>
  <si>
    <t>Nitab4.5_0009251g0010.1</t>
  </si>
  <si>
    <t>XM_016647611.1</t>
  </si>
  <si>
    <t>AT1G28260.2</t>
  </si>
  <si>
    <t>'Telomerase activating protein Est1'</t>
  </si>
  <si>
    <t>Nitab4.5_0000377g0110.1</t>
  </si>
  <si>
    <t>XM_016603876.1</t>
  </si>
  <si>
    <t>AT1G09950.1</t>
  </si>
  <si>
    <t>'RESPONSE TO ABA AND SALT 1'</t>
  </si>
  <si>
    <t>Nitab4.5_0003376g0090.1</t>
  </si>
  <si>
    <t>XM_016618054.1</t>
  </si>
  <si>
    <t xml:space="preserve">AT-TCP20, PCF1, TCP20, ATTCP20: TEOSINTE BRANCHED 1, cycloidea, PCF (TCP)-domain family protein 20 </t>
  </si>
  <si>
    <t>Nitab4.5_0003042g0010.1</t>
  </si>
  <si>
    <t>XM_016658910.1</t>
  </si>
  <si>
    <t>unknown protein similar to AT5G21940.1</t>
  </si>
  <si>
    <t>AT5G21940.1</t>
  </si>
  <si>
    <t>Nitab4.5_0009550g0010.1</t>
  </si>
  <si>
    <t>XM_016640497.1</t>
  </si>
  <si>
    <t xml:space="preserve">B-box type zinc finger protein with CCT domain </t>
  </si>
  <si>
    <t>AT2G47890.1</t>
  </si>
  <si>
    <t>'B-box type zinc finger protein with CCT domain'</t>
  </si>
  <si>
    <t>Nitab4.5_0006022g0010.1</t>
  </si>
  <si>
    <t>XM_016591532.1</t>
  </si>
  <si>
    <t>Nitab4.5_0003446g0030.1</t>
  </si>
  <si>
    <t>XM_016610127.1</t>
  </si>
  <si>
    <t xml:space="preserve">Ubiquitin-conjugating enzyme/RWD-like protein </t>
  </si>
  <si>
    <t>Nitab4.5_0004054g0020.1</t>
  </si>
  <si>
    <t>XM_016647632.1</t>
  </si>
  <si>
    <t>Nitab4.5_0005761g0080.1</t>
  </si>
  <si>
    <t>XM_016623195.1</t>
  </si>
  <si>
    <t xml:space="preserve">DEAD/DEAH box RNA helicase family protein  </t>
  </si>
  <si>
    <t>AT5G11170.1</t>
  </si>
  <si>
    <t>'DEAD/DEAH box RNA helicase family protein'</t>
  </si>
  <si>
    <t>Nitab4.5_0009879g0010.1</t>
  </si>
  <si>
    <t>XM_016580294.1</t>
  </si>
  <si>
    <t>Nitab4.5_0000046g0190.1</t>
  </si>
  <si>
    <t>XM_016637388.1</t>
  </si>
  <si>
    <t xml:space="preserve">LTP12: lipid transfer protein 12 </t>
  </si>
  <si>
    <t>AT3G51590.1</t>
  </si>
  <si>
    <t>'lipid transfer protein 12'</t>
  </si>
  <si>
    <t>Nitab4.5_0002712g0010.1</t>
  </si>
  <si>
    <t>XM_016641375.1</t>
  </si>
  <si>
    <t xml:space="preserve">Lipase/lipooxygenase, PLAT/LH2 family protein </t>
  </si>
  <si>
    <t>AT2G22170.1</t>
  </si>
  <si>
    <t>'Lipase/lipooxygenase, PLAT/LH2 family protein'</t>
  </si>
  <si>
    <t>Nitab4.5_0003526g0060.1</t>
  </si>
  <si>
    <t>XM_016595364.1</t>
  </si>
  <si>
    <t>AT2G18360.1</t>
  </si>
  <si>
    <t>Nitab4.5_0000640g0170.1</t>
  </si>
  <si>
    <t>XM_016592357.1</t>
  </si>
  <si>
    <t>Nitab4.5_0008791g0010.1</t>
  </si>
  <si>
    <t>XM_016644338.1</t>
  </si>
  <si>
    <t>AT1G61350.1</t>
  </si>
  <si>
    <t>Nitab4.5_0000332g0240.1</t>
  </si>
  <si>
    <t>XM_016622933.1</t>
  </si>
  <si>
    <t>Nitab4.5_0002388g0020.1</t>
  </si>
  <si>
    <t>XM_016601336.1</t>
  </si>
  <si>
    <t>Nitab4.5_0006036g0040.1</t>
  </si>
  <si>
    <t>XM_016613732.1</t>
  </si>
  <si>
    <t>Nitab4.5_0003600g0060.1</t>
  </si>
  <si>
    <t>XM_016633667.1</t>
  </si>
  <si>
    <t xml:space="preserve">Plastid-lipid associated protein PAP / fibrillin family protein </t>
  </si>
  <si>
    <t>AT2G42130.4</t>
  </si>
  <si>
    <t>'Plastid-lipid associated protein PAP / fibrillin family protein'</t>
  </si>
  <si>
    <t>Nitab4.5_0000305g0190.1</t>
  </si>
  <si>
    <t>XM_016651183.1</t>
  </si>
  <si>
    <t xml:space="preserve">GBF3: G-box binding factor 3 </t>
  </si>
  <si>
    <t>AT2G46270.1</t>
  </si>
  <si>
    <t>'G-box binding factor 3'</t>
  </si>
  <si>
    <t>Nitab4.5_0008348g0010.1</t>
  </si>
  <si>
    <t>XM_016642287.1</t>
  </si>
  <si>
    <t>AT5G48250.1</t>
  </si>
  <si>
    <t>Nitab4.5_0002234g0090.1</t>
  </si>
  <si>
    <t>XM_016616361.1</t>
  </si>
  <si>
    <t>Nitab4.5_0004949g0010.1</t>
  </si>
  <si>
    <t>XM_016626166.1</t>
  </si>
  <si>
    <t xml:space="preserve">ACR4: ACT domain repeat 4 </t>
  </si>
  <si>
    <t>AT1G69040.2</t>
  </si>
  <si>
    <t>'ACT domain repeat 4'</t>
  </si>
  <si>
    <t>Nitab4.5_0006097g0040.1</t>
  </si>
  <si>
    <t>XM_016630000.1</t>
  </si>
  <si>
    <t>Nitab4.5_0007437g0020.1</t>
  </si>
  <si>
    <t>XM_016608203.1</t>
  </si>
  <si>
    <t>AT3G25070.1</t>
  </si>
  <si>
    <t>'RPM1 interacting protein 4'</t>
  </si>
  <si>
    <t>Nitab4.5_0000014g0070.1</t>
  </si>
  <si>
    <t>XM_016625972.1</t>
  </si>
  <si>
    <t xml:space="preserve">CDF2: cycling DOF factor 2 </t>
  </si>
  <si>
    <t>AT5G39660.2</t>
  </si>
  <si>
    <t>'cycling DOF factor 2'</t>
  </si>
  <si>
    <t>Nitab4.5_0000095g0170.1</t>
  </si>
  <si>
    <t>XM_016641749.1</t>
  </si>
  <si>
    <t>Nitab4.5_0001050g0010.1</t>
  </si>
  <si>
    <t>XM_016629871.1</t>
  </si>
  <si>
    <t xml:space="preserve">MYB36, AtMYB36: myb domain protein 36 </t>
  </si>
  <si>
    <t>AT5G57620.1</t>
  </si>
  <si>
    <t>'myb domain protein 36'</t>
  </si>
  <si>
    <t>Nitab4.5_0000423g0060.1</t>
  </si>
  <si>
    <t>XM_016652348.1</t>
  </si>
  <si>
    <t xml:space="preserve">Integrase-type DNA-binding superfamily protein </t>
  </si>
  <si>
    <t>AT5G61890.1</t>
  </si>
  <si>
    <t>Nitab4.5_0003274g0060.1</t>
  </si>
  <si>
    <t>XM_016592077.1</t>
  </si>
  <si>
    <t xml:space="preserve">SDD1: Subtilase family protein </t>
  </si>
  <si>
    <t>Nitab4.5_0010209g0010.1</t>
  </si>
  <si>
    <t>XM_016616805.1</t>
  </si>
  <si>
    <t xml:space="preserve">ATPDIL1-2, PDI6, ATPDI6, PDIL1-2: PDI-like 1-2 </t>
  </si>
  <si>
    <t>AT1G77510.1</t>
  </si>
  <si>
    <t>'PDI-like 1-2'</t>
  </si>
  <si>
    <t>Nitab4.5_0003285g0070.1</t>
  </si>
  <si>
    <t>XM_016644347.1</t>
  </si>
  <si>
    <t>unknown protein similar to AT3G04490.1</t>
  </si>
  <si>
    <t>AT3G04490.1</t>
  </si>
  <si>
    <t>Nitab4.5_0001599g0050.1</t>
  </si>
  <si>
    <t>XM_016651471.1</t>
  </si>
  <si>
    <t>Nitab4.5_0002095g0080.1</t>
  </si>
  <si>
    <t>XM_016655175.1</t>
  </si>
  <si>
    <t>Nitab4.5_0001968g0140.1</t>
  </si>
  <si>
    <t>XM_016633090.1</t>
  </si>
  <si>
    <t xml:space="preserve">Isochorismatase family protein </t>
  </si>
  <si>
    <t>AT3G16190.1</t>
  </si>
  <si>
    <t>'Isochorismatase family protein'</t>
  </si>
  <si>
    <t>Nitab4.5_0000718g0110.1</t>
  </si>
  <si>
    <t>XM_016579880.1</t>
  </si>
  <si>
    <t>Nitab4.5_0002392g0040.1</t>
  </si>
  <si>
    <t>XM_016659961.1</t>
  </si>
  <si>
    <t xml:space="preserve">Protein of unknown function (DUF177) </t>
  </si>
  <si>
    <t>AT3G19800.2</t>
  </si>
  <si>
    <t>'Protein of unknown function (DUF177)'</t>
  </si>
  <si>
    <t>Nitab4.5_0006788g0020.1</t>
  </si>
  <si>
    <t>XR_001658519.1</t>
  </si>
  <si>
    <t>Nitab4.5_0004492g0010.1</t>
  </si>
  <si>
    <t>XM_016636909.1</t>
  </si>
  <si>
    <t xml:space="preserve">ATEXO70H4, EXO70H4: exocyst subunit exo70 family protein H4 </t>
  </si>
  <si>
    <t>Nitab4.5_0006933g0010.1</t>
  </si>
  <si>
    <t>XM_016616123.1</t>
  </si>
  <si>
    <t xml:space="preserve">SETH1: phosphatidylinositolglycan synthase family protein </t>
  </si>
  <si>
    <t>AT2G34980.1</t>
  </si>
  <si>
    <t>'phosphatidylinositolglycan synthase family protein'</t>
  </si>
  <si>
    <t>Nitab4.5_0012538g0010.1</t>
  </si>
  <si>
    <t>XM_016630933.1</t>
  </si>
  <si>
    <t>AT5G19430.1</t>
  </si>
  <si>
    <t>Nitab4.5_0009459g0050.1</t>
  </si>
  <si>
    <t>XM_016621846.1</t>
  </si>
  <si>
    <t>AT3G52890.2</t>
  </si>
  <si>
    <t>'KCBP-interacting protein kinase'</t>
  </si>
  <si>
    <t>Nitab4.5_0002046g0110.1</t>
  </si>
  <si>
    <t>Nitab4.5_0000043g0270.1</t>
  </si>
  <si>
    <t>XM_016589246.1</t>
  </si>
  <si>
    <t xml:space="preserve">HSP70T-2: heat-shock protein 70T-2 </t>
  </si>
  <si>
    <t>AT2G32120.2</t>
  </si>
  <si>
    <t>'heat-shock protein 70T-2'</t>
  </si>
  <si>
    <t>Nitab4.5_0004756g0070.1</t>
  </si>
  <si>
    <t>XM_016640843.1</t>
  </si>
  <si>
    <t>Nitab4.5_0002715g0060.1</t>
  </si>
  <si>
    <t>XM_016590579.1</t>
  </si>
  <si>
    <t xml:space="preserve">GRAS family transcription factor </t>
  </si>
  <si>
    <t>Nitab4.5_0002700g0150.1</t>
  </si>
  <si>
    <t>XM_016619448.1</t>
  </si>
  <si>
    <t>Nitab4.5_0007928g0030.1</t>
  </si>
  <si>
    <t>XM_016623544.1</t>
  </si>
  <si>
    <t xml:space="preserve">TRAM, LAG1 and CLN8 (TLC) lipid-sensing domain containing protein </t>
  </si>
  <si>
    <t>AT1G35180.1</t>
  </si>
  <si>
    <t>Nitab4.5_0002312g0100.1</t>
  </si>
  <si>
    <t>unknown protein similar to AT1G19020.1</t>
  </si>
  <si>
    <t>Nitab4.5_0000022g0260.1</t>
  </si>
  <si>
    <t>AT1G31690.1</t>
  </si>
  <si>
    <t>'Copper amine oxidase family protein'</t>
  </si>
  <si>
    <t>Nitab4.5_0001099g0060.1</t>
  </si>
  <si>
    <t>XR_001654808.1</t>
  </si>
  <si>
    <t xml:space="preserve">ATPSK5, PSK5: phytosulfokine 5 precursor </t>
  </si>
  <si>
    <t>Nitab4.5_0012644g0010.1</t>
  </si>
  <si>
    <t>XM_016645492.1</t>
  </si>
  <si>
    <t xml:space="preserve">CAM8, AtCML8: calmodulin 8 </t>
  </si>
  <si>
    <t>AT4G14640.1</t>
  </si>
  <si>
    <t>'calmodulin 8'</t>
  </si>
  <si>
    <t>Nitab4.5_0000875g0030.1</t>
  </si>
  <si>
    <t>XM_016632733.1</t>
  </si>
  <si>
    <t>Nitab4.5_0000754g0040.1</t>
  </si>
  <si>
    <t>XM_016587460.1</t>
  </si>
  <si>
    <t>Nitab4.5_0002772g0010.1</t>
  </si>
  <si>
    <t>XM_016581975.1</t>
  </si>
  <si>
    <t>Nitab4.5_0001413g0010.1</t>
  </si>
  <si>
    <t>XM_016625728.1</t>
  </si>
  <si>
    <t>Nitab4.5_0000375g0030.1</t>
  </si>
  <si>
    <t>XM_016606073.1</t>
  </si>
  <si>
    <t>Nitab4.5_0001242g0140.1</t>
  </si>
  <si>
    <t>XM_016630503.1</t>
  </si>
  <si>
    <t>Nitab4.5_0008664g0030.1</t>
  </si>
  <si>
    <t>XM_016641155.1</t>
  </si>
  <si>
    <t xml:space="preserve">AtPPa1, PPa1: pyrophosphorylase 1 </t>
  </si>
  <si>
    <t>AT1G01050.1</t>
  </si>
  <si>
    <t>'pyrophosphorylase 1'</t>
  </si>
  <si>
    <t>Nitab4.5_0002537g0020.1</t>
  </si>
  <si>
    <t>XM_016621835.1</t>
  </si>
  <si>
    <t>Nitab4.5_0004222g0010.1</t>
  </si>
  <si>
    <t>XM_016634720.1</t>
  </si>
  <si>
    <t>Nitab4.5_0000164g0080.1</t>
  </si>
  <si>
    <t>XM_016645982.1</t>
  </si>
  <si>
    <t>AT3G03990.1</t>
  </si>
  <si>
    <t>Nitab4.5_0000335g0050.1</t>
  </si>
  <si>
    <t>XM_016658590.1</t>
  </si>
  <si>
    <t>Nitab4.5_0000658g0020.1</t>
  </si>
  <si>
    <t>XM_016601282.1</t>
  </si>
  <si>
    <t>Nitab4.5_0005402g0040.1</t>
  </si>
  <si>
    <t>XM_016625983.1</t>
  </si>
  <si>
    <t xml:space="preserve">ATHB-1, ATHB1, HD-ZIP-1, HAT5, HB-1: homeobox 1 </t>
  </si>
  <si>
    <t>AT3G01470.1</t>
  </si>
  <si>
    <t>'homeobox 1'</t>
  </si>
  <si>
    <t>Nitab4.5_0000311g0030.1</t>
  </si>
  <si>
    <t>XM_016607706.1</t>
  </si>
  <si>
    <t>Nitab4.5_0000296g0050.1</t>
  </si>
  <si>
    <t>XM_016645849.1</t>
  </si>
  <si>
    <t>Nitab4.5_0000495g0170.1</t>
  </si>
  <si>
    <t>XM_016617535.1</t>
  </si>
  <si>
    <t>AT2G17650.1</t>
  </si>
  <si>
    <t>'AMP-dependent synthetase and ligase family protein'</t>
  </si>
  <si>
    <t>Nitab4.5_0003537g0010.1</t>
  </si>
  <si>
    <t>XR_001646033.1</t>
  </si>
  <si>
    <t>Nitab4.5_0004692g0050.1</t>
  </si>
  <si>
    <t>XM_016617442.1</t>
  </si>
  <si>
    <t xml:space="preserve">transcription regulators </t>
  </si>
  <si>
    <t>AT5G13240.1</t>
  </si>
  <si>
    <t>'transcription regulators'</t>
  </si>
  <si>
    <t>Nitab4.5_0000639g0160.1</t>
  </si>
  <si>
    <t>XM_016599264.1</t>
  </si>
  <si>
    <t>Nitab4.5_0002780g0140.1</t>
  </si>
  <si>
    <t>XM_016606125.1</t>
  </si>
  <si>
    <t xml:space="preserve">Yippee family putative zinc-binding protein </t>
  </si>
  <si>
    <t>AT4G27740.1</t>
  </si>
  <si>
    <t>'Yippee family putative zinc-binding protein'</t>
  </si>
  <si>
    <t>Nitab4.5_0000760g0060.1</t>
  </si>
  <si>
    <t>XM_016622941.1</t>
  </si>
  <si>
    <t xml:space="preserve">CYP89A6: cytochrome P450, family 87, subfamily A, polypeptide 6 </t>
  </si>
  <si>
    <t>AT1G64940.1</t>
  </si>
  <si>
    <t>'cytochrome P450, family 87, subfamily A, polypeptide 6'</t>
  </si>
  <si>
    <t>Nitab4.5_0001595g0010.1</t>
  </si>
  <si>
    <t>XM_016619531.1</t>
  </si>
  <si>
    <t>AT1G32250.1</t>
  </si>
  <si>
    <t>Nitab4.5_0000114g0090.1</t>
  </si>
  <si>
    <t>XM_016587365.1</t>
  </si>
  <si>
    <t xml:space="preserve">protein kinase family protein </t>
  </si>
  <si>
    <t>AT5G21222.1</t>
  </si>
  <si>
    <t>Nitab4.5_0008076g0010.1</t>
  </si>
  <si>
    <t>XM_016594597.1</t>
  </si>
  <si>
    <t xml:space="preserve">hydroxyproline-rich glycoprotein family protein </t>
  </si>
  <si>
    <t>AT5G02850.1</t>
  </si>
  <si>
    <t>'hydroxyproline-rich glycoprotein family protein'</t>
  </si>
  <si>
    <t>Nitab4.5_0000170g0400.1</t>
  </si>
  <si>
    <t>XM_016593999.1</t>
  </si>
  <si>
    <t xml:space="preserve">VQ motif-containing protein </t>
  </si>
  <si>
    <t>AT4G15120.1</t>
  </si>
  <si>
    <t>'VQ motif-containing protein'</t>
  </si>
  <si>
    <t>Nitab4.5_0006169g0040.1</t>
  </si>
  <si>
    <t>XM_016647487.1</t>
  </si>
  <si>
    <t xml:space="preserve">HYR1: UDP-Glycosyltransferase superfamily protein </t>
  </si>
  <si>
    <t>AT3G21760.1</t>
  </si>
  <si>
    <t>Nitab4.5_0002280g0050.1</t>
  </si>
  <si>
    <t>XM_016585333.1</t>
  </si>
  <si>
    <t xml:space="preserve">GTA02, GTA2: global transcription factor group A2 </t>
  </si>
  <si>
    <t>Nitab4.5_0006376g0020.1</t>
  </si>
  <si>
    <t>XM_016637735.1</t>
  </si>
  <si>
    <t>Nitab4.5_0000990g0030.1</t>
  </si>
  <si>
    <t>XM_016586770.1</t>
  </si>
  <si>
    <t>unknown protein similar to AT2G42760.1</t>
  </si>
  <si>
    <t>Nitab4.5_0007436g0010.1</t>
  </si>
  <si>
    <t>XM_016578159.1</t>
  </si>
  <si>
    <t xml:space="preserve">ATGSTU25, GSTU25: glutathione S-transferase TAU 25 </t>
  </si>
  <si>
    <t>Nitab4.5_0003182g0040.1</t>
  </si>
  <si>
    <t>XM_016644419.1</t>
  </si>
  <si>
    <t xml:space="preserve">RNA-binding CRS1 / YhbY (CRM) domain-containing protein </t>
  </si>
  <si>
    <t>AT4G31010.1</t>
  </si>
  <si>
    <t>'RNA-binding CRS1 / YhbY (CRM) domain-containing protein'</t>
  </si>
  <si>
    <t>Nitab4.5_0012451g0010.1</t>
  </si>
  <si>
    <t>XM_016589862.1</t>
  </si>
  <si>
    <t xml:space="preserve">Protein kinase family protein with leucine-rich repeat domain </t>
  </si>
  <si>
    <t>AT5G25930.1</t>
  </si>
  <si>
    <t>'Protein kinase family protein with leucine-rich repeat domain'</t>
  </si>
  <si>
    <t>Nitab4.5_0003163g0060.1</t>
  </si>
  <si>
    <t>Nitab4.5_0000934g0080.1</t>
  </si>
  <si>
    <t>XM_016584256.1</t>
  </si>
  <si>
    <t>unknown protein similar to AT1G75810.1</t>
  </si>
  <si>
    <t>AT1G75810.1</t>
  </si>
  <si>
    <t>Nitab4.5_0003305g0010.1</t>
  </si>
  <si>
    <t>XM_016637645.1</t>
  </si>
  <si>
    <t xml:space="preserve">CRR6: chlororespiratory reduction 6 </t>
  </si>
  <si>
    <t>AT2G47910.1</t>
  </si>
  <si>
    <t>'chlororespiratory reduction 6'</t>
  </si>
  <si>
    <t>Nitab4.5_0002602g0010.1</t>
  </si>
  <si>
    <t>XM_016655734.1</t>
  </si>
  <si>
    <t>AT1G67300.1</t>
  </si>
  <si>
    <t>Nitab4.5_0002712g0020.1</t>
  </si>
  <si>
    <t>XM_016641376.1</t>
  </si>
  <si>
    <t>AT4G39730.1</t>
  </si>
  <si>
    <t>Nitab4.5_0002642g0010.1</t>
  </si>
  <si>
    <t>XM_016633962.1</t>
  </si>
  <si>
    <t xml:space="preserve">HAP2C, ATHAP2C, NF-YA3: nuclear factor Y, subunit A3 </t>
  </si>
  <si>
    <t>AT1G72830.1</t>
  </si>
  <si>
    <t>'nuclear factor Y, subunit A3'</t>
  </si>
  <si>
    <t>Nitab4.5_0000014g0220.1</t>
  </si>
  <si>
    <t>XM_016629540.1</t>
  </si>
  <si>
    <t>Nitab4.5_0002459g0050.1</t>
  </si>
  <si>
    <t>XM_016624016.1</t>
  </si>
  <si>
    <t xml:space="preserve">FAH1, CYP84A1: ferulic acid 5-hydroxylase 1 </t>
  </si>
  <si>
    <t>AT4G36220.1</t>
  </si>
  <si>
    <t>'ferulic acid 5-hydroxylase 1'</t>
  </si>
  <si>
    <t>Nitab4.5_0005269g0010.1</t>
  </si>
  <si>
    <t>Nitab4.5_0001675g0070.1</t>
  </si>
  <si>
    <t>XM_016602378.1</t>
  </si>
  <si>
    <t xml:space="preserve">XTR7, XTH15: xyloglucan endotransglucosylase/hydrolase 15 </t>
  </si>
  <si>
    <t>AT4G14130.1</t>
  </si>
  <si>
    <t>'xyloglucan endotransglucosylase/hydrolase 15'</t>
  </si>
  <si>
    <t>Nitab4.5_0000368g0350.1</t>
  </si>
  <si>
    <t>XM_016644991.1</t>
  </si>
  <si>
    <t>Nitab4.5_0005549g0020.1</t>
  </si>
  <si>
    <t>XM_016652840.1</t>
  </si>
  <si>
    <t>Nitab4.5_0012654g0010.1</t>
  </si>
  <si>
    <t>XM_016601305.1</t>
  </si>
  <si>
    <t xml:space="preserve">Lactate/malate dehydrogenase family protein </t>
  </si>
  <si>
    <t>AT4G17260.1</t>
  </si>
  <si>
    <t>'Lactate/malate dehydrogenase family protein'</t>
  </si>
  <si>
    <t>Nitab4.5_0004698g0030.1</t>
  </si>
  <si>
    <t>XM_016589562.1</t>
  </si>
  <si>
    <t>AT5G38590.1</t>
  </si>
  <si>
    <t>'F-box/RNI-like/FBD-like domains-containing protein'</t>
  </si>
  <si>
    <t>Nitab4.5_0006461g0030.1</t>
  </si>
  <si>
    <t>XM_016652941.1</t>
  </si>
  <si>
    <t>AT4G23470.1</t>
  </si>
  <si>
    <t>Nitab4.5_0008470g0010.1</t>
  </si>
  <si>
    <t>XM_016643530.1</t>
  </si>
  <si>
    <t xml:space="preserve">Protein of unknown function (DUF1666) </t>
  </si>
  <si>
    <t>AT5G39785.1</t>
  </si>
  <si>
    <t>'Protein of unknown function (DUF1666)'</t>
  </si>
  <si>
    <t>Nitab4.5_0005373g0010.1</t>
  </si>
  <si>
    <t>XM_016629074.1</t>
  </si>
  <si>
    <t>Nitab4.5_0008316g0030.1</t>
  </si>
  <si>
    <t>XM_016618578.1</t>
  </si>
  <si>
    <t xml:space="preserve">Protein of unknown function (DUF803) </t>
  </si>
  <si>
    <t>AT2G21120.1</t>
  </si>
  <si>
    <t>'Protein of unknown function (DUF803)'</t>
  </si>
  <si>
    <t>Nitab4.5_0000147g0110.1</t>
  </si>
  <si>
    <t>XM_016614788.1</t>
  </si>
  <si>
    <t xml:space="preserve">Phosphoglycerate mutase family protein </t>
  </si>
  <si>
    <t>AT3G52155.1</t>
  </si>
  <si>
    <t>'Phosphoglycerate mutase family protein'</t>
  </si>
  <si>
    <t>Nitab4.5_0004470g0020.1</t>
  </si>
  <si>
    <t>XM_016658524.1</t>
  </si>
  <si>
    <t>AT1G76360.1</t>
  </si>
  <si>
    <t>Nitab4.5_0002562g0010.1</t>
  </si>
  <si>
    <t>XR_001657019.1</t>
  </si>
  <si>
    <t>AT1G64870.1</t>
  </si>
  <si>
    <t>Nitab4.5_0001287g0020.1</t>
  </si>
  <si>
    <t>Nitab4.5_0004990g0010.1</t>
  </si>
  <si>
    <t>Nitab4.5_0015619g0010.1</t>
  </si>
  <si>
    <t>XM_016641154.1</t>
  </si>
  <si>
    <t xml:space="preserve">NGA1: AP2/B3-like transcriptional factor family protein </t>
  </si>
  <si>
    <t>AT1G01030.1</t>
  </si>
  <si>
    <t>'AP2/B3-like transcriptional factor family protein'</t>
  </si>
  <si>
    <t>Nitab4.5_0012533g0010.1</t>
  </si>
  <si>
    <t>XM_016581665.1</t>
  </si>
  <si>
    <t xml:space="preserve">Mitochondrial substrate carrier family protein </t>
  </si>
  <si>
    <t>AT1G72820.1</t>
  </si>
  <si>
    <t>'Mitochondrial substrate carrier family protein'</t>
  </si>
  <si>
    <t>Nitab4.5_0000672g0050.1</t>
  </si>
  <si>
    <t>XM_016592943.1</t>
  </si>
  <si>
    <t>AT3G46730.1</t>
  </si>
  <si>
    <t>Nitab4.5_0007543g0030.1</t>
  </si>
  <si>
    <t>XM_016637728.1</t>
  </si>
  <si>
    <t>AT2G23450.1</t>
  </si>
  <si>
    <t>Nitab4.5_0001047g0100.1</t>
  </si>
  <si>
    <t>XM_016628788.1</t>
  </si>
  <si>
    <t xml:space="preserve">CAT7: cationic amino acid transporter 7 </t>
  </si>
  <si>
    <t>AT3G10600.1</t>
  </si>
  <si>
    <t>'cationic amino acid transporter 7'</t>
  </si>
  <si>
    <t>Nitab4.5_0002675g0020.1</t>
  </si>
  <si>
    <t>XM_016645838.1</t>
  </si>
  <si>
    <t>AT1G22400.1</t>
  </si>
  <si>
    <t>Nitab4.5_0001146g0200.1</t>
  </si>
  <si>
    <t>XM_016613044.1</t>
  </si>
  <si>
    <t xml:space="preserve">GroES-like zinc-binding alcohol dehydrogenase family protein </t>
  </si>
  <si>
    <t>AT5G51970.2</t>
  </si>
  <si>
    <t>'GroES-like zinc-binding alcohol dehydrogenase family protein'</t>
  </si>
  <si>
    <t>Nitab4.5_0001913g0010.1</t>
  </si>
  <si>
    <t>XM_016610308.1</t>
  </si>
  <si>
    <t xml:space="preserve">DTW domain-containing protein </t>
  </si>
  <si>
    <t>AT5G54880.1</t>
  </si>
  <si>
    <t>'DTW domain-containing protein'</t>
  </si>
  <si>
    <t>Nitab4.5_0011198g0010.1</t>
  </si>
  <si>
    <t>XM_016649778.1</t>
  </si>
  <si>
    <t>Nitab4.5_0001423g0140.1</t>
  </si>
  <si>
    <t>XM_016646609.1</t>
  </si>
  <si>
    <t>AT3G05170.1</t>
  </si>
  <si>
    <t>Nitab4.5_0006540g0040.1</t>
  </si>
  <si>
    <t>XM_016611254.1</t>
  </si>
  <si>
    <t xml:space="preserve">BEL1: POX (plant homeobox) family protein </t>
  </si>
  <si>
    <t>AT5G41410.1</t>
  </si>
  <si>
    <t>'POX (plant homeobox) family protein'</t>
  </si>
  <si>
    <t>Nitab4.5_0002286g0090.1</t>
  </si>
  <si>
    <t>XM_016660544.1</t>
  </si>
  <si>
    <t xml:space="preserve">Leucine-rich repeat family protein </t>
  </si>
  <si>
    <t>AT1G15740.1</t>
  </si>
  <si>
    <t>'Leucine-rich repeat family protein'</t>
  </si>
  <si>
    <t>Nitab4.5_0001662g0030.1</t>
  </si>
  <si>
    <t>XM_016612310.1</t>
  </si>
  <si>
    <t>Nitab4.5_0002418g0080.1</t>
  </si>
  <si>
    <t>XM_016607861.1</t>
  </si>
  <si>
    <t xml:space="preserve">ATP synthase subunit C family protein </t>
  </si>
  <si>
    <t>Nitab4.5_0000374g0110.1</t>
  </si>
  <si>
    <t>XM_016603781.1</t>
  </si>
  <si>
    <t>AT2G10950.1</t>
  </si>
  <si>
    <t>'BSD domain-containing protein'</t>
  </si>
  <si>
    <t>Nitab4.5_0005999g0010.1</t>
  </si>
  <si>
    <t>XM_016604732.1</t>
  </si>
  <si>
    <t>Nitab4.5_0008551g0010.1</t>
  </si>
  <si>
    <t>XM_016588622.1</t>
  </si>
  <si>
    <t>Nitab4.5_0001413g0060.1</t>
  </si>
  <si>
    <t>XM_016596226.1</t>
  </si>
  <si>
    <t>AT2G16430.2</t>
  </si>
  <si>
    <t>'purple acid phosphatase 10'</t>
  </si>
  <si>
    <t>Nitab4.5_0009512g0030.1</t>
  </si>
  <si>
    <t>XM_016655566.1</t>
  </si>
  <si>
    <t xml:space="preserve">SHL1: PHD finger family protein / bromo-adjacent homology (BAH) domain-containing protein </t>
  </si>
  <si>
    <t>AT4G22140.2</t>
  </si>
  <si>
    <t>'PHD finger family protein / bromo-adjacent homology (BAH) domain-containing protein'</t>
  </si>
  <si>
    <t>Nitab4.5_0003688g0120.1</t>
  </si>
  <si>
    <t>Nitab4.5_0000632g0150.1</t>
  </si>
  <si>
    <t>XM_016653782.1</t>
  </si>
  <si>
    <t xml:space="preserve">VSR6, VSR3;3, BP80-3;3: VACUOLAR SORTING RECEPTOR 6 </t>
  </si>
  <si>
    <t>AT1G30900.1</t>
  </si>
  <si>
    <t>'VACUOLAR SORTING RECEPTOR 6'</t>
  </si>
  <si>
    <t>Nitab4.5_0000322g0020.1</t>
  </si>
  <si>
    <t>XM_016633146.1</t>
  </si>
  <si>
    <t>AT1G21660.1</t>
  </si>
  <si>
    <t>Nitab4.5_0009703g0040.1</t>
  </si>
  <si>
    <t>XR_001657591.1</t>
  </si>
  <si>
    <t>Nitab4.5_0000669g0080.1</t>
  </si>
  <si>
    <t>XM_016615827.1</t>
  </si>
  <si>
    <t>AT2G37130.1</t>
  </si>
  <si>
    <t>Nitab4.5_0002317g0020.1</t>
  </si>
  <si>
    <t>XM_016649509.1</t>
  </si>
  <si>
    <t>AT1G27340.1</t>
  </si>
  <si>
    <t>Nitab4.5_0011114g0030.1</t>
  </si>
  <si>
    <t>XM_016619143.1</t>
  </si>
  <si>
    <t xml:space="preserve">GCPE, ISPG, CSB3, CLB4, HDS: 4-hydroxy-3-methylbut-2-enyl diphosphate synthase </t>
  </si>
  <si>
    <t>AT5G60600.1</t>
  </si>
  <si>
    <t>'4-hydroxy-3-methylbut-2-enyl diphosphate synthase'</t>
  </si>
  <si>
    <t>Nitab4.5_0000140g0110.1</t>
  </si>
  <si>
    <t>XM_016642907.1</t>
  </si>
  <si>
    <t>unknown protein similar to AT4G11911.1</t>
  </si>
  <si>
    <t>AT4G22920.1</t>
  </si>
  <si>
    <t>'non-yellowing 1'</t>
  </si>
  <si>
    <t>Nitab4.5_0002415g0060.1</t>
  </si>
  <si>
    <t>XM_016582584.1</t>
  </si>
  <si>
    <t xml:space="preserve">Inositol 1,3,4-trisphosphate 5/6-kinase family protein </t>
  </si>
  <si>
    <t>AT4G08170.2</t>
  </si>
  <si>
    <t>'Inositol 1,3,4-trisphosphate 5/6-kinase family protein'</t>
  </si>
  <si>
    <t>Nitab4.5_0002298g0040.1</t>
  </si>
  <si>
    <t>XM_016652650.1</t>
  </si>
  <si>
    <t>Nitab4.5_0000318g0020.1</t>
  </si>
  <si>
    <t>XM_016632491.1</t>
  </si>
  <si>
    <t xml:space="preserve">Zinc finger C-x8-C-x5-C-x3-H type family protein </t>
  </si>
  <si>
    <t>AT4G29190.1</t>
  </si>
  <si>
    <t>'Zinc finger C-x8-C-x5-C-x3-H type family protein'</t>
  </si>
  <si>
    <t>Nitab4.5_0001781g0030.1</t>
  </si>
  <si>
    <t>XM_016628593.1</t>
  </si>
  <si>
    <t>Nitab4.5_0000911g0010.1</t>
  </si>
  <si>
    <t>XR_001656179.1</t>
  </si>
  <si>
    <t>AT2G41970.1</t>
  </si>
  <si>
    <t>Nitab4.5_0001404g0030.1</t>
  </si>
  <si>
    <t>XM_016605158.1</t>
  </si>
  <si>
    <t xml:space="preserve">MAP65-8: microtubule-associated protein 65-8 </t>
  </si>
  <si>
    <t>AT1G27920.1</t>
  </si>
  <si>
    <t>'microtubule-associated protein 65-8'</t>
  </si>
  <si>
    <t>Nitab4.5_0000305g0330.1</t>
  </si>
  <si>
    <t>XM_016656962.1</t>
  </si>
  <si>
    <t xml:space="preserve">BAG6, ATBAG6: BCL-2-associated athanogene 6 </t>
  </si>
  <si>
    <t>AT2G46240.1</t>
  </si>
  <si>
    <t>'BCL-2-associated athanogene 6'</t>
  </si>
  <si>
    <t>Nitab4.5_0000718g0060.1</t>
  </si>
  <si>
    <t>XM_016579879.1</t>
  </si>
  <si>
    <t xml:space="preserve">HY2, GUN3: phytochromobilin:ferredoxin oxidoreductase, chloroplast / phytochromobilin synthase (HY2) </t>
  </si>
  <si>
    <t>AT3G09150.2</t>
  </si>
  <si>
    <t>'phytochromobilin</t>
  </si>
  <si>
    <t>Nitab4.5_0003746g0030.1</t>
  </si>
  <si>
    <t>XM_016629722.1</t>
  </si>
  <si>
    <t xml:space="preserve">SWEET2, AtSWEET2: Nodulin MtN3 family protein </t>
  </si>
  <si>
    <t>AT3G14770.1</t>
  </si>
  <si>
    <t>'Nodulin MtN3 family protein'</t>
  </si>
  <si>
    <t>Nitab4.5_0005541g0070.1</t>
  </si>
  <si>
    <t>XM_016626352.1</t>
  </si>
  <si>
    <t xml:space="preserve">peptidoglycan-binding LysM domain-containing protein </t>
  </si>
  <si>
    <t>AT1G55000.3</t>
  </si>
  <si>
    <t>'peptidoglycan-binding LysM domain-containing protein'</t>
  </si>
  <si>
    <t>Nitab4.5_0000111g0050.1</t>
  </si>
  <si>
    <t>XM_016628229.1</t>
  </si>
  <si>
    <t xml:space="preserve">AAP2: amino acid permease 2 </t>
  </si>
  <si>
    <t>AT5G09220.1</t>
  </si>
  <si>
    <t>'amino acid permease 2'</t>
  </si>
  <si>
    <t>Nitab4.5_0002290g0070.1</t>
  </si>
  <si>
    <t>XM_016627398.1</t>
  </si>
  <si>
    <t xml:space="preserve">Concanavalin A-like lectin protein kinase family protein </t>
  </si>
  <si>
    <t>AT5G10530.1</t>
  </si>
  <si>
    <t>Nitab4.5_0000649g0060.1</t>
  </si>
  <si>
    <t>Nitab4.5_0002185g0130.1</t>
  </si>
  <si>
    <t>XM_016599077.1</t>
  </si>
  <si>
    <t>AT3G47570.1</t>
  </si>
  <si>
    <t>Nitab4.5_0000011g0140.1</t>
  </si>
  <si>
    <t>XM_016610016.1</t>
  </si>
  <si>
    <t xml:space="preserve">THO2: THO2 </t>
  </si>
  <si>
    <t>AT1G24706.1</t>
  </si>
  <si>
    <t>'THO2'</t>
  </si>
  <si>
    <t>Nitab4.5_0008481g0050.1</t>
  </si>
  <si>
    <t>XM_016638578.1</t>
  </si>
  <si>
    <t>AT2G35730.1</t>
  </si>
  <si>
    <t>Nitab4.5_0000024g0100.1</t>
  </si>
  <si>
    <t>XM_016624133.1</t>
  </si>
  <si>
    <t>unknown protein similar to AT5G20610.1</t>
  </si>
  <si>
    <t>AT5G20610.1</t>
  </si>
  <si>
    <t>Nitab4.5_0005853g0070.1</t>
  </si>
  <si>
    <t>Nitab4.5_0004359g0040.1</t>
  </si>
  <si>
    <t>XM_016604216.1</t>
  </si>
  <si>
    <t>Nitab4.5_0001662g0020.1</t>
  </si>
  <si>
    <t>Nitab4.5_0000055g0340.1</t>
  </si>
  <si>
    <t>Nitab4.5_0002345g0080.1</t>
  </si>
  <si>
    <t>XM_016587037.1</t>
  </si>
  <si>
    <t xml:space="preserve">HSA32: Aldolase-type TIM barrel family protein </t>
  </si>
  <si>
    <t>AT4G21320.1</t>
  </si>
  <si>
    <t>'Aldolase-type TIM barrel family protein'</t>
  </si>
  <si>
    <t>Nitab4.5_0000808g0020.1</t>
  </si>
  <si>
    <t>XM_016606182.1</t>
  </si>
  <si>
    <t xml:space="preserve">A20/AN1-like zinc finger family protein </t>
  </si>
  <si>
    <t>Nitab4.5_0000109g0550.1</t>
  </si>
  <si>
    <t>Nitab4.5_0001110g0030.1</t>
  </si>
  <si>
    <t>XM_016592625.1</t>
  </si>
  <si>
    <t xml:space="preserve">ARL: ARGOS-like </t>
  </si>
  <si>
    <t>Nitab4.5_0000639g0070.1</t>
  </si>
  <si>
    <t>XM_016590843.1</t>
  </si>
  <si>
    <t xml:space="preserve">GLX2-3, ETHE1, GLY3: glyoxalase II  3 </t>
  </si>
  <si>
    <t>AT1G53580.1</t>
  </si>
  <si>
    <t>'glyoxalase II  3'</t>
  </si>
  <si>
    <t>Nitab4.5_0008061g0010.1</t>
  </si>
  <si>
    <t>XM_016630244.1</t>
  </si>
  <si>
    <t>Nitab4.5_0001028g0080.1</t>
  </si>
  <si>
    <t>XM_016605560.1</t>
  </si>
  <si>
    <t>Nitab4.5_0026719g0010.1</t>
  </si>
  <si>
    <t>XM_016656807.1</t>
  </si>
  <si>
    <t>Nitab4.5_0002381g0080.1</t>
  </si>
  <si>
    <t>AT4G11280.1</t>
  </si>
  <si>
    <t>'1-aminocyclopropane-1-carboxylic acid (acc) synthase 6'</t>
  </si>
  <si>
    <t>Nitab4.5_0000970g0150.1</t>
  </si>
  <si>
    <t>XM_016583021.1</t>
  </si>
  <si>
    <t xml:space="preserve">ARA1, ISA1, ATISA1: arabinose kinase </t>
  </si>
  <si>
    <t>AT4G16130.1</t>
  </si>
  <si>
    <t>'arabinose kinase'</t>
  </si>
  <si>
    <t>Nitab4.5_0001163g0010.1</t>
  </si>
  <si>
    <t>Nitab4.5_0000161g0030.1</t>
  </si>
  <si>
    <t xml:space="preserve">RPS10: ribosomal protein S10 </t>
  </si>
  <si>
    <t>Nitab4.5_0001601g0030.1</t>
  </si>
  <si>
    <t>XM_016613918.1</t>
  </si>
  <si>
    <t>Nitab4.5_0002695g0070.1</t>
  </si>
  <si>
    <t>XM_016598105.1</t>
  </si>
  <si>
    <t xml:space="preserve">sks4: SKU5  similar 4 </t>
  </si>
  <si>
    <t>AT4G22010.1</t>
  </si>
  <si>
    <t>'SKU5  similar 4'</t>
  </si>
  <si>
    <t>Nitab4.5_0000841g0070.1</t>
  </si>
  <si>
    <t>XM_016625960.1</t>
  </si>
  <si>
    <t xml:space="preserve">ATAMT1;2, AMT1;2: ammonium transporter 1;2 </t>
  </si>
  <si>
    <t>AT1G64780.1</t>
  </si>
  <si>
    <t>'ammonium transporter 1'</t>
  </si>
  <si>
    <t>Nitab4.5_0011306g0010.1</t>
  </si>
  <si>
    <t>XM_016629966.1</t>
  </si>
  <si>
    <t xml:space="preserve">Core-2/I-branching beta-1,6-N-acetylglucosaminyltransferase family protein </t>
  </si>
  <si>
    <t>Nitab4.5_0002483g0020.1</t>
  </si>
  <si>
    <t>XM_016596008.1</t>
  </si>
  <si>
    <t xml:space="preserve">Zincin-like metalloproteases family protein </t>
  </si>
  <si>
    <t>AT1G67690.1</t>
  </si>
  <si>
    <t>'Zincin-like metalloproteases family protein'</t>
  </si>
  <si>
    <t>Nitab4.5_0007881g0010.1</t>
  </si>
  <si>
    <t>XM_016636582.1</t>
  </si>
  <si>
    <t>AT4G32280.1</t>
  </si>
  <si>
    <t>'indole-3-acetic acid inducible 29'</t>
  </si>
  <si>
    <t>Nitab4.5_0003545g0010.1</t>
  </si>
  <si>
    <t>XM_016639835.1</t>
  </si>
  <si>
    <t>AT1G26330.1</t>
  </si>
  <si>
    <t>'DNA binding'</t>
  </si>
  <si>
    <t>Nitab4.5_0005167g0110.1</t>
  </si>
  <si>
    <t>XM_016634180.1</t>
  </si>
  <si>
    <t>AT4G22860.1</t>
  </si>
  <si>
    <t>'Cell cycle regulated microtubule associated protein'</t>
  </si>
  <si>
    <t>Nitab4.5_0003559g0050.1</t>
  </si>
  <si>
    <t>XM_016652017.1</t>
  </si>
  <si>
    <t xml:space="preserve">Protein of unknown function (DUF1191) </t>
  </si>
  <si>
    <t>AT3G08600.1</t>
  </si>
  <si>
    <t>'Protein of unknown function (DUF1191)'</t>
  </si>
  <si>
    <t>Nitab4.5_0010199g0030.1</t>
  </si>
  <si>
    <t>XM_016639362.1</t>
  </si>
  <si>
    <t xml:space="preserve">C2 calcium/lipid-binding and GRAM domain containing protein </t>
  </si>
  <si>
    <t>AT1G03370.1</t>
  </si>
  <si>
    <t>'C2 calcium/lipid-binding and GRAM domain containing protein'</t>
  </si>
  <si>
    <t>Nitab4.5_0002438g0090.1</t>
  </si>
  <si>
    <t>XM_016600819.1</t>
  </si>
  <si>
    <t xml:space="preserve">IAA19, MSG2: indole-3-acetic acid inducible 19 </t>
  </si>
  <si>
    <t>AT3G15540.1</t>
  </si>
  <si>
    <t>'indole-3-acetic acid inducible 19'</t>
  </si>
  <si>
    <t>Nitab4.5_0005401g0010.1</t>
  </si>
  <si>
    <t>XM_016617168.1</t>
  </si>
  <si>
    <t>Nitab4.5_0004359g0030.1</t>
  </si>
  <si>
    <t>XM_016604217.1</t>
  </si>
  <si>
    <t xml:space="preserve">ATPHS2, PHS2: alpha-glucan phosphorylase 2 </t>
  </si>
  <si>
    <t>AT3G46970.1</t>
  </si>
  <si>
    <t>'alpha-glucan phosphorylase 2'</t>
  </si>
  <si>
    <t>Nitab4.5_0004063g0080.1</t>
  </si>
  <si>
    <t>XM_016588213.1</t>
  </si>
  <si>
    <t xml:space="preserve">UVI4, PYM: uv-b-insensitive 4 </t>
  </si>
  <si>
    <t>AT2G42260.1</t>
  </si>
  <si>
    <t>'uv-b-insensitive 4'</t>
  </si>
  <si>
    <t>Nitab4.5_0000171g0340.1</t>
  </si>
  <si>
    <t>XM_016579790.1</t>
  </si>
  <si>
    <t>AT5G58300.2</t>
  </si>
  <si>
    <t>Nitab4.5_0006775g0010.1</t>
  </si>
  <si>
    <t>XM_016602964.1</t>
  </si>
  <si>
    <t xml:space="preserve">Late embryogenesis abundant (LEA) hydroxyproline-rich glycoprotein family </t>
  </si>
  <si>
    <t>Nitab4.5_0006889g0010.1</t>
  </si>
  <si>
    <t>XM_016602817.1</t>
  </si>
  <si>
    <t>AT4G24050.1</t>
  </si>
  <si>
    <t>Nitab4.5_0000402g0180.1</t>
  </si>
  <si>
    <t>XM_016592451.1</t>
  </si>
  <si>
    <t xml:space="preserve">ELI3-1, ELI3, ATCAD7, CAD7: elicitor-activated gene 3-1 </t>
  </si>
  <si>
    <t>AT4G39330.1</t>
  </si>
  <si>
    <t>'cinnamyl alcohol dehydrogenase 9'</t>
  </si>
  <si>
    <t>Nitab4.5_0000075g0050.1</t>
  </si>
  <si>
    <t>XM_016585780.1</t>
  </si>
  <si>
    <t xml:space="preserve">oxidoreductases </t>
  </si>
  <si>
    <t>AT4G20350.1</t>
  </si>
  <si>
    <t>'oxidoreductases'</t>
  </si>
  <si>
    <t>Nitab4.5_0007420g0030.1</t>
  </si>
  <si>
    <t>XM_016648597.1</t>
  </si>
  <si>
    <t xml:space="preserve">F-box/RNI-like superfamily protein </t>
  </si>
  <si>
    <t>AT1G10780.1</t>
  </si>
  <si>
    <t>'F-box/RNI-like superfamily protein'</t>
  </si>
  <si>
    <t>Nitab4.5_0002449g0070.1</t>
  </si>
  <si>
    <t>XM_016618900.1</t>
  </si>
  <si>
    <t>AT5G15740.1</t>
  </si>
  <si>
    <t>Nitab4.5_0014566g0010.1</t>
  </si>
  <si>
    <t>XM_016608546.1</t>
  </si>
  <si>
    <t>AT1G09450.1</t>
  </si>
  <si>
    <t>Nitab4.5_0009999g0010.1</t>
  </si>
  <si>
    <t>XM_016581742.1</t>
  </si>
  <si>
    <t>Nitab4.5_0000723g0230.1</t>
  </si>
  <si>
    <t>XM_016621921.1</t>
  </si>
  <si>
    <t xml:space="preserve">CYP722A1: cytochrome P450, family 722, subfamily A, polypeptide 1 </t>
  </si>
  <si>
    <t>AT1G19630.1</t>
  </si>
  <si>
    <t>'cytochrome P450, family 722, subfamily A, polypeptide 1'</t>
  </si>
  <si>
    <t>Nitab4.5_0000008g0400.1</t>
  </si>
  <si>
    <t>XM_016614432.1</t>
  </si>
  <si>
    <t>AT2G37960.2</t>
  </si>
  <si>
    <t>Nitab4.5_0000072g0390.1</t>
  </si>
  <si>
    <t>XM_016586703.1</t>
  </si>
  <si>
    <t xml:space="preserve">PLE, ATMAP65-3, MAP65-3: Microtubule associated protein (MAP65/ASE1) family protein </t>
  </si>
  <si>
    <t>AT5G51600.1</t>
  </si>
  <si>
    <t>'Microtubule associated protein (MAP65/ASE1) family protein'</t>
  </si>
  <si>
    <t>Nitab4.5_0000935g0010.1</t>
  </si>
  <si>
    <t>XM_016636661.1</t>
  </si>
  <si>
    <t xml:space="preserve">GTP binding;GTP binding </t>
  </si>
  <si>
    <t>AT5G39960.1</t>
  </si>
  <si>
    <t>'GTP binding'</t>
  </si>
  <si>
    <t>Nitab4.5_0000187g0210.1</t>
  </si>
  <si>
    <t>XM_016598747.1</t>
  </si>
  <si>
    <t xml:space="preserve">FBL17: RNI-like superfamily protein </t>
  </si>
  <si>
    <t>AT3G54650.1</t>
  </si>
  <si>
    <t>Nitab4.5_0002520g0010.1</t>
  </si>
  <si>
    <t>XM_016659862.1</t>
  </si>
  <si>
    <t>Nitab4.5_0002145g0010.1</t>
  </si>
  <si>
    <t>XM_016595001.1</t>
  </si>
  <si>
    <t xml:space="preserve">ATPUP10, PUP10: purine permease 10 </t>
  </si>
  <si>
    <t>AT4G18210.1</t>
  </si>
  <si>
    <t>'purine permease 10'</t>
  </si>
  <si>
    <t>Nitab4.5_0002276g0050.1</t>
  </si>
  <si>
    <t>XM_016636200.1</t>
  </si>
  <si>
    <t>AT1G33720.1</t>
  </si>
  <si>
    <t>'cytochrome P450, family 76, subfamily C, polypeptide 6'</t>
  </si>
  <si>
    <t>Nitab4.5_0006121g0020.1</t>
  </si>
  <si>
    <t>XR_001642490.1</t>
  </si>
  <si>
    <t>AT3G26300.1</t>
  </si>
  <si>
    <t>'cytochrome P450, family 71, subfamily B, polypeptide 34'</t>
  </si>
  <si>
    <t>Nitab4.5_0014182g0010.1</t>
  </si>
  <si>
    <t>XM_016583751.1</t>
  </si>
  <si>
    <t xml:space="preserve">Protein of unknown function (DUF579) </t>
  </si>
  <si>
    <t>Nitab4.5_0006086g0040.1</t>
  </si>
  <si>
    <t>XM_016603164.1</t>
  </si>
  <si>
    <t>AT5G48620.1</t>
  </si>
  <si>
    <t>'Disease resistance protein (CC-NBS-LRR class) family'</t>
  </si>
  <si>
    <t>Nitab4.5_0000993g0050.1</t>
  </si>
  <si>
    <t>XM_016633300.1</t>
  </si>
  <si>
    <t>AT1G62530.2</t>
  </si>
  <si>
    <t>'Plant protein of unknown function (DUF863)'</t>
  </si>
  <si>
    <t>Nitab4.5_0002654g0080.1</t>
  </si>
  <si>
    <t>XM_016646080.1</t>
  </si>
  <si>
    <t>AT1G71530.1</t>
  </si>
  <si>
    <t>Nitab4.5_0003240g0020.1</t>
  </si>
  <si>
    <t>XR_001650037.1</t>
  </si>
  <si>
    <t xml:space="preserve">unknown protein; FUNCTIONS IN: molecular_function unknown; INVOLVED IN: biological_process unknown; LOCATED IN: mitochondrial respiratory chain complex III; BEST Arabidopsis thaliana protein match is: unknown protein (TAIR:AT3G46430.1). </t>
  </si>
  <si>
    <t>Nitab4.5_0002540g0110.1</t>
  </si>
  <si>
    <t>XM_016646786.1</t>
  </si>
  <si>
    <t>Nitab4.5_0001955g0160.1</t>
  </si>
  <si>
    <t>XM_016585146.1</t>
  </si>
  <si>
    <t>AT1G28410.1</t>
  </si>
  <si>
    <t>Nitab4.5_0001119g0060.1</t>
  </si>
  <si>
    <t>XM_016624042.1</t>
  </si>
  <si>
    <t xml:space="preserve">AGP18, ATAGP18: arabinogalactan protein  18 </t>
  </si>
  <si>
    <t>AT4G37450.1</t>
  </si>
  <si>
    <t>'arabinogalactan protein  18'</t>
  </si>
  <si>
    <t>Nitab4.5_0000706g0140.1</t>
  </si>
  <si>
    <t>XM_016650607.1</t>
  </si>
  <si>
    <t>unknown protein similar to AT3G15351.1</t>
  </si>
  <si>
    <t>AT3G15351.2</t>
  </si>
  <si>
    <t>Nitab4.5_0000559g0180.1</t>
  </si>
  <si>
    <t>XM_016656599.1</t>
  </si>
  <si>
    <t>Nitab4.5_0001836g0040.1</t>
  </si>
  <si>
    <t>XM_016656992.1</t>
  </si>
  <si>
    <t>Nitab4.5_0000003g0060.1</t>
  </si>
  <si>
    <t>XM_016595536.1</t>
  </si>
  <si>
    <t xml:space="preserve">zinc ion binding </t>
  </si>
  <si>
    <t>AT1G74770.1</t>
  </si>
  <si>
    <t>'zinc ion binding'</t>
  </si>
  <si>
    <t>Nitab4.5_0000116g0480.1</t>
  </si>
  <si>
    <t>XM_016658124.1</t>
  </si>
  <si>
    <t>Nitab4.5_0006935g0020.1</t>
  </si>
  <si>
    <t>XM_016641534.1</t>
  </si>
  <si>
    <t>AT5G42940.1</t>
  </si>
  <si>
    <t>Nitab4.5_0004685g0010.1</t>
  </si>
  <si>
    <t>XM_016590999.1</t>
  </si>
  <si>
    <t xml:space="preserve">SWIB/MDM2 domain superfamily protein </t>
  </si>
  <si>
    <t>AT2G14880.1</t>
  </si>
  <si>
    <t>'SWIB/MDM2 domain superfamily protein'</t>
  </si>
  <si>
    <t>Nitab4.5_0001968g0150.1</t>
  </si>
  <si>
    <t>XM_016642125.1</t>
  </si>
  <si>
    <t>Nitab4.5_0001179g0130.1</t>
  </si>
  <si>
    <t>XM_016587252.1</t>
  </si>
  <si>
    <t>AT5G11780.1</t>
  </si>
  <si>
    <t>Nitab4.5_0011440g0010.1</t>
  </si>
  <si>
    <t>XM_016601132.1</t>
  </si>
  <si>
    <t xml:space="preserve">BSK2: BR-signaling kinase 2 </t>
  </si>
  <si>
    <t>AT5G46570.1</t>
  </si>
  <si>
    <t>'BR-signaling kinase 2'</t>
  </si>
  <si>
    <t>Nitab4.5_0000345g0020.1</t>
  </si>
  <si>
    <t>XM_016610588.1</t>
  </si>
  <si>
    <t xml:space="preserve">B-cell receptor-associated protein 31-like  </t>
  </si>
  <si>
    <t>AT5G48660.1</t>
  </si>
  <si>
    <t>'B-cell receptor-associated protein 31-like'</t>
  </si>
  <si>
    <t>Nitab4.5_0001836g0060.1</t>
  </si>
  <si>
    <t>XM_016656993.1</t>
  </si>
  <si>
    <t>Nitab4.5_0000464g0050.1</t>
  </si>
  <si>
    <t>XM_016620444.1</t>
  </si>
  <si>
    <t xml:space="preserve">CDKB2;2: cyclin-dependent kinase B2;2 </t>
  </si>
  <si>
    <t>AT1G20930.1</t>
  </si>
  <si>
    <t>'cyclin-dependent kinase B2'</t>
  </si>
  <si>
    <t>Nitab4.5_0000091g0360.1</t>
  </si>
  <si>
    <t>XM_016644375.1</t>
  </si>
  <si>
    <t xml:space="preserve">PSY: PHYTOENE SYNTHASE </t>
  </si>
  <si>
    <t>AT5G17230.2</t>
  </si>
  <si>
    <t>'PHYTOENE SYNTHASE'</t>
  </si>
  <si>
    <t>Nitab4.5_0001571g0080.1</t>
  </si>
  <si>
    <t>XM_016577848.1</t>
  </si>
  <si>
    <t>AT2G24030.1</t>
  </si>
  <si>
    <t>Nitab4.5_0000021g0500.1</t>
  </si>
  <si>
    <t>XM_016620054.1</t>
  </si>
  <si>
    <t xml:space="preserve">NADH-ubiquinone oxidoreductase-related </t>
  </si>
  <si>
    <t>AT3G03070.1</t>
  </si>
  <si>
    <t>'NADH-ubiquinone oxidoreductase-related'</t>
  </si>
  <si>
    <t>Nitab4.5_0001672g0060.1</t>
  </si>
  <si>
    <t>XM_016654456.1</t>
  </si>
  <si>
    <t>AT5G20060.3</t>
  </si>
  <si>
    <t>Nitab4.5_0000483g0170.1</t>
  </si>
  <si>
    <t>XM_016612946.1</t>
  </si>
  <si>
    <t>AT5G37010.1</t>
  </si>
  <si>
    <t>Nitab4.5_0005056g0100.1</t>
  </si>
  <si>
    <t>XM_016639361.1</t>
  </si>
  <si>
    <t xml:space="preserve">WRI1, WRI, ASML1: Integrase-type DNA-binding superfamily protein </t>
  </si>
  <si>
    <t>AT3G54320.2</t>
  </si>
  <si>
    <t>Nitab4.5_0004233g0010.1</t>
  </si>
  <si>
    <t>XM_016600599.1</t>
  </si>
  <si>
    <t>AT1G22540.1</t>
  </si>
  <si>
    <t>Nitab4.5_0001128g0100.1</t>
  </si>
  <si>
    <t>XM_016604225.1</t>
  </si>
  <si>
    <t>Nitab4.5_0011637g0020.1</t>
  </si>
  <si>
    <t>XR_001653875.1</t>
  </si>
  <si>
    <t>Nitab4.5_0005156g0050.1</t>
  </si>
  <si>
    <t>XM_016648274.1</t>
  </si>
  <si>
    <t xml:space="preserve">Glycosyl hydrolase family protein </t>
  </si>
  <si>
    <t>AT5G20950.2</t>
  </si>
  <si>
    <t>'Glycosyl hydrolase family protein'</t>
  </si>
  <si>
    <t>Nitab4.5_0001318g0020.1</t>
  </si>
  <si>
    <t>XM_016608932.1</t>
  </si>
  <si>
    <t xml:space="preserve">TPX2 (targeting protein for Xklp2) protein family </t>
  </si>
  <si>
    <t>AT3G26050.1</t>
  </si>
  <si>
    <t>'TPX2 (targeting protein for Xklp2) protein family'</t>
  </si>
  <si>
    <t>Nitab4.5_0006479g0010.1</t>
  </si>
  <si>
    <t>XM_016605524.1</t>
  </si>
  <si>
    <t xml:space="preserve">RAP2.4: related to AP2 4 </t>
  </si>
  <si>
    <t>Nitab4.5_0002234g0020.1</t>
  </si>
  <si>
    <t>XM_016631172.1</t>
  </si>
  <si>
    <t xml:space="preserve">IQD22: IQ-domain 22 </t>
  </si>
  <si>
    <t>AT4G23060.1</t>
  </si>
  <si>
    <t>'IQ-domain 22'</t>
  </si>
  <si>
    <t>Nitab4.5_0000684g0130.1</t>
  </si>
  <si>
    <t>XM_016586006.1</t>
  </si>
  <si>
    <t xml:space="preserve">CYP5, ATCYP5, CYP19-4: cyclophilin 5 </t>
  </si>
  <si>
    <t>AT2G29960.1</t>
  </si>
  <si>
    <t>'cyclophilin 5'</t>
  </si>
  <si>
    <t>Nitab4.5_0007380g0010.1</t>
  </si>
  <si>
    <t>XM_016592305.1</t>
  </si>
  <si>
    <t xml:space="preserve">TET8: tetraspanin8 </t>
  </si>
  <si>
    <t>Nitab4.5_0006883g0030.1</t>
  </si>
  <si>
    <t>XM_016587058.1</t>
  </si>
  <si>
    <t>Nitab4.5_0005340g0030.1</t>
  </si>
  <si>
    <t>XM_016599686.1</t>
  </si>
  <si>
    <t>AT1G08500.1</t>
  </si>
  <si>
    <t>'early nodulin-like protein 18'</t>
  </si>
  <si>
    <t>Nitab4.5_0000681g0010.1</t>
  </si>
  <si>
    <t>XM_016615648.1</t>
  </si>
  <si>
    <t xml:space="preserve">Tetratricopeptide repeat (TPR)-like superfamily protein </t>
  </si>
  <si>
    <t>AT4G18570.1</t>
  </si>
  <si>
    <t>'Tetratricopeptide repeat (TPR)-like superfamily protein'</t>
  </si>
  <si>
    <t>Nitab4.5_0001911g0100.1</t>
  </si>
  <si>
    <t>XM_016608729.1</t>
  </si>
  <si>
    <t xml:space="preserve">ATEXPA3, ATEXP3, ATHEXP ALPHA 1.9, EXP3: Barwin-like endoglucanases superfamily protein </t>
  </si>
  <si>
    <t>AT2G37640.1</t>
  </si>
  <si>
    <t>'Barwin-like endoglucanases superfamily protein'</t>
  </si>
  <si>
    <t>Nitab4.5_0002655g0080.1</t>
  </si>
  <si>
    <t>XM_016598723.1</t>
  </si>
  <si>
    <t>AT5G13660.1</t>
  </si>
  <si>
    <t>Nitab4.5_0002257g0140.1</t>
  </si>
  <si>
    <t>XM_016637321.1</t>
  </si>
  <si>
    <t>unknown protein similar to AT1G74530.3</t>
  </si>
  <si>
    <t>AT1G74530.3</t>
  </si>
  <si>
    <t>Nitab4.5_0000170g0190.1</t>
  </si>
  <si>
    <t>XM_016578378.1</t>
  </si>
  <si>
    <t xml:space="preserve">Pseudouridine synthase family protein </t>
  </si>
  <si>
    <t>AT1G78910.1</t>
  </si>
  <si>
    <t>'Pseudouridine synthase family protein'</t>
  </si>
  <si>
    <t>Nitab4.5_0000152g0200.1</t>
  </si>
  <si>
    <t>XM_016655523.1</t>
  </si>
  <si>
    <t xml:space="preserve">BTB/POZ domain-containing protein </t>
  </si>
  <si>
    <t>AT1G55760.1</t>
  </si>
  <si>
    <t>'BTB/POZ domain-containing protein'</t>
  </si>
  <si>
    <t>Nitab4.5_0006594g0070.1</t>
  </si>
  <si>
    <t>XM_016615468.1</t>
  </si>
  <si>
    <t xml:space="preserve">Plant VAMP (vesicle-associated membrane protein) family protein </t>
  </si>
  <si>
    <t>AT5G47180.2</t>
  </si>
  <si>
    <t>'Plant VAMP (vesicle-associated membrane protein) family protein'</t>
  </si>
  <si>
    <t>Nitab4.5_0003412g0050.1</t>
  </si>
  <si>
    <t>XM_016579977.1</t>
  </si>
  <si>
    <t xml:space="preserve">ATRAB5A, ATRABF2A, RABF2A, RAB5A, RHA1, ATRAB-F2A, RAB-F2A: RAB homolog 1 </t>
  </si>
  <si>
    <t>AT5G45130.1</t>
  </si>
  <si>
    <t>'RAB homolog 1'</t>
  </si>
  <si>
    <t>Nitab4.5_0002684g0130.1</t>
  </si>
  <si>
    <t>XM_016634743.1</t>
  </si>
  <si>
    <t>unknown protein similar to AT3G53540.1</t>
  </si>
  <si>
    <t>AT3G53540.1</t>
  </si>
  <si>
    <t>Nitab4.5_0005514g0010.1</t>
  </si>
  <si>
    <t>XM_016592752.1</t>
  </si>
  <si>
    <t>unknown protein similar to AT5G53030.1</t>
  </si>
  <si>
    <t>AT5G53030.1</t>
  </si>
  <si>
    <t>Nitab4.5_0001031g0140.1</t>
  </si>
  <si>
    <t>XM_016637115.1</t>
  </si>
  <si>
    <t>unknown protein similar to AT3G27350.1</t>
  </si>
  <si>
    <t>AT3G27350.1</t>
  </si>
  <si>
    <t>Nitab4.5_0000334g0210.1</t>
  </si>
  <si>
    <t>XM_016631995.1</t>
  </si>
  <si>
    <t xml:space="preserve">Glycosyltransferase family 61 protein </t>
  </si>
  <si>
    <t>AT2G03360.1</t>
  </si>
  <si>
    <t>'Glycosyltransferase family 61 protein'</t>
  </si>
  <si>
    <t>Nitab4.5_0001863g0200.1</t>
  </si>
  <si>
    <t>XM_016645166.1</t>
  </si>
  <si>
    <t xml:space="preserve">zinc finger (C3HC4-type RING finger) family protein </t>
  </si>
  <si>
    <t>AT3G27330.1</t>
  </si>
  <si>
    <t>'zinc finger (C3HC4-type RING finger) family protein'</t>
  </si>
  <si>
    <t>Nitab4.5_0008981g0050.1</t>
  </si>
  <si>
    <t>XM_016595950.1</t>
  </si>
  <si>
    <t>AT5G23570.1</t>
  </si>
  <si>
    <t>'XS domain-containing protein / XS zinc finger domain-containing protein-related'</t>
  </si>
  <si>
    <t>Nitab4.5_0004269g0030.1</t>
  </si>
  <si>
    <t>XM_016631600.1</t>
  </si>
  <si>
    <t xml:space="preserve">PHT3;3: phosphate transporter 3;3 </t>
  </si>
  <si>
    <t>AT2G17270.1</t>
  </si>
  <si>
    <t>'phosphate transporter 3'</t>
  </si>
  <si>
    <t>Nitab4.5_0001007g0010.1</t>
  </si>
  <si>
    <t>XM_016586769.1</t>
  </si>
  <si>
    <t xml:space="preserve">CYP86C3: cytochrome P450, family 86, subfamily C, polypeptide 3 </t>
  </si>
  <si>
    <t>AT1G13140.1</t>
  </si>
  <si>
    <t>'cytochrome P450, family 86, subfamily C, polypeptide 3'</t>
  </si>
  <si>
    <t>Nitab4.5_0000914g0070.1</t>
  </si>
  <si>
    <t>XM_016612089.1</t>
  </si>
  <si>
    <t>unknown protein similar to AT3G55060.1</t>
  </si>
  <si>
    <t>AT3G55060.1</t>
  </si>
  <si>
    <t>Nitab4.5_0004364g0030.1</t>
  </si>
  <si>
    <t>XM_016649881.1</t>
  </si>
  <si>
    <t xml:space="preserve">Protein kinase protein with adenine nucleotide alpha hydrolases-like domain </t>
  </si>
  <si>
    <t>AT3G13690.1</t>
  </si>
  <si>
    <t>'Protein kinase protein with adenine nucleotide alpha hydrolases-like domain'</t>
  </si>
  <si>
    <t>Nitab4.5_0000482g0280.1</t>
  </si>
  <si>
    <t>XM_016650401.1</t>
  </si>
  <si>
    <t>AT2G05790.1</t>
  </si>
  <si>
    <t>Nitab4.5_0004806g0020.1</t>
  </si>
  <si>
    <t>XM_016585110.1</t>
  </si>
  <si>
    <t>AT5G12890.1</t>
  </si>
  <si>
    <t>Nitab4.5_0004955g0060.1</t>
  </si>
  <si>
    <t>XM_016595356.1</t>
  </si>
  <si>
    <t xml:space="preserve">Phosphatidylinositol-4-phosphate 5-kinase family protein </t>
  </si>
  <si>
    <t>AT3G07960.1</t>
  </si>
  <si>
    <t>'Phosphatidylinositol-4-phosphate 5-kinase family protein'</t>
  </si>
  <si>
    <t>Nitab4.5_0000386g0100.1</t>
  </si>
  <si>
    <t>XM_016652077.1</t>
  </si>
  <si>
    <t xml:space="preserve">VIK: VH1-interacting kinase </t>
  </si>
  <si>
    <t>AT4G18950.1</t>
  </si>
  <si>
    <t>'Integrin-linked protein kinase family'</t>
  </si>
  <si>
    <t>Nitab4.5_0000117g0100.1</t>
  </si>
  <si>
    <t>XM_016612106.1</t>
  </si>
  <si>
    <t>AT5G06590.1</t>
  </si>
  <si>
    <t>Nitab4.5_0000122g0030.1</t>
  </si>
  <si>
    <t>XM_016578809.1</t>
  </si>
  <si>
    <t xml:space="preserve">Pentatricopeptide repeat (PPR) superfamily protein </t>
  </si>
  <si>
    <t>AT5G43790.1</t>
  </si>
  <si>
    <t>'Pentatricopeptide repeat (PPR) superfamily protein'</t>
  </si>
  <si>
    <t>Nitab4.5_0008389g0030.1</t>
  </si>
  <si>
    <t>XM_016592318.1</t>
  </si>
  <si>
    <t xml:space="preserve">PDR12, ATPDR12, ABCG40, ATABCG40: pleiotropic drug resistance 12 </t>
  </si>
  <si>
    <t>AT1G15520.1</t>
  </si>
  <si>
    <t>'pleiotropic drug resistance 12'</t>
  </si>
  <si>
    <t>Nitab4.5_0000181g0100.1</t>
  </si>
  <si>
    <t>XM_016582838.1</t>
  </si>
  <si>
    <t xml:space="preserve">proline-rich family protein </t>
  </si>
  <si>
    <t>AT3G45230.1</t>
  </si>
  <si>
    <t>Nitab4.5_0000785g0200.1</t>
  </si>
  <si>
    <t>XM_016625982.1</t>
  </si>
  <si>
    <t xml:space="preserve">QKY: C2 calcium/lipid-binding plant phosphoribosyltransferase family protein </t>
  </si>
  <si>
    <t>Nitab4.5_0014665g0010.1</t>
  </si>
  <si>
    <t>XM_016613847.1</t>
  </si>
  <si>
    <t xml:space="preserve">ATMRP1, EST1, ABCC1: multidrug resistance-associated protein 1 </t>
  </si>
  <si>
    <t>AT2G34660.2</t>
  </si>
  <si>
    <t>'multidrug resistance-associated protein 2'</t>
  </si>
  <si>
    <t>Nitab4.5_0000316g0080.1</t>
  </si>
  <si>
    <t>XM_016631939.1</t>
  </si>
  <si>
    <t>Nitab4.5_0000271g0340.1</t>
  </si>
  <si>
    <t>XM_016605151.1</t>
  </si>
  <si>
    <t xml:space="preserve">Rhodanese/Cell cycle control phosphatase superfamily protein </t>
  </si>
  <si>
    <t>AT2G21045.1</t>
  </si>
  <si>
    <t>Nitab4.5_0001439g0010.1</t>
  </si>
  <si>
    <t>XM_016597159.1</t>
  </si>
  <si>
    <t>unknown protein similar to AT2G15000.5</t>
  </si>
  <si>
    <t>Nitab4.5_0000462g0030.1</t>
  </si>
  <si>
    <t>XM_016595565.1</t>
  </si>
  <si>
    <t>Nitab4.5_0006853g0010.1</t>
  </si>
  <si>
    <t>XM_016607969.1</t>
  </si>
  <si>
    <t>Nitab4.5_0010549g0010.1</t>
  </si>
  <si>
    <t>XM_016600870.1</t>
  </si>
  <si>
    <t xml:space="preserve">ATNUDT15, ATNUDX15, NUDX15: nudix hydrolase homolog 15 </t>
  </si>
  <si>
    <t>AT1G28960.5</t>
  </si>
  <si>
    <t>'nudix hydrolase homolog 15'</t>
  </si>
  <si>
    <t>Nitab4.5_0006304g0020.1</t>
  </si>
  <si>
    <t>XM_016580462.1</t>
  </si>
  <si>
    <t xml:space="preserve">Translation protein SH3-like family protein </t>
  </si>
  <si>
    <t>AT5G54600.1</t>
  </si>
  <si>
    <t>'Translation protein SH3-like family protein'</t>
  </si>
  <si>
    <t>Nitab4.5_0000261g0260.1</t>
  </si>
  <si>
    <t>XM_016595846.1</t>
  </si>
  <si>
    <t xml:space="preserve">WAK2: wall-associated kinase 2 </t>
  </si>
  <si>
    <t>AT1G21270.1</t>
  </si>
  <si>
    <t>'wall-associated kinase 2'</t>
  </si>
  <si>
    <t>Nitab4.5_0000669g0210.1</t>
  </si>
  <si>
    <t>XM_016621663.1</t>
  </si>
  <si>
    <t>AT3G09690.2</t>
  </si>
  <si>
    <t>Nitab4.5_0002056g0050.1</t>
  </si>
  <si>
    <t>XM_016605066.1</t>
  </si>
  <si>
    <t>unknown protein similar to AT2G39440.1</t>
  </si>
  <si>
    <t>AT2G39440.1</t>
  </si>
  <si>
    <t>Nitab4.5_0000381g0390.1</t>
  </si>
  <si>
    <t>XM_016625113.1</t>
  </si>
  <si>
    <t>Nitab4.5_0001137g0060.1</t>
  </si>
  <si>
    <t>XM_016599545.1</t>
  </si>
  <si>
    <t>unknown protein similar to AT2G42110.1</t>
  </si>
  <si>
    <t>AT2G42110.1</t>
  </si>
  <si>
    <t>Nitab4.5_0006152g0040.1</t>
  </si>
  <si>
    <t>XM_016627031.1</t>
  </si>
  <si>
    <t xml:space="preserve">RAP2.7: related to AP2.7 </t>
  </si>
  <si>
    <t>AT2G28550.3</t>
  </si>
  <si>
    <t>'related to AP2.7'</t>
  </si>
  <si>
    <t>Nitab4.5_0005729g0050.1</t>
  </si>
  <si>
    <t>XM_016609897.1</t>
  </si>
  <si>
    <t xml:space="preserve">Protein prenylyltransferase superfamily protein </t>
  </si>
  <si>
    <t>AT3G04830.1</t>
  </si>
  <si>
    <t>'Protein prenylyltransferase superfamily protein'</t>
  </si>
  <si>
    <t>Nitab4.5_0005848g0020.1</t>
  </si>
  <si>
    <t>XM_016584846.1</t>
  </si>
  <si>
    <t xml:space="preserve">ZIFL1: zinc induced facilitator-like 1 </t>
  </si>
  <si>
    <t>AT5G13750.1</t>
  </si>
  <si>
    <t>'zinc induced facilitator-like 1'</t>
  </si>
  <si>
    <t>Nitab4.5_0002637g0040.1</t>
  </si>
  <si>
    <t>XM_016657407.1</t>
  </si>
  <si>
    <t xml:space="preserve">ATCHIA, CHIA: chitinase A </t>
  </si>
  <si>
    <t>AT5G24090.1</t>
  </si>
  <si>
    <t>'chitinase A'</t>
  </si>
  <si>
    <t>Nitab4.5_0001056g0010.1</t>
  </si>
  <si>
    <t>XM_016582741.1</t>
  </si>
  <si>
    <t xml:space="preserve">TMKL1: transmembrane kinase-like 1 </t>
  </si>
  <si>
    <t>AT3G24660.1</t>
  </si>
  <si>
    <t>'transmembrane kinase-like 1'</t>
  </si>
  <si>
    <t>Nitab4.5_0005472g0020.1</t>
  </si>
  <si>
    <t>XM_016586429.1</t>
  </si>
  <si>
    <t>unknown protein similar to AT3G11590.1</t>
  </si>
  <si>
    <t>AT3G11590.1</t>
  </si>
  <si>
    <t>Nitab4.5_0002896g0020.1</t>
  </si>
  <si>
    <t>XM_016626042.1</t>
  </si>
  <si>
    <t xml:space="preserve">HCO3- transporter family </t>
  </si>
  <si>
    <t>AT3G62270.1</t>
  </si>
  <si>
    <t>'HCO3- transporter family'</t>
  </si>
  <si>
    <t>Nitab4.5_0000688g0170.1</t>
  </si>
  <si>
    <t>XM_016639890.1</t>
  </si>
  <si>
    <t>AT1G53210.1</t>
  </si>
  <si>
    <t>'sodium/calcium exchanger family protein / calcium-binding EF hand family protein'</t>
  </si>
  <si>
    <t>Nitab4.5_0000402g0200.1</t>
  </si>
  <si>
    <t>XM_016592268.1</t>
  </si>
  <si>
    <t xml:space="preserve">ELI3-2, ELI3, ATCAD8, CAD-B2: elicitor-activated gene 3-2 </t>
  </si>
  <si>
    <t>AT4G37990.1</t>
  </si>
  <si>
    <t>'elicitor-activated gene 3-2'</t>
  </si>
  <si>
    <t>Nitab4.5_0002456g0030.1</t>
  </si>
  <si>
    <t>XM_016652330.1</t>
  </si>
  <si>
    <t xml:space="preserve">AtSP7, SP7, SGA2, ASF1A: ASF1 like histone chaperone </t>
  </si>
  <si>
    <t>AT1G66740.1</t>
  </si>
  <si>
    <t>'ASF1 like histone chaperone'</t>
  </si>
  <si>
    <t>Nitab4.5_0000005g0110.1</t>
  </si>
  <si>
    <t>XM_016604699.1</t>
  </si>
  <si>
    <t xml:space="preserve">ATEXPA13, EXP13, ATEXP13, ATHEXP ALPHA 1.22, EXPA13: expansin A13 </t>
  </si>
  <si>
    <t>AT3G03220.1</t>
  </si>
  <si>
    <t>'expansin A13'</t>
  </si>
  <si>
    <t>Nitab4.5_0002494g0010.1</t>
  </si>
  <si>
    <t>XM_016653141.1</t>
  </si>
  <si>
    <t xml:space="preserve">Plant protein of unknown function (DUF936) </t>
  </si>
  <si>
    <t>AT1G23790.1</t>
  </si>
  <si>
    <t>'Plant protein of unknown function (DUF936)'</t>
  </si>
  <si>
    <t>Nitab4.5_0003490g0010.1</t>
  </si>
  <si>
    <t>XM_016583668.1</t>
  </si>
  <si>
    <t>AT5G07670.1</t>
  </si>
  <si>
    <t>Nitab4.5_0000989g0060.1</t>
  </si>
  <si>
    <t>XR_001644216.1</t>
  </si>
  <si>
    <t>Nitab4.5_0000250g0150.1</t>
  </si>
  <si>
    <t>XM_016632796.1</t>
  </si>
  <si>
    <t xml:space="preserve">DDT domain superfamily </t>
  </si>
  <si>
    <t>AT1G18950.1</t>
  </si>
  <si>
    <t>'DDT domain superfamily'</t>
  </si>
  <si>
    <t>Nitab4.5_0001640g0050.1</t>
  </si>
  <si>
    <t>XM_016619621.1</t>
  </si>
  <si>
    <t>Nitab4.5_0001831g0110.1</t>
  </si>
  <si>
    <t>XM_016619854.1</t>
  </si>
  <si>
    <t xml:space="preserve">Histone superfamily protein </t>
  </si>
  <si>
    <t>Nitab4.5_0002334g0060.1</t>
  </si>
  <si>
    <t>XM_016609290.1</t>
  </si>
  <si>
    <t>AT5G20480.1</t>
  </si>
  <si>
    <t>'EF-TU receptor'</t>
  </si>
  <si>
    <t>Nitab4.5_0002919g0020.1</t>
  </si>
  <si>
    <t>XM_016650947.1</t>
  </si>
  <si>
    <t xml:space="preserve">AIR3: Subtilisin-like serine endopeptidase family protein </t>
  </si>
  <si>
    <t>AT2G04160.1</t>
  </si>
  <si>
    <t>XM_016633491.1</t>
  </si>
  <si>
    <t>Nitab4.5_0000003g0070.1</t>
  </si>
  <si>
    <t>XM_016595541.1</t>
  </si>
  <si>
    <t xml:space="preserve">catalytics </t>
  </si>
  <si>
    <t>AT1G74790.1</t>
  </si>
  <si>
    <t>'catalytics'</t>
  </si>
  <si>
    <t>Nitab4.5_0010323g0020.1</t>
  </si>
  <si>
    <t>XM_016646926.1</t>
  </si>
  <si>
    <t xml:space="preserve">BOP2: Ankyrin repeat family protein / BTB/POZ domain-containing protein </t>
  </si>
  <si>
    <t>AT2G41370.1</t>
  </si>
  <si>
    <t>'Ankyrin repeat family protein / BTB/POZ domain-containing protein'</t>
  </si>
  <si>
    <t>Nitab4.5_0010745g0010.1</t>
  </si>
  <si>
    <t>XM_016580215.1</t>
  </si>
  <si>
    <t>AT1G04030.1</t>
  </si>
  <si>
    <t>Nitab4.5_0000211g0060.1</t>
  </si>
  <si>
    <t>XM_016594346.1</t>
  </si>
  <si>
    <t>AT5G06120.2</t>
  </si>
  <si>
    <t>Nitab4.5_0002330g0140.1</t>
  </si>
  <si>
    <t>XM_016653721.1</t>
  </si>
  <si>
    <t xml:space="preserve">D-aminoacid aminotransferase-like PLP-dependent enzymes superfamily protein </t>
  </si>
  <si>
    <t>AT5G57850.1</t>
  </si>
  <si>
    <t>'D-aminoacid aminotransferase-like PLP-dependent enzymes superfamily protein'</t>
  </si>
  <si>
    <t>Nitab4.5_0013015g0010.1</t>
  </si>
  <si>
    <t>XM_016625955.1</t>
  </si>
  <si>
    <t xml:space="preserve">CIPK20, SnRK3.6, PKS18: CBL-interacting protein kinase 20 </t>
  </si>
  <si>
    <t>AT5G45820.1</t>
  </si>
  <si>
    <t>'CBL-interacting protein kinase 20'</t>
  </si>
  <si>
    <t>Nitab4.5_0001618g0070.1</t>
  </si>
  <si>
    <t>XM_016622624.1</t>
  </si>
  <si>
    <t xml:space="preserve">N-acetyltransferases;N-acetyltransferases </t>
  </si>
  <si>
    <t>AT2G41450.2</t>
  </si>
  <si>
    <t>'N-acetyltransferases'</t>
  </si>
  <si>
    <t>Nitab4.5_0001087g0050.1</t>
  </si>
  <si>
    <t>XM_016618859.1</t>
  </si>
  <si>
    <t xml:space="preserve">Phosphoenolpyruvate carboxylase family protein </t>
  </si>
  <si>
    <t>AT1G77060.1</t>
  </si>
  <si>
    <t>'Phosphoenolpyruvate carboxylase family protein'</t>
  </si>
  <si>
    <t>Nitab4.5_0003053g0010.1</t>
  </si>
  <si>
    <t>XM_016647639.1</t>
  </si>
  <si>
    <t>Nitab4.5_0000801g0040.1</t>
  </si>
  <si>
    <t>XR_001648312.1</t>
  </si>
  <si>
    <t xml:space="preserve">TMP-C, PIP1;4, PIP1E: plasma membrane intrinsic protein 1;4 </t>
  </si>
  <si>
    <t>AT4G00430.1</t>
  </si>
  <si>
    <t>'plasma membrane intrinsic protein 1'</t>
  </si>
  <si>
    <t>Nitab4.5_0004395g0010.1</t>
  </si>
  <si>
    <t>XM_016609489.1</t>
  </si>
  <si>
    <t>AT5G27550.1</t>
  </si>
  <si>
    <t>Nitab4.5_0001355g0020.1</t>
  </si>
  <si>
    <t xml:space="preserve">MRP2, ABCC2, AtABCC2: multidrug resistance-associated protein 2 </t>
  </si>
  <si>
    <t>Nitab4.5_0009785g0060.1</t>
  </si>
  <si>
    <t>XM_016644688.1</t>
  </si>
  <si>
    <t xml:space="preserve">Transmembrane amino acid transporter family protein </t>
  </si>
  <si>
    <t>AT3G56200.1</t>
  </si>
  <si>
    <t>'Transmembrane amino acid transporter family protein'</t>
  </si>
  <si>
    <t>Nitab4.5_0006769g0080.1</t>
  </si>
  <si>
    <t>XM_016631948.1</t>
  </si>
  <si>
    <t xml:space="preserve">SPT: basic helix-loop-helix (bHLH) DNA-binding superfamily protein </t>
  </si>
  <si>
    <t>AT4G36930.1</t>
  </si>
  <si>
    <t>Nitab4.5_0000902g0360.1</t>
  </si>
  <si>
    <t>XM_016634408.1</t>
  </si>
  <si>
    <t xml:space="preserve">PAS2, PEP: Protein-tyrosine phosphatase-like, PTPLA </t>
  </si>
  <si>
    <t>AT5G10480.1</t>
  </si>
  <si>
    <t>'Protein-tyrosine phosphatase-like, PTPLA'</t>
  </si>
  <si>
    <t>Nitab4.5_0000292g0060.1</t>
  </si>
  <si>
    <t>XM_016617664.1</t>
  </si>
  <si>
    <t xml:space="preserve">RGE1, ZOU: basic helix-loop-helix (bHLH) DNA-binding superfamily protein </t>
  </si>
  <si>
    <t>AT1G49770.1</t>
  </si>
  <si>
    <t>Nitab4.5_0001031g0080.1</t>
  </si>
  <si>
    <t>XM_016642722.1</t>
  </si>
  <si>
    <t>Nitab4.5_0002247g0180.1</t>
  </si>
  <si>
    <t>XM_016648984.1</t>
  </si>
  <si>
    <t>AT5G04885.1</t>
  </si>
  <si>
    <t>Nitab4.5_0005212g0050.1</t>
  </si>
  <si>
    <t>XM_016596880.1</t>
  </si>
  <si>
    <t xml:space="preserve">CIPK3: CBL-interacting protein kinase 3 </t>
  </si>
  <si>
    <t>AT2G26980.4</t>
  </si>
  <si>
    <t>'CBL-interacting protein kinase 3'</t>
  </si>
  <si>
    <t>Nitab4.5_0000802g0090.1</t>
  </si>
  <si>
    <t>XM_016639374.1</t>
  </si>
  <si>
    <t xml:space="preserve">ASA1, TRP5, AMT1, WEI2, JDL1: anthranilate synthase alpha subunit 1 </t>
  </si>
  <si>
    <t>AT5G05730.1</t>
  </si>
  <si>
    <t>'anthranilate synthase alpha subunit 1'</t>
  </si>
  <si>
    <t>Nitab4.5_0001160g0030.1</t>
  </si>
  <si>
    <t>XM_016646028.1</t>
  </si>
  <si>
    <t xml:space="preserve">IAMT1: IAA carboxylmethyltransferase 1 </t>
  </si>
  <si>
    <t>AT5G55250.1</t>
  </si>
  <si>
    <t>'IAA carboxylmethyltransferase 1'</t>
  </si>
  <si>
    <t>Nitab4.5_0003976g0070.1</t>
  </si>
  <si>
    <t>XM_016580145.1</t>
  </si>
  <si>
    <t xml:space="preserve">CYC3B, CYC2BAT, CYCA2;2: mitotic-like cyclin 3B from Arabidopsis </t>
  </si>
  <si>
    <t>AT1G80370.1</t>
  </si>
  <si>
    <t>'Cyclin A2'</t>
  </si>
  <si>
    <t>Nitab4.5_0003135g0030.1</t>
  </si>
  <si>
    <t>XM_016589007.1</t>
  </si>
  <si>
    <t>AT1G09320.1</t>
  </si>
  <si>
    <t>'agenet domain-containing protein'</t>
  </si>
  <si>
    <t>Nitab4.5_0007214g0020.1</t>
  </si>
  <si>
    <t>XM_016610343.1</t>
  </si>
  <si>
    <t xml:space="preserve">UKL4: uridine kinase-like 4 </t>
  </si>
  <si>
    <t>AT4G26510.2</t>
  </si>
  <si>
    <t>'uridine kinase-like 4'</t>
  </si>
  <si>
    <t>Nitab4.5_0005064g0060.1</t>
  </si>
  <si>
    <t>XM_016620489.1</t>
  </si>
  <si>
    <t xml:space="preserve">ferredoxin-related </t>
  </si>
  <si>
    <t>AT1G02180.1</t>
  </si>
  <si>
    <t>'ferredoxin-related'</t>
  </si>
  <si>
    <t>Nitab4.5_0003914g0030.1</t>
  </si>
  <si>
    <t>XM_016655581.1</t>
  </si>
  <si>
    <t xml:space="preserve">MSI2, MSI02, NFC02, NFC2: Transducin family protein / WD-40 repeat family protein </t>
  </si>
  <si>
    <t>AT2G16780.1</t>
  </si>
  <si>
    <t>'Transducin family protein / WD-40 repeat family protein'</t>
  </si>
  <si>
    <t>Nitab4.5_0000110g0520.1</t>
  </si>
  <si>
    <t>XM_016590771.1</t>
  </si>
  <si>
    <t>AT3G56870.1</t>
  </si>
  <si>
    <t>Nitab4.5_0001780g0070.1</t>
  </si>
  <si>
    <t>XM_016586116.1</t>
  </si>
  <si>
    <t>Nitab4.5_0000321g0190.1</t>
  </si>
  <si>
    <t>XM_016608630.1</t>
  </si>
  <si>
    <t xml:space="preserve">SDE3: P-loop containing nucleoside triphosphate hydrolases superfamily protein </t>
  </si>
  <si>
    <t>AT1G05460.1</t>
  </si>
  <si>
    <t>Nitab4.5_0002494g0040.1</t>
  </si>
  <si>
    <t>XR_001655176.1</t>
  </si>
  <si>
    <t xml:space="preserve">mitochondrial 28S ribosomal protein S29-related </t>
  </si>
  <si>
    <t>AT1G16870.1</t>
  </si>
  <si>
    <t>'mitochondrial 28S ribosomal protein S29-related'</t>
  </si>
  <si>
    <t>Nitab4.5_0003998g0050.1</t>
  </si>
  <si>
    <t>XM_016610608.1</t>
  </si>
  <si>
    <t>Nitab4.5_0000068g0510.1</t>
  </si>
  <si>
    <t>AT1G26700.1</t>
  </si>
  <si>
    <t>'Seven transmembrane MLO family protein'</t>
  </si>
  <si>
    <t>Nitab4.5_0000723g0060.1</t>
  </si>
  <si>
    <t>XM_016591392.1</t>
  </si>
  <si>
    <t xml:space="preserve">BGAL3: beta-galactosidase 3 </t>
  </si>
  <si>
    <t>AT4G36360.1</t>
  </si>
  <si>
    <t>'beta-galactosidase 3'</t>
  </si>
  <si>
    <t>Nitab4.5_0000848g0220.1</t>
  </si>
  <si>
    <t>Nitab4.5_0000182g0080.1</t>
  </si>
  <si>
    <t>XM_016620101.1</t>
  </si>
  <si>
    <t>AT5G59970.1</t>
  </si>
  <si>
    <t>'Histone superfamily protein'</t>
  </si>
  <si>
    <t>Nitab4.5_0002334g0120.1</t>
  </si>
  <si>
    <t>XM_016632995.1</t>
  </si>
  <si>
    <t xml:space="preserve">DHHC-type zinc finger family protein </t>
  </si>
  <si>
    <t>AT4G24630.1</t>
  </si>
  <si>
    <t>'DHHC-type zinc finger family protein'</t>
  </si>
  <si>
    <t>Nitab4.5_0002470g0060.1</t>
  </si>
  <si>
    <t>XM_016656033.1</t>
  </si>
  <si>
    <t xml:space="preserve">zinc finger (CCCH type) helicase family protein </t>
  </si>
  <si>
    <t>AT2G47680.1</t>
  </si>
  <si>
    <t>'zinc finger (CCCH type) helicase family protein'</t>
  </si>
  <si>
    <t>Nitab4.5_0002967g0030.1</t>
  </si>
  <si>
    <t>XM_016585969.1</t>
  </si>
  <si>
    <t xml:space="preserve">CYCB2;3: Cyclin B2;3 </t>
  </si>
  <si>
    <t>AT1G20610.1</t>
  </si>
  <si>
    <t>'Cyclin B2'</t>
  </si>
  <si>
    <t>Nitab4.5_0000147g0350.1</t>
  </si>
  <si>
    <t>XM_016577897.1</t>
  </si>
  <si>
    <t>AT5G50740.1</t>
  </si>
  <si>
    <t>Nitab4.5_0000694g0180.1</t>
  </si>
  <si>
    <t>XM_016621393.1</t>
  </si>
  <si>
    <t xml:space="preserve">ATPAP2, ATLPP2, LPP2: lipid phosphate phosphatase 2 </t>
  </si>
  <si>
    <t>AT1G15080.1</t>
  </si>
  <si>
    <t>'lipid phosphate phosphatase 2'</t>
  </si>
  <si>
    <t>Nitab4.5_0001348g0250.1</t>
  </si>
  <si>
    <t>XM_016590089.1</t>
  </si>
  <si>
    <t xml:space="preserve">MLO1, ATMLO1: Seven transmembrane MLO family protein </t>
  </si>
  <si>
    <t>AT4G02600.2</t>
  </si>
  <si>
    <t>Nitab4.5_0011140g0020.1</t>
  </si>
  <si>
    <t>Nitab4.5_0003695g0010.1</t>
  </si>
  <si>
    <t>XM_016613444.1</t>
  </si>
  <si>
    <t xml:space="preserve">ETG1: E2F target gene 1 </t>
  </si>
  <si>
    <t>AT2G40550.1</t>
  </si>
  <si>
    <t>'E2F target gene 1'</t>
  </si>
  <si>
    <t>Nitab4.5_0000106g0360.1</t>
  </si>
  <si>
    <t>XM_016659465.1</t>
  </si>
  <si>
    <t xml:space="preserve">ATNRT2.4, NRT2.4: nitrate transporter 2.4 </t>
  </si>
  <si>
    <t>AT5G60770.1</t>
  </si>
  <si>
    <t>'nitrate transporter 2.4'</t>
  </si>
  <si>
    <t>Nitab4.5_0009759g0010.1</t>
  </si>
  <si>
    <t>XM_016658953.1</t>
  </si>
  <si>
    <t xml:space="preserve">CYCD3;1, CYCD3: CYCLIN D3;1 </t>
  </si>
  <si>
    <t>AT4G34160.1</t>
  </si>
  <si>
    <t>'CYCLIN D3'</t>
  </si>
  <si>
    <t>Nitab4.5_0000606g0040.1</t>
  </si>
  <si>
    <t>XM_016630258.1</t>
  </si>
  <si>
    <t>AT1G72220.1</t>
  </si>
  <si>
    <t>Nitab4.5_0000338g0050.1</t>
  </si>
  <si>
    <t>XM_016602357.1</t>
  </si>
  <si>
    <t xml:space="preserve">NIK3: NSP-interacting kinase 3 </t>
  </si>
  <si>
    <t>AT1G60800.1</t>
  </si>
  <si>
    <t>'NSP-interacting kinase 3'</t>
  </si>
  <si>
    <t>Nitab4.5_0000957g0120.1</t>
  </si>
  <si>
    <t>XM_016643000.1</t>
  </si>
  <si>
    <t xml:space="preserve">EIR1, WAV6, ATPIN2, PIN2, AGR, AGR1: Auxin efflux carrier family protein </t>
  </si>
  <si>
    <t>AT5G57090.1</t>
  </si>
  <si>
    <t>'Auxin efflux carrier family protein'</t>
  </si>
  <si>
    <t>Nitab4.5_0000016g0030.1</t>
  </si>
  <si>
    <t>XM_016601559.1</t>
  </si>
  <si>
    <t>AT3G57830.1</t>
  </si>
  <si>
    <t>Nitab4.5_0000116g0370.1</t>
  </si>
  <si>
    <t>XM_016631378.1</t>
  </si>
  <si>
    <t>AT4G02320.1</t>
  </si>
  <si>
    <t>Nitab4.5_0000255g0320.1</t>
  </si>
  <si>
    <t>XM_016602886.1</t>
  </si>
  <si>
    <t>unknown protein similar to AT1G54120.1</t>
  </si>
  <si>
    <t>AT1G54120.1</t>
  </si>
  <si>
    <t>Nitab4.5_0001752g0030.1</t>
  </si>
  <si>
    <t>XM_016576788.1</t>
  </si>
  <si>
    <t xml:space="preserve">ATP binding;protein kinases;protein serine/threonine kinases </t>
  </si>
  <si>
    <t>AT2G20635.1</t>
  </si>
  <si>
    <t>'ATP binding'</t>
  </si>
  <si>
    <t>Nitab4.5_0001437g0140.1</t>
  </si>
  <si>
    <t>XM_016643021.1</t>
  </si>
  <si>
    <t>AT2G36290.1</t>
  </si>
  <si>
    <t>Nitab4.5_0001401g0070.1</t>
  </si>
  <si>
    <t>XM_016584971.1</t>
  </si>
  <si>
    <t xml:space="preserve">POK2: phragmoplast orienting kinesin 2 </t>
  </si>
  <si>
    <t>AT3G19050.1</t>
  </si>
  <si>
    <t>'phragmoplast orienting kinesin 2'</t>
  </si>
  <si>
    <t>Nitab4.5_0014443g0010.1</t>
  </si>
  <si>
    <t>XM_016639263.1</t>
  </si>
  <si>
    <t xml:space="preserve">PIP2B, PIP2;2: plasma membrane intrinsic protein 2 </t>
  </si>
  <si>
    <t>AT2G37170.1</t>
  </si>
  <si>
    <t>'plasma membrane intrinsic protein 2'</t>
  </si>
  <si>
    <t>Nitab4.5_0003930g0050.1</t>
  </si>
  <si>
    <t>XM_016578177.1</t>
  </si>
  <si>
    <t>AT4G38050.1</t>
  </si>
  <si>
    <t>'Xanthine/uracil permease family protein'</t>
  </si>
  <si>
    <t>Nitab4.5_0000040g0530.1</t>
  </si>
  <si>
    <t>XM_016621417.1</t>
  </si>
  <si>
    <t>Nitab4.5_0003466g0030.1</t>
  </si>
  <si>
    <t>XM_016604515.1</t>
  </si>
  <si>
    <t xml:space="preserve">UXS4: UDP-xylose synthase 4 </t>
  </si>
  <si>
    <t>AT2G47650.1</t>
  </si>
  <si>
    <t>'UDP-xylose synthase 4'</t>
  </si>
  <si>
    <t>Nitab4.5_0000567g0010.1</t>
  </si>
  <si>
    <t>XM_016592172.1</t>
  </si>
  <si>
    <t>Nitab4.5_0001508g0080.1</t>
  </si>
  <si>
    <t>XM_016632767.1</t>
  </si>
  <si>
    <t>unknown protein similar to AT5G52180.1</t>
  </si>
  <si>
    <t>AT5G52180.1</t>
  </si>
  <si>
    <t>Nitab4.5_0000037g0170.1</t>
  </si>
  <si>
    <t>XM_016598443.1</t>
  </si>
  <si>
    <t>unknown protein similar to AT3G23740.1</t>
  </si>
  <si>
    <t>AT3G23740.1</t>
  </si>
  <si>
    <t>Nitab4.5_0000650g0100.1</t>
  </si>
  <si>
    <t>XM_016660018.1</t>
  </si>
  <si>
    <t xml:space="preserve">Late embryogenesis abundant (LEA) protein-related </t>
  </si>
  <si>
    <t>AT5G60520.1</t>
  </si>
  <si>
    <t>'Late embryogenesis abundant (LEA) protein-related'</t>
  </si>
  <si>
    <t>Nitab4.5_0003761g0030.1</t>
  </si>
  <si>
    <t>XM_016638196.1</t>
  </si>
  <si>
    <t>Nitab4.5_0000009g0300.1</t>
  </si>
  <si>
    <t>XM_016611920.1</t>
  </si>
  <si>
    <t xml:space="preserve">ATGH9B3, ATCEL3, CEL3: cellulase 3 </t>
  </si>
  <si>
    <t>AT1G71380.1</t>
  </si>
  <si>
    <t>'cellulase 3'</t>
  </si>
  <si>
    <t>Nitab4.5_0003546g0070.1</t>
  </si>
  <si>
    <t>XM_016628354.1</t>
  </si>
  <si>
    <t xml:space="preserve">HSBP, AtHSBP: heat shock factor binding protein </t>
  </si>
  <si>
    <t>AT4G15802.1</t>
  </si>
  <si>
    <t>'heat shock factor binding protein'</t>
  </si>
  <si>
    <t>Nitab4.5_0000310g0230.1</t>
  </si>
  <si>
    <t>XM_016652944.1</t>
  </si>
  <si>
    <t xml:space="preserve">CRK: CDPK-related kinase </t>
  </si>
  <si>
    <t>AT3G50530.1</t>
  </si>
  <si>
    <t>'CDPK-related kinase'</t>
  </si>
  <si>
    <t>Nitab4.5_0000250g0210.1</t>
  </si>
  <si>
    <t>XM_016590478.1</t>
  </si>
  <si>
    <t xml:space="preserve">Protein of unknown function (DUF630 and DUF632) </t>
  </si>
  <si>
    <t>AT5G25590.1</t>
  </si>
  <si>
    <t>'Protein of unknown function (DUF630 and DUF632)'</t>
  </si>
  <si>
    <t>Nitab4.5_0001336g0010.1</t>
  </si>
  <si>
    <t>XM_016601696.1</t>
  </si>
  <si>
    <t xml:space="preserve">ATCOX17, COX17: cytochrome c oxidase 17 </t>
  </si>
  <si>
    <t>Nitab4.5_0001477g0110.1</t>
  </si>
  <si>
    <t>XM_016620395.1</t>
  </si>
  <si>
    <t>AT4G17000.1</t>
  </si>
  <si>
    <t>Nitab4.5_0000677g0170.1</t>
  </si>
  <si>
    <t>XM_016654854.1</t>
  </si>
  <si>
    <t>AT1G34060.1</t>
  </si>
  <si>
    <t>Nitab4.5_0000807g0190.1</t>
  </si>
  <si>
    <t>XM_016589690.1</t>
  </si>
  <si>
    <t>Nitab4.5_0009553g0010.1</t>
  </si>
  <si>
    <t>XM_016629729.1</t>
  </si>
  <si>
    <t>AT3G08947.1</t>
  </si>
  <si>
    <t>Nitab4.5_0009820g0020.1</t>
  </si>
  <si>
    <t>XM_016633406.1</t>
  </si>
  <si>
    <t>AT3G61490.3</t>
  </si>
  <si>
    <t>Nitab4.5_0004524g0070.1</t>
  </si>
  <si>
    <t>XM_016656075.1</t>
  </si>
  <si>
    <t>Nitab4.5_0000347g0160.1</t>
  </si>
  <si>
    <t>XM_016586441.1</t>
  </si>
  <si>
    <t xml:space="preserve">Putative adipose-regulatory protein (Seipin) </t>
  </si>
  <si>
    <t>AT1G29760.1</t>
  </si>
  <si>
    <t>'Putative adipose-regulatory protein (Seipin)'</t>
  </si>
  <si>
    <t>Nitab4.5_0010422g0030.1</t>
  </si>
  <si>
    <t>XM_016593344.1</t>
  </si>
  <si>
    <t>Nitab4.5_0000401g0120.1</t>
  </si>
  <si>
    <t>XM_016607051.1</t>
  </si>
  <si>
    <t xml:space="preserve">ATSPS3F, SPS3F: sucrose phosphate synthase 3F </t>
  </si>
  <si>
    <t>AT1G04920.1</t>
  </si>
  <si>
    <t>'sucrose phosphate synthase 3F'</t>
  </si>
  <si>
    <t>Nitab4.5_0003092g0040.1</t>
  </si>
  <si>
    <t>XM_016601484.1</t>
  </si>
  <si>
    <t>AT4G01730.1</t>
  </si>
  <si>
    <t>Nitab4.5_0000496g0280.1</t>
  </si>
  <si>
    <t>XM_016604631.1</t>
  </si>
  <si>
    <t>unknown protein similar to AT5G41980.1</t>
  </si>
  <si>
    <t>AT5G41980.1</t>
  </si>
  <si>
    <t>Nitab4.5_0000680g0020.1</t>
  </si>
  <si>
    <t>XM_016658457.1</t>
  </si>
  <si>
    <t>AT2G36570.1</t>
  </si>
  <si>
    <t>Nitab4.5_0001441g0010.1</t>
  </si>
  <si>
    <t>XM_016584643.1</t>
  </si>
  <si>
    <t xml:space="preserve">Helicase protein with RING/U-box domain </t>
  </si>
  <si>
    <t>AT5G43530.1</t>
  </si>
  <si>
    <t>'Helicase protein with RING/U-box domain'</t>
  </si>
  <si>
    <t>Nitab4.5_0006878g0010.1</t>
  </si>
  <si>
    <t>XM_016597374.1</t>
  </si>
  <si>
    <t xml:space="preserve">UBC19: ubiquitin-conjugating enzyme19 </t>
  </si>
  <si>
    <t>AT3G20060.1</t>
  </si>
  <si>
    <t>'ubiquitin-conjugating enzyme19'</t>
  </si>
  <si>
    <t>Nitab4.5_0006448g0040.1</t>
  </si>
  <si>
    <t>XM_016608422.1</t>
  </si>
  <si>
    <t>Nitab4.5_0008306g0040.1</t>
  </si>
  <si>
    <t>XM_016658499.1</t>
  </si>
  <si>
    <t>Nitab4.5_0008572g0010.1</t>
  </si>
  <si>
    <t>XM_016591615.1</t>
  </si>
  <si>
    <t>Nitab4.5_0004027g0010.1</t>
  </si>
  <si>
    <t>XM_016587991.1</t>
  </si>
  <si>
    <t xml:space="preserve">GDSL-like Lipase/Acylhydrolase superfamily protein </t>
  </si>
  <si>
    <t>AT1G28590.1</t>
  </si>
  <si>
    <t>'GDSL-like Lipase/Acylhydrolase superfamily protein'</t>
  </si>
  <si>
    <t>Nitab4.5_0000038g0100.1</t>
  </si>
  <si>
    <t>XM_016594331.1</t>
  </si>
  <si>
    <t>unknown protein similar to AT2G26470.1</t>
  </si>
  <si>
    <t>AT2G26470.1</t>
  </si>
  <si>
    <t>Nitab4.5_0000190g0060.1</t>
  </si>
  <si>
    <t>XM_016602757.1</t>
  </si>
  <si>
    <t>unknown protein similar to AT4G21500.1</t>
  </si>
  <si>
    <t>Nitab4.5_0002998g0040.1</t>
  </si>
  <si>
    <t>XM_016622891.1</t>
  </si>
  <si>
    <t xml:space="preserve">Plant protein of unknown function (DUF827) </t>
  </si>
  <si>
    <t>AT5G16730.1</t>
  </si>
  <si>
    <t>'Plant protein of unknown function (DUF827)'</t>
  </si>
  <si>
    <t>Nitab4.5_0004928g0040.1</t>
  </si>
  <si>
    <t>XM_016586051.1</t>
  </si>
  <si>
    <t>Nitab4.5_0003273g0050.1</t>
  </si>
  <si>
    <t>Nitab4.5_0014621g0010.1</t>
  </si>
  <si>
    <t>XM_016602916.1</t>
  </si>
  <si>
    <t xml:space="preserve">PHR1, AtPHR1: phosphate starvation response  1 </t>
  </si>
  <si>
    <t>AT4G28610.1</t>
  </si>
  <si>
    <t>'phosphate starvation response  1'</t>
  </si>
  <si>
    <t>Nitab4.5_0001456g0210.1</t>
  </si>
  <si>
    <t>XM_016600610.1</t>
  </si>
  <si>
    <t xml:space="preserve">NMT1, XPL1, PEAMT: S-adenosyl-L-methionine-dependent methyltransferases superfamily protein </t>
  </si>
  <si>
    <t>AT3G18000.1</t>
  </si>
  <si>
    <t>'S-adenosyl-L-methionine-dependent methyltransferases superfamily protein'</t>
  </si>
  <si>
    <t>Nitab4.5_0000195g0180.1</t>
  </si>
  <si>
    <t>XM_016637111.1</t>
  </si>
  <si>
    <t>unknown protein similar to AT5G58250.1</t>
  </si>
  <si>
    <t>AT5G58250.1</t>
  </si>
  <si>
    <t>Nitab4.5_0006142g0050.1</t>
  </si>
  <si>
    <t>XM_016622818.1</t>
  </si>
  <si>
    <t xml:space="preserve">Mitogen activated protein kinase kinase kinase-related </t>
  </si>
  <si>
    <t>AT3G58640.2</t>
  </si>
  <si>
    <t>'Mitogen activated protein kinase kinase kinase-related'</t>
  </si>
  <si>
    <t>Nitab4.5_0003298g0010.1</t>
  </si>
  <si>
    <t>XM_016598835.1</t>
  </si>
  <si>
    <t xml:space="preserve">Remorin family protein </t>
  </si>
  <si>
    <t>AT1G45207.2</t>
  </si>
  <si>
    <t>'Remorin family protein'</t>
  </si>
  <si>
    <t>Nitab4.5_0000032g0190.1</t>
  </si>
  <si>
    <t>XM_016604731.1</t>
  </si>
  <si>
    <t>AT2G38255.1</t>
  </si>
  <si>
    <t>'Protein of Unknown Function (DUF239)'</t>
  </si>
  <si>
    <t>Nitab4.5_0004928g0010.1</t>
  </si>
  <si>
    <t>XM_016630110.1</t>
  </si>
  <si>
    <t>AT3G03130.1</t>
  </si>
  <si>
    <t>Nitab4.5_0000903g0070.1</t>
  </si>
  <si>
    <t>XM_016647276.1</t>
  </si>
  <si>
    <t xml:space="preserve">CYTC-2: cytochrome c-2 </t>
  </si>
  <si>
    <t>AT4G10040.1</t>
  </si>
  <si>
    <t>'cytochrome c-2'</t>
  </si>
  <si>
    <t>Nitab4.5_0001922g0050.1</t>
  </si>
  <si>
    <t>XM_016614263.1</t>
  </si>
  <si>
    <t xml:space="preserve">ATCSLA09, CSLA09, ATCSLA9, CSLA9, RAT4: Nucleotide-diphospho-sugar transferases superfamily protein </t>
  </si>
  <si>
    <t>AT5G03760.1</t>
  </si>
  <si>
    <t>'Nucleotide-diphospho-sugar transferases superfamily protein'</t>
  </si>
  <si>
    <t>Nitab4.5_0010051g0010.1</t>
  </si>
  <si>
    <t>XM_016627603.1</t>
  </si>
  <si>
    <t xml:space="preserve">ACOS5: acyl-CoA synthetase 5 </t>
  </si>
  <si>
    <t>AT1G62940.1</t>
  </si>
  <si>
    <t>'acyl-CoA synthetase 5'</t>
  </si>
  <si>
    <t>Nitab4.5_0000849g0010.1</t>
  </si>
  <si>
    <t>XM_016608510.1</t>
  </si>
  <si>
    <t xml:space="preserve">SAG29, SWEET15, AtSWEET15: senescence-associated gene 29 </t>
  </si>
  <si>
    <t>AT5G13170.1</t>
  </si>
  <si>
    <t>'senescence-associated gene 29'</t>
  </si>
  <si>
    <t>Nitab4.5_0006661g0030.1</t>
  </si>
  <si>
    <t>XM_016597009.1</t>
  </si>
  <si>
    <t>AT1G52565.1</t>
  </si>
  <si>
    <t>Nitab4.5_0009685g0020.1</t>
  </si>
  <si>
    <t>XM_016624345.1</t>
  </si>
  <si>
    <t xml:space="preserve">Zinc-binding dehydrogenase family protein </t>
  </si>
  <si>
    <t>AT1G65560.1</t>
  </si>
  <si>
    <t>'Zinc-binding dehydrogenase family protein'</t>
  </si>
  <si>
    <t>Nitab4.5_0000015g0250.1</t>
  </si>
  <si>
    <t>XM_016590242.1</t>
  </si>
  <si>
    <t xml:space="preserve">ATXR6, SDG34: ARABIDOPSIS TRITHORAX-RELATED PROTEIN 6 </t>
  </si>
  <si>
    <t>AT5G24330.1</t>
  </si>
  <si>
    <t>'ARABIDOPSIS TRITHORAX-RELATED PROTEIN 6'</t>
  </si>
  <si>
    <t>Nitab4.5_0000934g0070.1</t>
  </si>
  <si>
    <t>XM_016626004.1</t>
  </si>
  <si>
    <t>AT5G43140.1</t>
  </si>
  <si>
    <t>Nitab4.5_0006988g0030.1</t>
  </si>
  <si>
    <t xml:space="preserve">EXGT-A4, XTH5: xyloglucan endotransglucosylase/hydrolase 5 </t>
  </si>
  <si>
    <t>AT5G13870.1</t>
  </si>
  <si>
    <t>'xyloglucan endotransglucosylase/hydrolase 5'</t>
  </si>
  <si>
    <t>Nitab4.5_0002780g0070.1</t>
  </si>
  <si>
    <t>XM_016606124.1</t>
  </si>
  <si>
    <t>Nitab4.5_0000718g0240.1</t>
  </si>
  <si>
    <t>XM_016631640.1</t>
  </si>
  <si>
    <t>Nitab4.5_0000044g0510.1</t>
  </si>
  <si>
    <t>XM_016622774.1</t>
  </si>
  <si>
    <t>AT4G14330.1</t>
  </si>
  <si>
    <t>Nitab4.5_0008221g0030.1</t>
  </si>
  <si>
    <t>XM_016588791.1</t>
  </si>
  <si>
    <t>Nitab4.5_0003855g0010.1</t>
  </si>
  <si>
    <t>XM_016578741.1</t>
  </si>
  <si>
    <t>AT5G37790.1</t>
  </si>
  <si>
    <t>Nitab4.5_0007266g0020.1</t>
  </si>
  <si>
    <t xml:space="preserve">CYP96A1: cytochrome P450, family 96, subfamily A, polypeptide 1 </t>
  </si>
  <si>
    <t>Nitab4.5_0000753g0110.1</t>
  </si>
  <si>
    <t>XM_016648264.1</t>
  </si>
  <si>
    <t>AT3G20070.2</t>
  </si>
  <si>
    <t>'titan9'</t>
  </si>
  <si>
    <t>Nitab4.5_0011894g0010.1</t>
  </si>
  <si>
    <t>XM_016659538.1</t>
  </si>
  <si>
    <t>Nitab4.5_0006709g0030.1</t>
  </si>
  <si>
    <t>XM_016613163.1</t>
  </si>
  <si>
    <t xml:space="preserve">Protein kinase family protein </t>
  </si>
  <si>
    <t>AT5G02070.1</t>
  </si>
  <si>
    <t>'Protein kinase family protein'</t>
  </si>
  <si>
    <t>Nitab4.5_0005641g0040.1</t>
  </si>
  <si>
    <t>XM_016609515.1</t>
  </si>
  <si>
    <t>Nitab4.5_0007759g0010.1</t>
  </si>
  <si>
    <t>XM_016647761.1</t>
  </si>
  <si>
    <t xml:space="preserve">SMT2, CVP1, FRL1: sterol methyltransferase 2 </t>
  </si>
  <si>
    <t>Nitab4.5_0000092g0250.1</t>
  </si>
  <si>
    <t>XM_016601160.1</t>
  </si>
  <si>
    <t xml:space="preserve">ENDO 2: endonuclease 2 </t>
  </si>
  <si>
    <t>AT1G68290.1</t>
  </si>
  <si>
    <t>'endonuclease 2'</t>
  </si>
  <si>
    <t>Nitab4.5_0000040g0500.1</t>
  </si>
  <si>
    <t>XM_016621422.1</t>
  </si>
  <si>
    <t>Nitab4.5_0000404g0180.1</t>
  </si>
  <si>
    <t>XM_016645000.1</t>
  </si>
  <si>
    <t>AT2G24370.1</t>
  </si>
  <si>
    <t>Nitab4.5_0004201g0020.1</t>
  </si>
  <si>
    <t>XM_016635352.1</t>
  </si>
  <si>
    <t>unknown protein similar to AT5G18310.2</t>
  </si>
  <si>
    <t>AT5G18310.2</t>
  </si>
  <si>
    <t>Nitab4.5_0009681g0030.1</t>
  </si>
  <si>
    <t>XM_016602634.1</t>
  </si>
  <si>
    <t>AT5G52290.1</t>
  </si>
  <si>
    <t>'shortage in chiasmata 1'</t>
  </si>
  <si>
    <t>Nitab4.5_0002938g0010.1</t>
  </si>
  <si>
    <t>XM_016591420.1</t>
  </si>
  <si>
    <t>AT2G38370.1</t>
  </si>
  <si>
    <t>Nitab4.5_0003851g0010.1</t>
  </si>
  <si>
    <t>XM_016647507.1</t>
  </si>
  <si>
    <t>Nitab4.5_0004944g0050.1</t>
  </si>
  <si>
    <t>XM_016607237.1</t>
  </si>
  <si>
    <t xml:space="preserve">RPA2, ATRPA2, ROR1, ATRPA32A, RPA32A: replicon protein A2 </t>
  </si>
  <si>
    <t>AT2G24490.2</t>
  </si>
  <si>
    <t>'replicon protein A2'</t>
  </si>
  <si>
    <t>Nitab4.5_0011031g0010.1</t>
  </si>
  <si>
    <t>XM_016634838.1</t>
  </si>
  <si>
    <t xml:space="preserve">MAN2, AtMAN2: Glycosyl hydrolase superfamily protein </t>
  </si>
  <si>
    <t>AT2G20680.1</t>
  </si>
  <si>
    <t>Nitab4.5_0000525g0180.1</t>
  </si>
  <si>
    <t>XM_016606855.1</t>
  </si>
  <si>
    <t>AT4G14660.1</t>
  </si>
  <si>
    <t>'RNA polymerase Rpb7-like, N-terminal domain'</t>
  </si>
  <si>
    <t>Nitab4.5_0006775g0050.1</t>
  </si>
  <si>
    <t>XM_016654591.1</t>
  </si>
  <si>
    <t xml:space="preserve">SGNH hydrolase-type esterase superfamily protein </t>
  </si>
  <si>
    <t>AT4G10950.1</t>
  </si>
  <si>
    <t>'SGNH hydrolase-type esterase superfamily protein'</t>
  </si>
  <si>
    <t>Nitab4.5_0000124g0100.1</t>
  </si>
  <si>
    <t>Nitab4.5_0006966g0010.1</t>
  </si>
  <si>
    <t>XM_016612651.1</t>
  </si>
  <si>
    <t>Nitab4.5_0001317g0100.1</t>
  </si>
  <si>
    <t>XM_016577303.1</t>
  </si>
  <si>
    <t xml:space="preserve">MATE efflux family protein </t>
  </si>
  <si>
    <t>AT2G21340.1</t>
  </si>
  <si>
    <t>'MATE efflux family protein'</t>
  </si>
  <si>
    <t>Nitab4.5_0001175g0090.1</t>
  </si>
  <si>
    <t>XM_016621469.1</t>
  </si>
  <si>
    <t>AT1G75490.1</t>
  </si>
  <si>
    <t>Nitab4.5_0002234g0100.1</t>
  </si>
  <si>
    <t>XM_016621229.1</t>
  </si>
  <si>
    <t xml:space="preserve">ATBAG3, BAG3: BCL-2-associated athanogene 3 </t>
  </si>
  <si>
    <t>AT5G07220.1</t>
  </si>
  <si>
    <t>'BCL-2-associated athanogene 3'</t>
  </si>
  <si>
    <t>Nitab4.5_0000151g0280.1</t>
  </si>
  <si>
    <t>XM_016647245.1</t>
  </si>
  <si>
    <t xml:space="preserve">ATBOR4, BOR4: HCO3- transporter family </t>
  </si>
  <si>
    <t>AT1G15460.1</t>
  </si>
  <si>
    <t>Nitab4.5_0000228g0090.1</t>
  </si>
  <si>
    <t>XM_016629623.1</t>
  </si>
  <si>
    <t>AT5G07475.1</t>
  </si>
  <si>
    <t>'Cupredoxin superfamily protein'</t>
  </si>
  <si>
    <t>Nitab4.5_0000733g0150.1</t>
  </si>
  <si>
    <t>XM_016628188.1</t>
  </si>
  <si>
    <t xml:space="preserve">AtAUR3, AUR3: ataurora3 </t>
  </si>
  <si>
    <t>AT2G45490.1</t>
  </si>
  <si>
    <t>'ataurora3'</t>
  </si>
  <si>
    <t>Nitab4.5_0007586g0020.1</t>
  </si>
  <si>
    <t>XM_016653864.1</t>
  </si>
  <si>
    <t xml:space="preserve">DEL1, E2L3, E2FE: DP-E2F-like 1 </t>
  </si>
  <si>
    <t>AT3G48160.2</t>
  </si>
  <si>
    <t>'DP-E2F-like 1'</t>
  </si>
  <si>
    <t>Nitab4.5_0000707g0010.1</t>
  </si>
  <si>
    <t>XM_016634056.1</t>
  </si>
  <si>
    <t>XM_016658733.1</t>
  </si>
  <si>
    <t>Nitab4.5_0000376g0030.1</t>
  </si>
  <si>
    <t>XM_016595783.1</t>
  </si>
  <si>
    <t xml:space="preserve">ARAC2, RAC2, ROP7, ATRAC2, ATROP7: RAC-like 2 </t>
  </si>
  <si>
    <t>AT5G45970.1</t>
  </si>
  <si>
    <t>'RAC-like 2'</t>
  </si>
  <si>
    <t>Nitab4.5_0003624g0060.1</t>
  </si>
  <si>
    <t>XR_001652035.1</t>
  </si>
  <si>
    <t>Nitab4.5_0003477g0040.1</t>
  </si>
  <si>
    <t>XM_016596819.1</t>
  </si>
  <si>
    <t xml:space="preserve">basic helix-loop-helix (bHLH) DNA-binding superfamily protein </t>
  </si>
  <si>
    <t>AT3G57800.2</t>
  </si>
  <si>
    <t>Nitab4.5_0004944g0030.1</t>
  </si>
  <si>
    <t>XM_016583881.1</t>
  </si>
  <si>
    <t xml:space="preserve">Auxin efflux carrier family protein </t>
  </si>
  <si>
    <t>AT2G17500.4</t>
  </si>
  <si>
    <t>Nitab4.5_0001366g0040.1</t>
  </si>
  <si>
    <t>XM_016599097.1</t>
  </si>
  <si>
    <t xml:space="preserve">Peptidase C15, pyroglutamyl peptidase I-like </t>
  </si>
  <si>
    <t>AT1G23440.1</t>
  </si>
  <si>
    <t>'Peptidase C15, pyroglutamyl peptidase I-like'</t>
  </si>
  <si>
    <t>Nitab4.5_0004711g0010.1</t>
  </si>
  <si>
    <t>XM_016652769.1</t>
  </si>
  <si>
    <t xml:space="preserve">DDM1, CHR01, CHR1, CHA1, SOM4, SOM1, ATDDM1 </t>
  </si>
  <si>
    <t>AT5G66750.1</t>
  </si>
  <si>
    <t>'chromatin remodeling 1'</t>
  </si>
  <si>
    <t>Nitab4.5_0001033g0080.1</t>
  </si>
  <si>
    <t>XM_016614331.1</t>
  </si>
  <si>
    <t>AT2G35670.1</t>
  </si>
  <si>
    <t>'VEFS-Box of polycomb protein'</t>
  </si>
  <si>
    <t>Nitab4.5_0005050g0030.1</t>
  </si>
  <si>
    <t>XM_016622722.1</t>
  </si>
  <si>
    <t>unknown protein similar to AT3G60660.1</t>
  </si>
  <si>
    <t>AT3G60660.1</t>
  </si>
  <si>
    <t>Nitab4.5_0000062g0560.1</t>
  </si>
  <si>
    <t>XM_016589715.1</t>
  </si>
  <si>
    <t>AT3G03620.1</t>
  </si>
  <si>
    <t>Nitab4.5_0001891g0120.1</t>
  </si>
  <si>
    <t>XM_016657003.1</t>
  </si>
  <si>
    <t>AT4G38670.3</t>
  </si>
  <si>
    <t>Nitab4.5_0005326g0040.1</t>
  </si>
  <si>
    <t>XM_016600802.1</t>
  </si>
  <si>
    <t>Nitab4.5_0001542g0170.1</t>
  </si>
  <si>
    <t>XM_016644853.1</t>
  </si>
  <si>
    <t>AT5G65360.1</t>
  </si>
  <si>
    <t>Nitab4.5_0001044g0070.1</t>
  </si>
  <si>
    <t>XM_016658380.1</t>
  </si>
  <si>
    <t xml:space="preserve">HTA11: histone H2A 11 </t>
  </si>
  <si>
    <t>AT3G54560.1</t>
  </si>
  <si>
    <t>'histone H2A 11'</t>
  </si>
  <si>
    <t>Nitab4.5_0000010g0240.1</t>
  </si>
  <si>
    <t>XM_016611494.1</t>
  </si>
  <si>
    <t xml:space="preserve">Cell division control, Cdc6 </t>
  </si>
  <si>
    <t>AT2G29680.2</t>
  </si>
  <si>
    <t>'cell division control 6'</t>
  </si>
  <si>
    <t>Nitab4.5_0008022g0030.1</t>
  </si>
  <si>
    <t>XM_016650103.1</t>
  </si>
  <si>
    <t>Nitab4.5_0003139g0100.1</t>
  </si>
  <si>
    <t>XM_016595400.1</t>
  </si>
  <si>
    <t xml:space="preserve">TES, ATNACK2, NACK2: ATP binding microtubule motor family protein </t>
  </si>
  <si>
    <t>AT3G43210.1</t>
  </si>
  <si>
    <t>'ATP binding microtubule motor family protein'</t>
  </si>
  <si>
    <t>Nitab4.5_0006755g0010.1</t>
  </si>
  <si>
    <t>XM_016634451.1</t>
  </si>
  <si>
    <t xml:space="preserve">TET1, TRN2: Tetraspanin family protein </t>
  </si>
  <si>
    <t>AT5G46700.1</t>
  </si>
  <si>
    <t>'Tetraspanin family protein'</t>
  </si>
  <si>
    <t>Nitab4.5_0004241g0050.1</t>
  </si>
  <si>
    <t>XM_016613659.1</t>
  </si>
  <si>
    <t>AT4G12540.1</t>
  </si>
  <si>
    <t>Nitab4.5_0002278g0050.1</t>
  </si>
  <si>
    <t>XM_016609721.1</t>
  </si>
  <si>
    <t>unknown protein similar to AT5G12930.1</t>
  </si>
  <si>
    <t>AT5G12930.1</t>
  </si>
  <si>
    <t>Nitab4.5_0005776g0030.1</t>
  </si>
  <si>
    <t>XM_016583796.1</t>
  </si>
  <si>
    <t>unknown protein similar to AT2G40070.1</t>
  </si>
  <si>
    <t>AT2G40070.1</t>
  </si>
  <si>
    <t>Nitab4.5_0005056g0070.1</t>
  </si>
  <si>
    <t>XM_016639359.1</t>
  </si>
  <si>
    <t xml:space="preserve">EDE1, QWRF5: Family of unknown function (DUF566)  </t>
  </si>
  <si>
    <t>AT2G44190.1</t>
  </si>
  <si>
    <t>'Family of unknown function (DUF566)'</t>
  </si>
  <si>
    <t>Nitab4.5_0002320g0020.1</t>
  </si>
  <si>
    <t>XM_016592398.1</t>
  </si>
  <si>
    <t xml:space="preserve">HCT: hydroxycinnamoyl-CoA shikimate/quinate hydroxycinnamoyl transferase </t>
  </si>
  <si>
    <t>AT5G48930.1</t>
  </si>
  <si>
    <t>'hydroxycinnamoyl-CoA shikimate/quinate hydroxycinnamoyl transferase'</t>
  </si>
  <si>
    <t>Nitab4.5_0004481g0020.1</t>
  </si>
  <si>
    <t>XM_016637455.1</t>
  </si>
  <si>
    <t xml:space="preserve">WRKY22, AtWRKY22: WRKY family transcription factor </t>
  </si>
  <si>
    <t>AT4G01250.1</t>
  </si>
  <si>
    <t>'WRKY family transcription factor'</t>
  </si>
  <si>
    <t>Nitab4.5_0000159g0160.1</t>
  </si>
  <si>
    <t>XM_016632139.1</t>
  </si>
  <si>
    <t xml:space="preserve">ATPS1, PS1: forkhead-associated (FHA) domain-containing protein  </t>
  </si>
  <si>
    <t>AT1G34355.1</t>
  </si>
  <si>
    <t>'forkhead-associated (FHA) domain-containing protein'</t>
  </si>
  <si>
    <t>Nitab4.5_0000163g0200.1</t>
  </si>
  <si>
    <t>XM_016647645.1</t>
  </si>
  <si>
    <t xml:space="preserve">FLA1: FASCICLIN-like arabinogalactan 1 </t>
  </si>
  <si>
    <t>Nitab4.5_0001091g0080.1</t>
  </si>
  <si>
    <t>XM_016577514.1</t>
  </si>
  <si>
    <t xml:space="preserve">SWEET11, AtSWEET11: Nodulin MtN3 family protein </t>
  </si>
  <si>
    <t>AT3G48740.1</t>
  </si>
  <si>
    <t>Nitab4.5_0003652g0030.1</t>
  </si>
  <si>
    <t>XM_016610160.1</t>
  </si>
  <si>
    <t xml:space="preserve">TTN9: titan9 </t>
  </si>
  <si>
    <t>Nitab4.5_0007471g0030.1</t>
  </si>
  <si>
    <t>XM_016623187.1</t>
  </si>
  <si>
    <t xml:space="preserve">ATHSGBP, ATRAB11B, ATRABA1D, RABA1d: RAB GTPase homolog A1D </t>
  </si>
  <si>
    <t>AT4G18800.1</t>
  </si>
  <si>
    <t>'RAB GTPase homolog A1D'</t>
  </si>
  <si>
    <t>Nitab4.5_0009751g0020.1</t>
  </si>
  <si>
    <t>XM_016583312.1</t>
  </si>
  <si>
    <t>AT5G09760.1</t>
  </si>
  <si>
    <t>Nitab4.5_0000785g0130.1</t>
  </si>
  <si>
    <t>XM_016609735.1</t>
  </si>
  <si>
    <t xml:space="preserve">ATATH6, ATH6: ABC2 homolog 6 </t>
  </si>
  <si>
    <t>AT3G47780.1</t>
  </si>
  <si>
    <t>'ABC2 homolog 6'</t>
  </si>
  <si>
    <t>Nitab4.5_0001373g0050.1</t>
  </si>
  <si>
    <t xml:space="preserve">ATEB1C, EB1C, ATEB1H1: end binding protein 1C </t>
  </si>
  <si>
    <t>AT5G67270.1</t>
  </si>
  <si>
    <t>'end binding protein 1C'</t>
  </si>
  <si>
    <t>Nitab4.5_0004615g0100.1</t>
  </si>
  <si>
    <t>XM_016632295.1</t>
  </si>
  <si>
    <t xml:space="preserve">Protein with RING/U-box and TRAF-like domains </t>
  </si>
  <si>
    <t>AT3G61790.1</t>
  </si>
  <si>
    <t>'Protein with RING/U-box and TRAF-like domains'</t>
  </si>
  <si>
    <t>Nitab4.5_0003187g0030.1</t>
  </si>
  <si>
    <t>XM_016603224.1</t>
  </si>
  <si>
    <t xml:space="preserve">ATRAD17, RAD17: RADIATION SENSITIVE 17 </t>
  </si>
  <si>
    <t>AT5G66130.1</t>
  </si>
  <si>
    <t>'RADIATION SENSITIVE 17'</t>
  </si>
  <si>
    <t>Nitab4.5_0009137g0040.1</t>
  </si>
  <si>
    <t>XM_016586067.1</t>
  </si>
  <si>
    <t xml:space="preserve">Phototropic-responsive NPH3 family protein </t>
  </si>
  <si>
    <t>AT5G67385.1</t>
  </si>
  <si>
    <t>Nitab4.5_0006854g0020.1</t>
  </si>
  <si>
    <t>XM_016646981.1</t>
  </si>
  <si>
    <t xml:space="preserve">Protein of unknown function, DUF642 </t>
  </si>
  <si>
    <t>AT5G11420.1</t>
  </si>
  <si>
    <t>'Protein of unknown function, DUF642'</t>
  </si>
  <si>
    <t>Nitab4.5_0000441g0020.1</t>
  </si>
  <si>
    <t>XM_016601982.1</t>
  </si>
  <si>
    <t>AT5G65560.1</t>
  </si>
  <si>
    <t>Nitab4.5_0000436g0090.1</t>
  </si>
  <si>
    <t>XM_016610342.1</t>
  </si>
  <si>
    <t>AT4G24000.1</t>
  </si>
  <si>
    <t>'cellulose synthase like G2'</t>
  </si>
  <si>
    <t>Nitab4.5_0002723g0070.1</t>
  </si>
  <si>
    <t>XM_016629036.1</t>
  </si>
  <si>
    <t xml:space="preserve">Kinesin motor family protein </t>
  </si>
  <si>
    <t>AT4G39050.1</t>
  </si>
  <si>
    <t>'Kinesin motor family protein'</t>
  </si>
  <si>
    <t>Nitab4.5_0004647g0020.1</t>
  </si>
  <si>
    <t>XM_016629000.1</t>
  </si>
  <si>
    <t xml:space="preserve">Pectate lyase family protein </t>
  </si>
  <si>
    <t>AT1G67750.1</t>
  </si>
  <si>
    <t>'Pectate lyase family protein'</t>
  </si>
  <si>
    <t>Nitab4.5_0004036g0010.1</t>
  </si>
  <si>
    <t>XM_016638506.1</t>
  </si>
  <si>
    <t>AT2G32300.1</t>
  </si>
  <si>
    <t>'uclacyanin 1'</t>
  </si>
  <si>
    <t>Nitab4.5_0001254g0040.1</t>
  </si>
  <si>
    <t>XM_016657382.1</t>
  </si>
  <si>
    <t xml:space="preserve">Thioesterase superfamily protein </t>
  </si>
  <si>
    <t>AT5G10160.1</t>
  </si>
  <si>
    <t>'Thioesterase superfamily protein'</t>
  </si>
  <si>
    <t>Nitab4.5_0004086g0060.1</t>
  </si>
  <si>
    <t>XM_016591336.1</t>
  </si>
  <si>
    <t xml:space="preserve">GATA5: GATA transcription factor 5 </t>
  </si>
  <si>
    <t>AT5G66320.2</t>
  </si>
  <si>
    <t>'GATA transcription factor 5'</t>
  </si>
  <si>
    <t>Nitab4.5_0003586g0060.1</t>
  </si>
  <si>
    <t>XM_016631747.1</t>
  </si>
  <si>
    <t xml:space="preserve">ATHB13: Homeobox-leucine zipper protein family </t>
  </si>
  <si>
    <t>AT1G69780.1</t>
  </si>
  <si>
    <t>'Homeobox-leucine zipper protein family'</t>
  </si>
  <si>
    <t>Nitab4.5_0000761g0050.1</t>
  </si>
  <si>
    <t>XM_016644613.1</t>
  </si>
  <si>
    <t>unknown protein similar to AT5G02520.1</t>
  </si>
  <si>
    <t>AT5G02520.1</t>
  </si>
  <si>
    <t>Nitab4.5_0003310g0040.1</t>
  </si>
  <si>
    <t>XM_016627906.1</t>
  </si>
  <si>
    <t xml:space="preserve">AtGH9B8, GH9B8: glycosyl hydrolase 9B8 </t>
  </si>
  <si>
    <t>AT2G32990.1</t>
  </si>
  <si>
    <t>'glycosyl hydrolase 9B8'</t>
  </si>
  <si>
    <t>Nitab4.5_0011205g0020.1</t>
  </si>
  <si>
    <t>XM_016609875.1</t>
  </si>
  <si>
    <t xml:space="preserve">Leucine-rich receptor-like protein kinase family protein </t>
  </si>
  <si>
    <t>Nitab4.5_0001634g0060.1</t>
  </si>
  <si>
    <t>XM_016647333.1</t>
  </si>
  <si>
    <t xml:space="preserve">FIT1, ATBHLH029, FRU, BHLH029, ATBHLH29, ATFIT1: FER-like regulator of iron uptake </t>
  </si>
  <si>
    <t>AT2G28160.1</t>
  </si>
  <si>
    <t>'FER-like regulator of iron uptake'</t>
  </si>
  <si>
    <t>Nitab4.5_0003011g0080.1</t>
  </si>
  <si>
    <t>XM_016578072.1</t>
  </si>
  <si>
    <t>Nitab4.5_0006090g0010.1</t>
  </si>
  <si>
    <t>XM_016613577.1</t>
  </si>
  <si>
    <t xml:space="preserve">C2 calcium/lipid-binding plant phosphoribosyltransferase family protein </t>
  </si>
  <si>
    <t>AT4G11610.1</t>
  </si>
  <si>
    <t>'C2 calcium/lipid-binding plant phosphoribosyltransferase family protein'</t>
  </si>
  <si>
    <t>Nitab4.5_0002048g0010.1</t>
  </si>
  <si>
    <t>Nitab4.5_0002137g0160.1</t>
  </si>
  <si>
    <t>XM_016577543.1</t>
  </si>
  <si>
    <t xml:space="preserve">SGP2: Ras-related small GTP-binding family protein </t>
  </si>
  <si>
    <t>AT3G21700.3</t>
  </si>
  <si>
    <t>Nitab4.5_0006919g0020.1</t>
  </si>
  <si>
    <t>XM_016649996.1</t>
  </si>
  <si>
    <t xml:space="preserve">ATH9, TRX H9, TH9: thioredoxin H-type 9 </t>
  </si>
  <si>
    <t>AT3G08710.2</t>
  </si>
  <si>
    <t>'thioredoxin H-type 9'</t>
  </si>
  <si>
    <t>Nitab4.5_0007004g0020.1</t>
  </si>
  <si>
    <t>XR_001648758.1</t>
  </si>
  <si>
    <t>Nitab4.5_0000702g0100.1</t>
  </si>
  <si>
    <t>XM_016628249.1</t>
  </si>
  <si>
    <t>Nitab4.5_0001668g0120.1</t>
  </si>
  <si>
    <t>XM_016638022.1</t>
  </si>
  <si>
    <t>Nitab4.5_0000581g0100.1</t>
  </si>
  <si>
    <t>XM_016629246.1</t>
  </si>
  <si>
    <t>Nitab4.5_0001905g0010.1</t>
  </si>
  <si>
    <t>XM_016581185.1</t>
  </si>
  <si>
    <t xml:space="preserve">LAC12: laccase 12 </t>
  </si>
  <si>
    <t>AT5G05390.1</t>
  </si>
  <si>
    <t>'laccase 12'</t>
  </si>
  <si>
    <t>Nitab4.5_0000962g0010.1</t>
  </si>
  <si>
    <t>XM_016646781.1</t>
  </si>
  <si>
    <t>Nitab4.5_0011040g0030.1</t>
  </si>
  <si>
    <t>XM_016626178.1</t>
  </si>
  <si>
    <t xml:space="preserve">CPI1: cyclopropyl isomerase </t>
  </si>
  <si>
    <t>AT5G50375.1</t>
  </si>
  <si>
    <t>'cyclopropyl isomerase'</t>
  </si>
  <si>
    <t>Nitab4.5_0003092g0050.1</t>
  </si>
  <si>
    <t>XM_016601481.1</t>
  </si>
  <si>
    <t xml:space="preserve">Ribosomal protein L7Ae/L30e/S12e/Gadd45 family protein </t>
  </si>
  <si>
    <t>AT4G01790.1</t>
  </si>
  <si>
    <t>'Ribosomal protein L7Ae/L30e/S12e/Gadd45 family protein'</t>
  </si>
  <si>
    <t>Nitab4.5_0002850g0040.1</t>
  </si>
  <si>
    <t>XM_016596299.1</t>
  </si>
  <si>
    <t>Nitab4.5_0005372g0080.1</t>
  </si>
  <si>
    <t>XM_016659094.1</t>
  </si>
  <si>
    <t>Nitab4.5_0005528g0070.1</t>
  </si>
  <si>
    <t>XM_016585866.1</t>
  </si>
  <si>
    <t xml:space="preserve">leucine-rich repeat transmembrane protein kinase family protein </t>
  </si>
  <si>
    <t>AT1G68400.1</t>
  </si>
  <si>
    <t>'leucine-rich repeat transmembrane protein kinase family protein'</t>
  </si>
  <si>
    <t>Nitab4.5_0001756g0050.1</t>
  </si>
  <si>
    <t>XM_016607816.1</t>
  </si>
  <si>
    <t xml:space="preserve">PHT1;9: phosphate transporter 1;9 </t>
  </si>
  <si>
    <t>AT1G76430.1</t>
  </si>
  <si>
    <t>Nitab4.5_0000178g0210.1</t>
  </si>
  <si>
    <t>XM_016614690.1</t>
  </si>
  <si>
    <t>AT5G66530.2</t>
  </si>
  <si>
    <t>Nitab4.5_0001068g0030.1</t>
  </si>
  <si>
    <t>XM_016593143.1</t>
  </si>
  <si>
    <t xml:space="preserve">MS5, TDM1: Tetratricopeptide repeat (TPR)-like superfamily protein </t>
  </si>
  <si>
    <t>AT4G20900.1</t>
  </si>
  <si>
    <t>Nitab4.5_0002370g0070.1</t>
  </si>
  <si>
    <t>XM_016644507.1</t>
  </si>
  <si>
    <t>unknown protein similar to AT4G28230.1</t>
  </si>
  <si>
    <t>Nitab4.5_0003743g0070.1</t>
  </si>
  <si>
    <t>XM_016582639.1</t>
  </si>
  <si>
    <t xml:space="preserve">ATMPK13: Protein kinase superfamily protein </t>
  </si>
  <si>
    <t>AT1G07880.2</t>
  </si>
  <si>
    <t>Nitab4.5_0002783g0100.1</t>
  </si>
  <si>
    <t>XM_016630063.1</t>
  </si>
  <si>
    <t>Nitab4.5_0003933g0010.1</t>
  </si>
  <si>
    <t>XM_016647938.1</t>
  </si>
  <si>
    <t xml:space="preserve">ATGLR2.7, GLR2.7: glutamate receptor 2.7 </t>
  </si>
  <si>
    <t>Nitab4.5_0001611g0110.1</t>
  </si>
  <si>
    <t>XM_016632319.1</t>
  </si>
  <si>
    <t>Nitab4.5_0001574g0100.1</t>
  </si>
  <si>
    <t>Nitab4.5_0000188g0200.1</t>
  </si>
  <si>
    <t>XM_016615105.1</t>
  </si>
  <si>
    <t xml:space="preserve">CYP71B35: cytochrome P450, family 71, subfamily B, polypeptide 35 </t>
  </si>
  <si>
    <t>Nitab4.5_0004605g0010.1</t>
  </si>
  <si>
    <t>XM_016648511.1</t>
  </si>
  <si>
    <t>Nitab4.5_0001523g0030.1</t>
  </si>
  <si>
    <t>XM_016591283.1</t>
  </si>
  <si>
    <t xml:space="preserve">H2B, HTB9: Histone superfamily protein </t>
  </si>
  <si>
    <t>Nitab4.5_0000813g0010.1</t>
  </si>
  <si>
    <t>XM_016617750.1</t>
  </si>
  <si>
    <t xml:space="preserve">Leucine-rich repeat transmembrane protein kinase family protein </t>
  </si>
  <si>
    <t>AT5G48940.1</t>
  </si>
  <si>
    <t>'Leucine-rich repeat transmembrane protein kinase family protein'</t>
  </si>
  <si>
    <t>Nitab4.5_0002093g0060.1</t>
  </si>
  <si>
    <t>XM_016613076.1</t>
  </si>
  <si>
    <t xml:space="preserve">HTA3, H2AXB, G-H2AX, GAMMA-H2AX: gamma histone variant H2AX </t>
  </si>
  <si>
    <t>AT1G54690.1</t>
  </si>
  <si>
    <t>'gamma histone variant H2AX'</t>
  </si>
  <si>
    <t>Nitab4.5_0000349g0330.1</t>
  </si>
  <si>
    <t>XM_016642394.1</t>
  </si>
  <si>
    <t>Nitab4.5_0014741g0010.1</t>
  </si>
  <si>
    <t>XM_016620457.1</t>
  </si>
  <si>
    <t>unknown protein similar to AT4G28310.1</t>
  </si>
  <si>
    <t>AT4G28310.1</t>
  </si>
  <si>
    <t>Nitab4.5_0001668g0040.1</t>
  </si>
  <si>
    <t>XM_016585339.1</t>
  </si>
  <si>
    <t>unknown protein similar to AT4G17240.1</t>
  </si>
  <si>
    <t>AT4G17240.1</t>
  </si>
  <si>
    <t>Nitab4.5_0003537g0030.1</t>
  </si>
  <si>
    <t>XM_016616044.1</t>
  </si>
  <si>
    <t>AT4G13370.1</t>
  </si>
  <si>
    <t>Nitab4.5_0000175g0110.1</t>
  </si>
  <si>
    <t>XM_016581815.1</t>
  </si>
  <si>
    <t>unknown protein similar to AT5G12900.1</t>
  </si>
  <si>
    <t>AT5G12900.1</t>
  </si>
  <si>
    <t>Nitab4.5_0006213g0010.1</t>
  </si>
  <si>
    <t>XM_016631680.1</t>
  </si>
  <si>
    <t>AT3G45980.1</t>
  </si>
  <si>
    <t>Nitab4.5_0007133g0030.1</t>
  </si>
  <si>
    <t>XM_016610847.1</t>
  </si>
  <si>
    <t xml:space="preserve">Thymidine kinase </t>
  </si>
  <si>
    <t>AT3G07800.1</t>
  </si>
  <si>
    <t>'Thymidine kinase'</t>
  </si>
  <si>
    <t>Nitab4.5_0001422g0060.1</t>
  </si>
  <si>
    <t>XM_016589581.1</t>
  </si>
  <si>
    <t>AT4G14180.1</t>
  </si>
  <si>
    <t>'putative recombination initiation defect 1'</t>
  </si>
  <si>
    <t>Nitab4.5_0002786g0040.1</t>
  </si>
  <si>
    <t>Nitab4.5_0009877g0010.1</t>
  </si>
  <si>
    <t>XM_016598488.1</t>
  </si>
  <si>
    <t xml:space="preserve">Nucleoporin, Nup133/Nup155-like </t>
  </si>
  <si>
    <t>AT2G05120.1</t>
  </si>
  <si>
    <t>'Nucleoporin, Nup133/Nup155-like'</t>
  </si>
  <si>
    <t>Nitab4.5_0002245g0060.1</t>
  </si>
  <si>
    <t>XM_016579765.1</t>
  </si>
  <si>
    <t>Nitab4.5_0005016g0020.1</t>
  </si>
  <si>
    <t>Nitab4.5_0004817g0040.1</t>
  </si>
  <si>
    <t>XM_016631230.1</t>
  </si>
  <si>
    <t>unknown protein similar to AT3G15550.1</t>
  </si>
  <si>
    <t>AT3G15550.1</t>
  </si>
  <si>
    <t>Nitab4.5_0010763g0020.1</t>
  </si>
  <si>
    <t>XM_016643155.1</t>
  </si>
  <si>
    <t>Nitab4.5_0000375g0240.1</t>
  </si>
  <si>
    <t>Nitab4.5_0001066g0040.1</t>
  </si>
  <si>
    <t>XM_016635097.1</t>
  </si>
  <si>
    <t xml:space="preserve">POLD4: polymerase delta 4 </t>
  </si>
  <si>
    <t>AT1G09815.1</t>
  </si>
  <si>
    <t>'polymerase delta 4'</t>
  </si>
  <si>
    <t>Nitab4.5_0002093g0120.1</t>
  </si>
  <si>
    <t>XM_016587670.1</t>
  </si>
  <si>
    <t xml:space="preserve">Rho GTPase activating protein with PAK-box/P21-Rho-binding domain </t>
  </si>
  <si>
    <t>AT4G03100.1</t>
  </si>
  <si>
    <t>'Rho GTPase activating protein with PAK-box/P21-Rho-binding domain'</t>
  </si>
  <si>
    <t>Nitab4.5_0000344g0170.1</t>
  </si>
  <si>
    <t>XM_016605769.1</t>
  </si>
  <si>
    <t>Nitab4.5_0004144g0040.1</t>
  </si>
  <si>
    <t>XM_016659464.1</t>
  </si>
  <si>
    <t xml:space="preserve">GONST2: golgi nucleotide sugar transporter 2 </t>
  </si>
  <si>
    <t>AT1G07290.1</t>
  </si>
  <si>
    <t>'golgi nucleotide sugar transporter 2'</t>
  </si>
  <si>
    <t>Nitab4.5_0007410g0040.1</t>
  </si>
  <si>
    <t>XM_016631577.1</t>
  </si>
  <si>
    <t>Nitab4.5_0009199g0020.1</t>
  </si>
  <si>
    <t>XM_016605030.1</t>
  </si>
  <si>
    <t xml:space="preserve">CCT motif family protein </t>
  </si>
  <si>
    <t>AT5G59990.1</t>
  </si>
  <si>
    <t>Nitab4.5_0008875g0050.1</t>
  </si>
  <si>
    <t>XM_016597506.1</t>
  </si>
  <si>
    <t xml:space="preserve">Uncharacterised BCR, YbaB family COG0718 </t>
  </si>
  <si>
    <t>AT4G30620.1</t>
  </si>
  <si>
    <t>'Uncharacterised BCR, YbaB family COG0718'</t>
  </si>
  <si>
    <t>Nitab4.5_0007413g0020.1</t>
  </si>
  <si>
    <t>XM_016596901.1</t>
  </si>
  <si>
    <t>AT1G14380.2</t>
  </si>
  <si>
    <t>'IQ-domain 28'</t>
  </si>
  <si>
    <t>Nitab4.5_0000084g0320.1</t>
  </si>
  <si>
    <t>XM_016613615.1</t>
  </si>
  <si>
    <t>unknown protein similar to AT3G14190.1</t>
  </si>
  <si>
    <t>AT3G14190.1</t>
  </si>
  <si>
    <t>Nitab4.5_0000170g0250.1</t>
  </si>
  <si>
    <t>XM_016578368.1</t>
  </si>
  <si>
    <t>Nitab4.5_0002966g0020.1</t>
  </si>
  <si>
    <t>XM_016612687.1</t>
  </si>
  <si>
    <t xml:space="preserve">Putative membrane lipoprotein </t>
  </si>
  <si>
    <t>AT3G42725.1</t>
  </si>
  <si>
    <t>'Putative membrane lipoprotein'</t>
  </si>
  <si>
    <t>Nitab4.5_0011117g0030.1</t>
  </si>
  <si>
    <t>XM_016651859.1</t>
  </si>
  <si>
    <t xml:space="preserve">PPPDE putative thiol peptidase family protein </t>
  </si>
  <si>
    <t>AT1G80690.1</t>
  </si>
  <si>
    <t>'PPPDE putative thiol peptidase family protein'</t>
  </si>
  <si>
    <t>Nitab4.5_0000130g0240.1</t>
  </si>
  <si>
    <t>XM_016621692.1</t>
  </si>
  <si>
    <t>unknown protein similar to AT2G32590.1</t>
  </si>
  <si>
    <t>AT2G32590.1</t>
  </si>
  <si>
    <t>Nitab4.5_0000257g0160.1</t>
  </si>
  <si>
    <t>XM_016612300.1</t>
  </si>
  <si>
    <t xml:space="preserve">emb2004: RNI-like superfamily protein </t>
  </si>
  <si>
    <t>AT1G10510.1</t>
  </si>
  <si>
    <t>Nitab4.5_0002055g0150.1</t>
  </si>
  <si>
    <t>XM_016655092.1</t>
  </si>
  <si>
    <t xml:space="preserve">APRR2: CheY-like two-component responsive regulator family protein </t>
  </si>
  <si>
    <t>AT4G18020.6</t>
  </si>
  <si>
    <t>'CheY-like two-component responsive regulator family protein'</t>
  </si>
  <si>
    <t>Nitab4.5_0001832g0070.1</t>
  </si>
  <si>
    <t>XM_016608794.1</t>
  </si>
  <si>
    <t>Nitab4.5_0000016g0070.1</t>
  </si>
  <si>
    <t>XM_016650939.1</t>
  </si>
  <si>
    <t>Nitab4.5_0000182g0040.1</t>
  </si>
  <si>
    <t>XM_016629744.1</t>
  </si>
  <si>
    <t>AT3G45850.2</t>
  </si>
  <si>
    <t>Nitab4.5_0001278g0090.1</t>
  </si>
  <si>
    <t>XM_016604037.1</t>
  </si>
  <si>
    <t xml:space="preserve">TRAF-like family protein </t>
  </si>
  <si>
    <t>AT3G17380.1</t>
  </si>
  <si>
    <t>'TRAF-like family protein'</t>
  </si>
  <si>
    <t>Nitab4.5_0001608g0010.1</t>
  </si>
  <si>
    <t>XM_016586938.1</t>
  </si>
  <si>
    <t>Nitab4.5_0002726g0100.1</t>
  </si>
  <si>
    <t>XM_016602852.1</t>
  </si>
  <si>
    <t>Nitab4.5_0002158g0010.1</t>
  </si>
  <si>
    <t>XM_016633509.1</t>
  </si>
  <si>
    <t xml:space="preserve">DES-1-LIKE: fatty acid desaturase family protein </t>
  </si>
  <si>
    <t>AT4G04930.1</t>
  </si>
  <si>
    <t>'fatty acid desaturase family protein'</t>
  </si>
  <si>
    <t>Nitab4.5_0000505g0070.1</t>
  </si>
  <si>
    <t>XM_016605776.1</t>
  </si>
  <si>
    <t xml:space="preserve">Di-glucose binding protein with Kinesin motor domain </t>
  </si>
  <si>
    <t>AT1G72250.1</t>
  </si>
  <si>
    <t>'Di-glucose binding protein with Kinesin motor domain'</t>
  </si>
  <si>
    <t>Nitab4.5_0000438g0190.1</t>
  </si>
  <si>
    <t>XM_016621311.1</t>
  </si>
  <si>
    <t>AT3G51280.1</t>
  </si>
  <si>
    <t>Nitab4.5_0000106g0220.1</t>
  </si>
  <si>
    <t>XM_016577345.1</t>
  </si>
  <si>
    <t xml:space="preserve">Pleckstrin homology (PH) and lipid-binding START domains-containing protein </t>
  </si>
  <si>
    <t>AT2G28320.1</t>
  </si>
  <si>
    <t>'Pleckstrin homology (PH) and lipid-binding START domains-containing protein'</t>
  </si>
  <si>
    <t>Nitab4.5_0002982g0030.1</t>
  </si>
  <si>
    <t>XM_016587981.1</t>
  </si>
  <si>
    <t>Nitab4.5_0000242g0080.1</t>
  </si>
  <si>
    <t>XM_016659436.1</t>
  </si>
  <si>
    <t xml:space="preserve">RUK, EMB3013: Protein kinase family protein with ARM repeat domain </t>
  </si>
  <si>
    <t>AT5G18700.1</t>
  </si>
  <si>
    <t>'Protein kinase family protein with ARM repeat domain'</t>
  </si>
  <si>
    <t>Nitab4.5_0003939g0020.1</t>
  </si>
  <si>
    <t>XM_016612859.1</t>
  </si>
  <si>
    <t xml:space="preserve">Protein of unknown function (DUF761) </t>
  </si>
  <si>
    <t>Nitab4.5_0002633g0040.1</t>
  </si>
  <si>
    <t>XM_016621048.1</t>
  </si>
  <si>
    <t>unknown protein similar to AT3G12870.1</t>
  </si>
  <si>
    <t>Nitab4.5_0000634g0160.1</t>
  </si>
  <si>
    <t>XM_016577479.1</t>
  </si>
  <si>
    <t xml:space="preserve">unknown protein; FUNCTIONS IN: molecular_function unknown; INVOLVED IN: biological_process unknown; LOCATED IN: cellular_component unknown; EXPRESSED IN: 20 plant structures; EXPRESSED DURING: 11 growth stages. </t>
  </si>
  <si>
    <t>AT3G52110.2</t>
  </si>
  <si>
    <t>Nitab4.5_0002477g0010.1</t>
  </si>
  <si>
    <t>XM_016607294.1</t>
  </si>
  <si>
    <t xml:space="preserve">AAC2: ADP/ATP carrier 2 </t>
  </si>
  <si>
    <t>AT5G13490.2</t>
  </si>
  <si>
    <t>'ADP/ATP carrier 2'</t>
  </si>
  <si>
    <t>Nitab4.5_0000188g0110.1</t>
  </si>
  <si>
    <t>XM_016603712.1</t>
  </si>
  <si>
    <t xml:space="preserve">Chalcone-flavanone isomerase family protein </t>
  </si>
  <si>
    <t>AT5G66230.1</t>
  </si>
  <si>
    <t>'Chalcone-flavanone isomerase family protein'</t>
  </si>
  <si>
    <t>Nitab4.5_0002831g0050.1</t>
  </si>
  <si>
    <t>XM_016629944.1</t>
  </si>
  <si>
    <t>Nitab4.5_0002276g0010.1</t>
  </si>
  <si>
    <t>XM_016656161.1</t>
  </si>
  <si>
    <t>unknown protein similar to AT3G52860.1</t>
  </si>
  <si>
    <t>AT3G52860.1</t>
  </si>
  <si>
    <t>Nitab4.5_0001231g0080.1</t>
  </si>
  <si>
    <t>XM_016637741.1</t>
  </si>
  <si>
    <t xml:space="preserve">AtGH9C2, GH9C2: glycosyl hydrolase 9C2 </t>
  </si>
  <si>
    <t>AT1G64390.1</t>
  </si>
  <si>
    <t>'glycosyl hydrolase 9C2'</t>
  </si>
  <si>
    <t>Nitab4.5_0002137g0060.1</t>
  </si>
  <si>
    <t>XM_016577550.1</t>
  </si>
  <si>
    <t xml:space="preserve">HMGB3, NFD3, NFD03: high mobility group B3 </t>
  </si>
  <si>
    <t>AT1G20696.2</t>
  </si>
  <si>
    <t>'high mobility group B3'</t>
  </si>
  <si>
    <t>Nitab4.5_0000188g0150.1</t>
  </si>
  <si>
    <t>XM_016649933.1</t>
  </si>
  <si>
    <t>AT5G05800.2</t>
  </si>
  <si>
    <t>Nitab4.5_0006314g0040.1</t>
  </si>
  <si>
    <t>XM_016605600.1</t>
  </si>
  <si>
    <t xml:space="preserve">SRPK4: ser/arg-rich protein kinase 4 </t>
  </si>
  <si>
    <t>AT3G53030.1</t>
  </si>
  <si>
    <t>'ser/arg-rich protein kinase 4'</t>
  </si>
  <si>
    <t>Nitab4.5_0008314g0030.1</t>
  </si>
  <si>
    <t>XM_016618004.1</t>
  </si>
  <si>
    <t>AT1G52290.1</t>
  </si>
  <si>
    <t>Nitab4.5_0003159g0030.1</t>
  </si>
  <si>
    <t>XM_016637324.1</t>
  </si>
  <si>
    <t>Nitab4.5_0000564g0170.1</t>
  </si>
  <si>
    <t>XM_016610097.1</t>
  </si>
  <si>
    <t xml:space="preserve">TUA6: Tubulin/FtsZ family protein </t>
  </si>
  <si>
    <t>AT4G14960.2</t>
  </si>
  <si>
    <t>'Tubulin/FtsZ family protein'</t>
  </si>
  <si>
    <t>Nitab4.5_0001196g0030.1</t>
  </si>
  <si>
    <t>XM_016620681.1</t>
  </si>
  <si>
    <t>AT1G68920.3</t>
  </si>
  <si>
    <t>Nitab4.5_0002265g0070.1</t>
  </si>
  <si>
    <t>XM_016653808.1</t>
  </si>
  <si>
    <t>unknown protein similar to AT1G19010.1</t>
  </si>
  <si>
    <t>AT1G19010.1</t>
  </si>
  <si>
    <t>Nitab4.5_0000005g0410.1</t>
  </si>
  <si>
    <t>XM_016589214.1</t>
  </si>
  <si>
    <t xml:space="preserve">RNA ligase/cyclic nucleotide phosphodiesterase family protein </t>
  </si>
  <si>
    <t>AT5G40190.1</t>
  </si>
  <si>
    <t>'RNA ligase/cyclic nucleotide phosphodiesterase family protein'</t>
  </si>
  <si>
    <t>Nitab4.5_0006179g0050.1</t>
  </si>
  <si>
    <t>XM_016651279.1</t>
  </si>
  <si>
    <t xml:space="preserve">DUT1: DUTP-PYROPHOSPHATASE-LIKE 1 </t>
  </si>
  <si>
    <t>AT3G46940.1</t>
  </si>
  <si>
    <t>'DUTP-PYROPHOSPHATASE-LIKE 1'</t>
  </si>
  <si>
    <t>Nitab4.5_0002602g0040.1</t>
  </si>
  <si>
    <t>XM_016655733.1</t>
  </si>
  <si>
    <t xml:space="preserve">ARAC7, ATROP9, ATRAC7, RAC7, ROP9: RHO-related protein from plants 9 </t>
  </si>
  <si>
    <t>AT4G28950.1</t>
  </si>
  <si>
    <t>'RHO-related protein from plants 9'</t>
  </si>
  <si>
    <t>Nitab4.5_0000596g0050.1</t>
  </si>
  <si>
    <t>XM_016610066.1</t>
  </si>
  <si>
    <t>XM_016660741.1</t>
  </si>
  <si>
    <t>Nitab4.5_0008778g0010.1</t>
  </si>
  <si>
    <t>XM_016590496.1</t>
  </si>
  <si>
    <t>AT1G50180.1</t>
  </si>
  <si>
    <t>Nitab4.5_0001221g0040.1</t>
  </si>
  <si>
    <t>XM_016630223.1</t>
  </si>
  <si>
    <t xml:space="preserve">Plant protein of unknown function (DUF869) </t>
  </si>
  <si>
    <t>AT2G23360.1</t>
  </si>
  <si>
    <t>'Plant protein of unknown function (DUF869)'</t>
  </si>
  <si>
    <t>Nitab4.5_0003986g0010.1</t>
  </si>
  <si>
    <t>XM_016656817.1</t>
  </si>
  <si>
    <t>Nitab4.5_0003345g0010.1</t>
  </si>
  <si>
    <t>XM_016657606.1</t>
  </si>
  <si>
    <t xml:space="preserve">PDCB3: plasmodesmata callose-binding protein 3 </t>
  </si>
  <si>
    <t>AT1G18650.1</t>
  </si>
  <si>
    <t>'plasmodesmata callose-binding protein 3'</t>
  </si>
  <si>
    <t>Nitab4.5_0002018g0080.1</t>
  </si>
  <si>
    <t>XM_016652627.1</t>
  </si>
  <si>
    <t xml:space="preserve">PLL4: poltergeist like 4 </t>
  </si>
  <si>
    <t>AT1G07630.1</t>
  </si>
  <si>
    <t>'pol-like 5'</t>
  </si>
  <si>
    <t>Nitab4.5_0000644g0060.1</t>
  </si>
  <si>
    <t>XM_016600297.1</t>
  </si>
  <si>
    <t>AT5G18590.2</t>
  </si>
  <si>
    <t>Nitab4.5_0000502g0160.1</t>
  </si>
  <si>
    <t>XM_016586316.1</t>
  </si>
  <si>
    <t xml:space="preserve">AHK5, CKI2, HK5: histidine kinase 5 </t>
  </si>
  <si>
    <t>AT5G10720.1</t>
  </si>
  <si>
    <t>'histidine kinase 5'</t>
  </si>
  <si>
    <t>Nitab4.5_0000257g0180.1</t>
  </si>
  <si>
    <t>XM_016640819.1</t>
  </si>
  <si>
    <t xml:space="preserve">UGT74B1: UDP-glucosyl transferase 74B1 </t>
  </si>
  <si>
    <t>AT1G24100.1</t>
  </si>
  <si>
    <t>'UDP-glucosyl transferase 74B1'</t>
  </si>
  <si>
    <t>Nitab4.5_0000040g0440.1</t>
  </si>
  <si>
    <t>XM_016586548.1</t>
  </si>
  <si>
    <t xml:space="preserve">MPL1: Myzus persicae-induced lipase 1 </t>
  </si>
  <si>
    <t>AT5G14180.1</t>
  </si>
  <si>
    <t>'Myzus persicae-induced lipase 1'</t>
  </si>
  <si>
    <t>Nitab4.5_0005622g0010.1</t>
  </si>
  <si>
    <t>XM_016629196.1</t>
  </si>
  <si>
    <t xml:space="preserve">TBL36: TRICHOME BIREFRINGENCE-LIKE 36 </t>
  </si>
  <si>
    <t>AT3G54260.1</t>
  </si>
  <si>
    <t>'TRICHOME BIREFRINGENCE-LIKE 36'</t>
  </si>
  <si>
    <t>Nitab4.5_0005637g0090.1</t>
  </si>
  <si>
    <t>XM_016623290.1</t>
  </si>
  <si>
    <t xml:space="preserve">ATPase, F1 complex, alpha subunit protein </t>
  </si>
  <si>
    <t>Nitab4.5_0000071g0020.1</t>
  </si>
  <si>
    <t>XM_016602462.1</t>
  </si>
  <si>
    <t xml:space="preserve">ARF16: auxin response factor 16 </t>
  </si>
  <si>
    <t>AT4G30080.1</t>
  </si>
  <si>
    <t>'auxin response factor 16'</t>
  </si>
  <si>
    <t>Nitab4.5_0013363g0010.1</t>
  </si>
  <si>
    <t>XM_016629283.1</t>
  </si>
  <si>
    <t xml:space="preserve">WRKY9, ATWRKY9: WRKY DNA-binding protein 9 </t>
  </si>
  <si>
    <t>AT1G68150.1</t>
  </si>
  <si>
    <t>'WRKY DNA-binding protein 9'</t>
  </si>
  <si>
    <t>Nitab4.5_0001657g0030.1</t>
  </si>
  <si>
    <t>XM_016587628.1</t>
  </si>
  <si>
    <t>Nitab4.5_0001992g0130.1</t>
  </si>
  <si>
    <t>XM_016651668.1</t>
  </si>
  <si>
    <t>AT1G78080.1</t>
  </si>
  <si>
    <t>'related to AP2 4'</t>
  </si>
  <si>
    <t>Nitab4.5_0000330g0050.1</t>
  </si>
  <si>
    <t>XM_016657681.1</t>
  </si>
  <si>
    <t xml:space="preserve">WNK5: with no lysine (K) kinase 5 </t>
  </si>
  <si>
    <t>AT3G51630.2</t>
  </si>
  <si>
    <t>'with no lysine (K) kinase 5'</t>
  </si>
  <si>
    <t>Nitab4.5_0001198g0150.1</t>
  </si>
  <si>
    <t>XM_016626941.1</t>
  </si>
  <si>
    <t>unknown protein similar to AT1G12020.1</t>
  </si>
  <si>
    <t>Nitab4.5_0000898g0070.1</t>
  </si>
  <si>
    <t>XM_016597794.1</t>
  </si>
  <si>
    <t>AT4G13620.1</t>
  </si>
  <si>
    <t>Nitab4.5_0002017g0020.1</t>
  </si>
  <si>
    <t>XM_016606702.1</t>
  </si>
  <si>
    <t>AT4G38070.1</t>
  </si>
  <si>
    <t>Nitab4.5_0005414g0030.1</t>
  </si>
  <si>
    <t>XM_016630207.1</t>
  </si>
  <si>
    <t>Nitab4.5_0002396g0040.1</t>
  </si>
  <si>
    <t>XM_016598220.1</t>
  </si>
  <si>
    <t>AT5G59560.2</t>
  </si>
  <si>
    <t>'sensitivity to red light reduced protein (SRR1)'</t>
  </si>
  <si>
    <t>Nitab4.5_0004135g0020.1</t>
  </si>
  <si>
    <t>XM_016633909.1</t>
  </si>
  <si>
    <t xml:space="preserve">C-8 sterol isomerases </t>
  </si>
  <si>
    <t>AT1G05440.1</t>
  </si>
  <si>
    <t>'C-8 sterol isomerases'</t>
  </si>
  <si>
    <t>Nitab4.5_0005449g0020.1</t>
  </si>
  <si>
    <t>XM_016629952.1</t>
  </si>
  <si>
    <t>AT3G12340.1</t>
  </si>
  <si>
    <t>'FKBP-like peptidyl-prolyl cis-trans isomerase family protein'</t>
  </si>
  <si>
    <t>Nitab4.5_0001287g0180.1</t>
  </si>
  <si>
    <t>Nitab4.5_0000090g0230.1</t>
  </si>
  <si>
    <t>XM_016620326.1</t>
  </si>
  <si>
    <t xml:space="preserve">GATL2: galacturonosyltransferase-like 2 </t>
  </si>
  <si>
    <t>AT3G50760.1</t>
  </si>
  <si>
    <t>'galacturonosyltransferase-like 2'</t>
  </si>
  <si>
    <t>Nitab4.5_0001861g0140.1</t>
  </si>
  <si>
    <t>XM_016580429.1</t>
  </si>
  <si>
    <t xml:space="preserve">BGAL5: beta-galactosidase 5 </t>
  </si>
  <si>
    <t>AT1G45130.1</t>
  </si>
  <si>
    <t>'beta-galactosidase 5'</t>
  </si>
  <si>
    <t>Nitab4.5_0000083g0100.1</t>
  </si>
  <si>
    <t>XR_001656214.1</t>
  </si>
  <si>
    <t>unknown protein similar to AT1G06010.1</t>
  </si>
  <si>
    <t>AT1G06010.1</t>
  </si>
  <si>
    <t>Nitab4.5_0000068g0360.1</t>
  </si>
  <si>
    <t>XM_016632885.1</t>
  </si>
  <si>
    <t>Nitab4.5_0000326g0240.1</t>
  </si>
  <si>
    <t>XM_016637898.1</t>
  </si>
  <si>
    <t xml:space="preserve">ATBARD1, BARD1, ROW1: breast cancer associated RING 1 </t>
  </si>
  <si>
    <t>AT1G04020.1</t>
  </si>
  <si>
    <t>'breast cancer associated RING 1'</t>
  </si>
  <si>
    <t>Nitab4.5_0000467g0040.1</t>
  </si>
  <si>
    <t>Nitab4.5_0000582g0210.1</t>
  </si>
  <si>
    <t>XM_016620404.1</t>
  </si>
  <si>
    <t xml:space="preserve">APG10, HISN3: Aldolase-type TIM barrel family protein </t>
  </si>
  <si>
    <t>AT2G36230.1</t>
  </si>
  <si>
    <t>Nitab4.5_0000990g0020.1</t>
  </si>
  <si>
    <t>XM_016628781.1</t>
  </si>
  <si>
    <t>Nitab4.5_0001128g0180.1</t>
  </si>
  <si>
    <t>XM_016596265.1</t>
  </si>
  <si>
    <t>AT1G74670.1</t>
  </si>
  <si>
    <t>'Gibberellin-regulated family protein'</t>
  </si>
  <si>
    <t>Nitab4.5_0005729g0090.1</t>
  </si>
  <si>
    <t>Nitab4.5_0002193g0040.1</t>
  </si>
  <si>
    <t>XM_016598195.1</t>
  </si>
  <si>
    <t>Nitab4.5_0001651g0150.1</t>
  </si>
  <si>
    <t>XM_016624096.1</t>
  </si>
  <si>
    <t xml:space="preserve">HTA5, H2AXA, G-H2AX, GAMMA-H2AX: Histone superfamily protein </t>
  </si>
  <si>
    <t>Nitab4.5_0009001g0010.1</t>
  </si>
  <si>
    <t>XM_016601635.1</t>
  </si>
  <si>
    <t>Nitab4.5_0003828g0030.1</t>
  </si>
  <si>
    <t>XM_016646551.1</t>
  </si>
  <si>
    <t xml:space="preserve">EXL5: EXORDIUM like 5 </t>
  </si>
  <si>
    <t>Nitab4.5_0002649g0100.1</t>
  </si>
  <si>
    <t>XM_016616927.1</t>
  </si>
  <si>
    <t>AT3G02740.1</t>
  </si>
  <si>
    <t>Nitab4.5_0002934g0030.1</t>
  </si>
  <si>
    <t>XM_016651419.1</t>
  </si>
  <si>
    <t>Nitab4.5_0000119g0210.1</t>
  </si>
  <si>
    <t>XM_016592799.1</t>
  </si>
  <si>
    <t xml:space="preserve">AUX1, WAV5, PIR1, MAP1: Transmembrane amino acid transporter family protein </t>
  </si>
  <si>
    <t>AT2G38120.1</t>
  </si>
  <si>
    <t>Nitab4.5_0001031g0280.1</t>
  </si>
  <si>
    <t>XM_016621815.1</t>
  </si>
  <si>
    <t>AT3G27400.1</t>
  </si>
  <si>
    <t>Nitab4.5_0008247g0040.1</t>
  </si>
  <si>
    <t>XM_016620455.1</t>
  </si>
  <si>
    <t xml:space="preserve">ATEXPA11, EXP11, ATEXP11, ATHEXP ALPHA 1.14, EXPA11: expansin 11 </t>
  </si>
  <si>
    <t>AT1G20190.1</t>
  </si>
  <si>
    <t>'expansin 11'</t>
  </si>
  <si>
    <t>Nitab4.5_0000499g0050.1</t>
  </si>
  <si>
    <t>XM_016614160.1</t>
  </si>
  <si>
    <t xml:space="preserve">ARAC10, ATRAC10, ATROP11, RAC10: RAC-like 10 </t>
  </si>
  <si>
    <t>AT5G62880.1</t>
  </si>
  <si>
    <t>'RAC-like 10'</t>
  </si>
  <si>
    <t>Nitab4.5_0004959g0070.1</t>
  </si>
  <si>
    <t>XM_016611391.1</t>
  </si>
  <si>
    <t xml:space="preserve">TPX2: targeting protein for XKLP2 </t>
  </si>
  <si>
    <t>AT1G03780.2</t>
  </si>
  <si>
    <t>'targeting protein for XKLP2'</t>
  </si>
  <si>
    <t>Nitab4.5_0000777g0100.1</t>
  </si>
  <si>
    <t>XM_016660098.1</t>
  </si>
  <si>
    <t>unknown protein similar to AT3G05390.1</t>
  </si>
  <si>
    <t>AT3G05390.1</t>
  </si>
  <si>
    <t>Nitab4.5_0000034g0250.1</t>
  </si>
  <si>
    <t>XR_001649444.1</t>
  </si>
  <si>
    <t>Nitab4.5_0002350g0080.1</t>
  </si>
  <si>
    <t>XM_016658541.1</t>
  </si>
  <si>
    <t>Nitab4.5_0000113g0290.1</t>
  </si>
  <si>
    <t>XM_016591235.1</t>
  </si>
  <si>
    <t>Nitab4.5_0002866g0030.1</t>
  </si>
  <si>
    <t>XM_016631908.1</t>
  </si>
  <si>
    <t xml:space="preserve">emb2734: ARM repeat superfamily protein </t>
  </si>
  <si>
    <t>AT5G19820.1</t>
  </si>
  <si>
    <t>Nitab4.5_0007294g0010.1</t>
  </si>
  <si>
    <t>XM_016600841.1</t>
  </si>
  <si>
    <t xml:space="preserve">HIK, ATNACK1, NACK1: ATP binding microtubule motor family protein </t>
  </si>
  <si>
    <t>AT1G18370.1</t>
  </si>
  <si>
    <t>Nitab4.5_0004789g0010.1</t>
  </si>
  <si>
    <t>XM_016591579.1</t>
  </si>
  <si>
    <t>Nitab4.5_0011705g0020.1</t>
  </si>
  <si>
    <t>XM_016658809.1</t>
  </si>
  <si>
    <t>unknown protein similar to AT2G14660.1</t>
  </si>
  <si>
    <t>Nitab4.5_0000971g0130.1</t>
  </si>
  <si>
    <t>XM_016609428.1</t>
  </si>
  <si>
    <t>unknown protein similar to AT5G16250.1</t>
  </si>
  <si>
    <t>Nitab4.5_0000032g0130.1</t>
  </si>
  <si>
    <t>XM_016627750.1</t>
  </si>
  <si>
    <t xml:space="preserve">ACT7: actin 7 </t>
  </si>
  <si>
    <t>AT5G09810.1</t>
  </si>
  <si>
    <t>'actin 7'</t>
  </si>
  <si>
    <t>Nitab4.5_0000383g0260.1</t>
  </si>
  <si>
    <t>XM_016643542.1</t>
  </si>
  <si>
    <t xml:space="preserve">TTL1: tetratricopetide-repeat thioredoxin-like 1 </t>
  </si>
  <si>
    <t>AT2G42580.1</t>
  </si>
  <si>
    <t>'tetratricopetide-repeat thioredoxin-like 3'</t>
  </si>
  <si>
    <t>Nitab4.5_0004800g0070.1</t>
  </si>
  <si>
    <t>XM_016648453.1</t>
  </si>
  <si>
    <t xml:space="preserve">KUF1: KAR-UP F-box 1 </t>
  </si>
  <si>
    <t>AT1G31350.1</t>
  </si>
  <si>
    <t>'KAR-UP F-box 1'</t>
  </si>
  <si>
    <t>Nitab4.5_0000255g0070.1</t>
  </si>
  <si>
    <t>XM_016625802.1</t>
  </si>
  <si>
    <t>Nitab4.5_0000476g0140.1</t>
  </si>
  <si>
    <t>XM_016628038.1</t>
  </si>
  <si>
    <t xml:space="preserve">VHA-G2, VAG2, VATG2: vacuolar ATP synthase subunit G2 </t>
  </si>
  <si>
    <t>AT4G23710.1</t>
  </si>
  <si>
    <t>'vacuolar ATP synthase subunit G2'</t>
  </si>
  <si>
    <t>Nitab4.5_0000516g0100.1</t>
  </si>
  <si>
    <t>XM_016593009.1</t>
  </si>
  <si>
    <t>unknown protein similar to AT2G33847.1</t>
  </si>
  <si>
    <t>AT2G33847.2</t>
  </si>
  <si>
    <t>Nitab4.5_0002758g0050.1</t>
  </si>
  <si>
    <t>XM_016607548.1</t>
  </si>
  <si>
    <t>unknown protein similar to AT5G01910.1</t>
  </si>
  <si>
    <t>AT5G01910.1</t>
  </si>
  <si>
    <t>Nitab4.5_0000960g0100.1</t>
  </si>
  <si>
    <t>XM_016632064.1</t>
  </si>
  <si>
    <t>unknown protein similar to AT4G15790.1</t>
  </si>
  <si>
    <t>AT4G15790.1</t>
  </si>
  <si>
    <t>Nitab4.5_0011635g0020.1</t>
  </si>
  <si>
    <t>XM_016641685.1</t>
  </si>
  <si>
    <t xml:space="preserve">iqd8: IQ-domain 8 </t>
  </si>
  <si>
    <t>AT1G72670.1</t>
  </si>
  <si>
    <t>'IQ-domain 8'</t>
  </si>
  <si>
    <t>Nitab4.5_0000766g0040.1</t>
  </si>
  <si>
    <t>XM_016646226.1</t>
  </si>
  <si>
    <t>Nitab4.5_0000915g0050.1</t>
  </si>
  <si>
    <t>Nitab4.5_0001241g0050.1</t>
  </si>
  <si>
    <t>XM_016603927.1</t>
  </si>
  <si>
    <t xml:space="preserve">DRP5A: Dynamin related protein 5A </t>
  </si>
  <si>
    <t>AT1G53140.1</t>
  </si>
  <si>
    <t>'Dynamin related protein 5A'</t>
  </si>
  <si>
    <t>Nitab4.5_0000572g0070.1</t>
  </si>
  <si>
    <t>XM_016617831.1</t>
  </si>
  <si>
    <t>Nitab4.5_0000472g0110.1</t>
  </si>
  <si>
    <t>XM_016578710.1</t>
  </si>
  <si>
    <t>AT5G52950.1</t>
  </si>
  <si>
    <t>Nitab4.5_0000322g0010.1</t>
  </si>
  <si>
    <t>XM_016582955.1</t>
  </si>
  <si>
    <t>Nitab4.5_0000036g0260.1</t>
  </si>
  <si>
    <t>XM_016632657.1</t>
  </si>
  <si>
    <t>Nitab4.5_0021258g0010.1</t>
  </si>
  <si>
    <t>XM_016602051.1</t>
  </si>
  <si>
    <t>Nitab4.5_0000929g0060.1</t>
  </si>
  <si>
    <t>XM_016619764.1</t>
  </si>
  <si>
    <t>AT5G67200.1</t>
  </si>
  <si>
    <t>Nitab4.5_0006583g0010.1</t>
  </si>
  <si>
    <t>XM_016657016.1</t>
  </si>
  <si>
    <t xml:space="preserve">F-box family protein </t>
  </si>
  <si>
    <t>Nitab4.5_0006802g0040.1</t>
  </si>
  <si>
    <t>XM_016624202.1</t>
  </si>
  <si>
    <t xml:space="preserve">Transducin/WD40 repeat-like superfamily protein </t>
  </si>
  <si>
    <t>AT3G27640.1</t>
  </si>
  <si>
    <t>'Transducin/WD40 repeat-like superfamily protein'</t>
  </si>
  <si>
    <t>Nitab4.5_0000283g0320.1</t>
  </si>
  <si>
    <t>XM_016584609.1</t>
  </si>
  <si>
    <t>AT2G16750.1</t>
  </si>
  <si>
    <t>Nitab4.5_0011687g0020.1</t>
  </si>
  <si>
    <t>XM_016597971.1</t>
  </si>
  <si>
    <t>Nitab4.5_0012975g0010.1</t>
  </si>
  <si>
    <t>XM_016642971.1</t>
  </si>
  <si>
    <t xml:space="preserve">ATCHX18, CHX18: cation/H+ exchanger 18 </t>
  </si>
  <si>
    <t>AT5G41610.1</t>
  </si>
  <si>
    <t>'cation/H+ exchanger 18'</t>
  </si>
  <si>
    <t>Nitab4.5_0000402g0070.1</t>
  </si>
  <si>
    <t>XM_016593402.1</t>
  </si>
  <si>
    <t>AT2G22610.2</t>
  </si>
  <si>
    <t>Nitab4.5_0000775g0180.1</t>
  </si>
  <si>
    <t>AT4G35987.1</t>
  </si>
  <si>
    <t>Nitab4.5_0003076g0010.1</t>
  </si>
  <si>
    <t>XM_016627249.1</t>
  </si>
  <si>
    <t>Nitab4.5_0000302g0040.1</t>
  </si>
  <si>
    <t>XM_016624155.1</t>
  </si>
  <si>
    <t xml:space="preserve">SYP111, KN, ATSYP111: syntaxin  of plants 111 </t>
  </si>
  <si>
    <t>AT1G08560.1</t>
  </si>
  <si>
    <t>'syntaxin  of plants 111'</t>
  </si>
  <si>
    <t>Nitab4.5_0003241g0040.1</t>
  </si>
  <si>
    <t>XM_016620672.1</t>
  </si>
  <si>
    <t>unknown protein similar to AT2G01990.1</t>
  </si>
  <si>
    <t>AT2G01990.1</t>
  </si>
  <si>
    <t>Nitab4.5_0002300g0110.1</t>
  </si>
  <si>
    <t>XM_016612548.1</t>
  </si>
  <si>
    <t xml:space="preserve">MYB33, ATMYB33: myb domain protein 33 </t>
  </si>
  <si>
    <t>AT5G06100.1</t>
  </si>
  <si>
    <t>'myb domain protein 33'</t>
  </si>
  <si>
    <t>Nitab4.5_0001318g0030.1</t>
  </si>
  <si>
    <t>Nitab4.5_0001675g0100.1</t>
  </si>
  <si>
    <t>XM_016602380.1</t>
  </si>
  <si>
    <t xml:space="preserve">PAR1, HLH1: phy rapidly regulated 1 </t>
  </si>
  <si>
    <t>AT2G42870.1</t>
  </si>
  <si>
    <t>'phy rapidly regulated 1'</t>
  </si>
  <si>
    <t>Nitab4.5_0003926g0020.1</t>
  </si>
  <si>
    <t>XM_016601914.1</t>
  </si>
  <si>
    <t xml:space="preserve">EXL1: EXORDIUM like 1 </t>
  </si>
  <si>
    <t>Nitab4.5_0001198g0270.1</t>
  </si>
  <si>
    <t>XM_016649680.1</t>
  </si>
  <si>
    <t xml:space="preserve">ATEHD1, EHD1: EPS15 homology domain 1 </t>
  </si>
  <si>
    <t>AT4G05520.1</t>
  </si>
  <si>
    <t>'EPS15 homology domain 2'</t>
  </si>
  <si>
    <t>Nitab4.5_0002208g0070.1</t>
  </si>
  <si>
    <t>XM_016607677.1</t>
  </si>
  <si>
    <t xml:space="preserve">Calcium-dependent phosphotriesterase superfamily protein </t>
  </si>
  <si>
    <t>AT3G57030.1</t>
  </si>
  <si>
    <t>'Calcium-dependent phosphotriesterase superfamily protein'</t>
  </si>
  <si>
    <t>Nitab4.5_0020239g0010.1</t>
  </si>
  <si>
    <t>XM_016655818.1</t>
  </si>
  <si>
    <t>Nitab4.5_0004195g0010.1</t>
  </si>
  <si>
    <t>XM_016621948.1</t>
  </si>
  <si>
    <t>AT3G53190.1</t>
  </si>
  <si>
    <t>Nitab4.5_0004342g0010.1</t>
  </si>
  <si>
    <t>XM_016631613.1</t>
  </si>
  <si>
    <t xml:space="preserve">ATP binding microtubule motor family protein </t>
  </si>
  <si>
    <t>AT1G18550.1</t>
  </si>
  <si>
    <t>Nitab4.5_0000255g0010.1</t>
  </si>
  <si>
    <t>XM_016596699.1</t>
  </si>
  <si>
    <t>AT1G22060.1</t>
  </si>
  <si>
    <t>Nitab4.5_0004439g0100.1</t>
  </si>
  <si>
    <t>XM_016615956.1</t>
  </si>
  <si>
    <t xml:space="preserve">2-oxoglutarate (2OG) and Fe(II)-dependent oxygenase superfamily protein </t>
  </si>
  <si>
    <t>AT4G23340.1</t>
  </si>
  <si>
    <t>'2-oxoglutarate (2OG) and Fe(II)-dependent oxygenase superfamily protein'</t>
  </si>
  <si>
    <t>Nitab4.5_0003137g0050.1</t>
  </si>
  <si>
    <t>XM_016630123.1</t>
  </si>
  <si>
    <t xml:space="preserve">SAP domain-containing protein </t>
  </si>
  <si>
    <t>AT5G66840.1</t>
  </si>
  <si>
    <t>'SAP domain-containing protein'</t>
  </si>
  <si>
    <t>Nitab4.5_0000527g0080.1</t>
  </si>
  <si>
    <t>XM_016656102.1</t>
  </si>
  <si>
    <t>AT2G37420.1</t>
  </si>
  <si>
    <t>Nitab4.5_0007327g0030.1</t>
  </si>
  <si>
    <t>XM_016623429.1</t>
  </si>
  <si>
    <t xml:space="preserve">PMEAMT, AtPMEAMT: S-adenosyl-L-methionine-dependent methyltransferases superfamily protein </t>
  </si>
  <si>
    <t>Nitab4.5_0000143g0490.1</t>
  </si>
  <si>
    <t>XM_016621951.1</t>
  </si>
  <si>
    <t>Nitab4.5_0001716g0010.1</t>
  </si>
  <si>
    <t>XM_016613070.1</t>
  </si>
  <si>
    <t>Nitab4.5_0004308g0060.1</t>
  </si>
  <si>
    <t>Nitab4.5_0002234g0030.1</t>
  </si>
  <si>
    <t>XM_016593635.1</t>
  </si>
  <si>
    <t xml:space="preserve">CYP87A2: cytochrome P450, family 87, subfamily A, polypeptide 2 </t>
  </si>
  <si>
    <t>AT1G12740.1</t>
  </si>
  <si>
    <t>'cytochrome P450, family 87, subfamily A, polypeptide 2'</t>
  </si>
  <si>
    <t>Nitab4.5_0005718g0010.1</t>
  </si>
  <si>
    <t>XM_016635589.1</t>
  </si>
  <si>
    <t>Nitab4.5_0003295g0140.1</t>
  </si>
  <si>
    <t>XM_016646807.1</t>
  </si>
  <si>
    <t>unknown protein similar to AT1G04030.1</t>
  </si>
  <si>
    <t>Nitab4.5_0000678g0040.1</t>
  </si>
  <si>
    <t>XM_016607850.1</t>
  </si>
  <si>
    <t xml:space="preserve">NEK1: NIMA-related serine/threonine kinase 1 </t>
  </si>
  <si>
    <t>AT1G54510.3</t>
  </si>
  <si>
    <t>'NIMA-related serine/threonine kinase 1'</t>
  </si>
  <si>
    <t>Nitab4.5_0005710g0010.1</t>
  </si>
  <si>
    <t>Nitab4.5_0001778g0140.1</t>
  </si>
  <si>
    <t>XM_016577979.1</t>
  </si>
  <si>
    <t>Nitab4.5_0002337g0030.1</t>
  </si>
  <si>
    <t>XM_016599192.1</t>
  </si>
  <si>
    <t>Nitab4.5_0003563g0050.1</t>
  </si>
  <si>
    <t>XM_016637521.1</t>
  </si>
  <si>
    <t xml:space="preserve">ENODL15, AtENODL15: early nodulin-like protein 15 </t>
  </si>
  <si>
    <t>AT4G31840.1</t>
  </si>
  <si>
    <t>'early nodulin-like protein 15'</t>
  </si>
  <si>
    <t>Nitab4.5_0003726g0080.1</t>
  </si>
  <si>
    <t>XM_016603516.1</t>
  </si>
  <si>
    <t>Nitab4.5_0000271g0150.1</t>
  </si>
  <si>
    <t>Nitab4.5_0003434g0070.1</t>
  </si>
  <si>
    <t>XM_016660149.1</t>
  </si>
  <si>
    <t>AT5G64080.1</t>
  </si>
  <si>
    <t>Nitab4.5_0000080g0010.1</t>
  </si>
  <si>
    <t>XM_016593621.1</t>
  </si>
  <si>
    <t>AT4G00750.1</t>
  </si>
  <si>
    <t>Nitab4.5_0001742g0010.1</t>
  </si>
  <si>
    <t>XM_016581147.1</t>
  </si>
  <si>
    <t>Nitab4.5_0003928g0010.1</t>
  </si>
  <si>
    <t>XM_016580668.1</t>
  </si>
  <si>
    <t>Nitab4.5_0004469g0010.1</t>
  </si>
  <si>
    <t>XM_016660009.1</t>
  </si>
  <si>
    <t xml:space="preserve">NAD(P)-linked oxidoreductase superfamily protein </t>
  </si>
  <si>
    <t>AT1G60680.1</t>
  </si>
  <si>
    <t>'NAD(P)-linked oxidoreductase superfamily protein'</t>
  </si>
  <si>
    <t>Nitab4.5_0005779g0010.1</t>
  </si>
  <si>
    <t>XM_016612629.1</t>
  </si>
  <si>
    <t>Nitab4.5_0001544g0100.1</t>
  </si>
  <si>
    <t>XM_016658577.1</t>
  </si>
  <si>
    <t xml:space="preserve">P-loop nucleoside triphosphate hydrolases superfamily protein with CH (Calponin Homology) domain </t>
  </si>
  <si>
    <t>AT2G47500.1</t>
  </si>
  <si>
    <t>'P-loop nucleoside triphosphate hydrolases superfamily protein with CH (Calponin Homology) domain'</t>
  </si>
  <si>
    <t>Nitab4.5_0001986g0020.1</t>
  </si>
  <si>
    <t>XM_016645398.1</t>
  </si>
  <si>
    <t>Nitab4.5_0002450g0160.1</t>
  </si>
  <si>
    <t>XM_016644676.1</t>
  </si>
  <si>
    <t>AT4G37110.1</t>
  </si>
  <si>
    <t>'Zinc-finger domain of monoamine-oxidase A repressor R1'</t>
  </si>
  <si>
    <t>Nitab4.5_0000745g0090.1</t>
  </si>
  <si>
    <t>XM_016654363.1</t>
  </si>
  <si>
    <t>Nitab4.5_0000232g0150.1</t>
  </si>
  <si>
    <t>XM_016608843.1</t>
  </si>
  <si>
    <t>Nitab4.5_0014240g0010.1</t>
  </si>
  <si>
    <t>XM_016583036.1</t>
  </si>
  <si>
    <t>Nitab4.5_0001769g0050.1</t>
  </si>
  <si>
    <t>XM_016602902.1</t>
  </si>
  <si>
    <t>Nitab4.5_0002796g0020.1</t>
  </si>
  <si>
    <t>XM_016601005.1</t>
  </si>
  <si>
    <t xml:space="preserve">ZCF125: P-loop containing nucleoside triphosphate hydrolases superfamily protein </t>
  </si>
  <si>
    <t>AT1G59540.1</t>
  </si>
  <si>
    <t>Nitab4.5_0027922g0010.1</t>
  </si>
  <si>
    <t>XM_016638348.1</t>
  </si>
  <si>
    <t>Nitab4.5_0010623g0020.1</t>
  </si>
  <si>
    <t>XM_016616457.1</t>
  </si>
  <si>
    <t>Nitab4.5_0003433g0030.1</t>
  </si>
  <si>
    <t>XM_016628832.1</t>
  </si>
  <si>
    <t>AT1G68390.1</t>
  </si>
  <si>
    <t>'Core-2/I-branching beta-1,6-N-acetylglucosaminyltransferase family protein'</t>
  </si>
  <si>
    <t>Nitab4.5_0008146g0030.1</t>
  </si>
  <si>
    <t>XM_016620058.1</t>
  </si>
  <si>
    <t>AT2G42560.1</t>
  </si>
  <si>
    <t>'late embryogenesis abundant domain-containing protein / LEA domain-containing protein'</t>
  </si>
  <si>
    <t>Nitab4.5_0000123g0600.1</t>
  </si>
  <si>
    <t>XM_016651556.1</t>
  </si>
  <si>
    <t xml:space="preserve">CYC1BAT, CYCB1;2: Cyclin family protein </t>
  </si>
  <si>
    <t>AT2G26760.1</t>
  </si>
  <si>
    <t>'Cyclin B1'</t>
  </si>
  <si>
    <t>Nitab4.5_0007495g0020.1</t>
  </si>
  <si>
    <t>XM_016589669.1</t>
  </si>
  <si>
    <t xml:space="preserve">R1, RNR1, CLS8, ATRNR1: ribonucleotide reductase 1 </t>
  </si>
  <si>
    <t>AT2G21790.1</t>
  </si>
  <si>
    <t>'ribonucleotide reductase 1'</t>
  </si>
  <si>
    <t>Nitab4.5_0003268g0030.1</t>
  </si>
  <si>
    <t>XM_016592771.1</t>
  </si>
  <si>
    <t>Nitab4.5_0007710g0030.1</t>
  </si>
  <si>
    <t>XM_016603385.1</t>
  </si>
  <si>
    <t>Nitab4.5_0011039g0010.1</t>
  </si>
  <si>
    <t>XM_016602429.1</t>
  </si>
  <si>
    <t>AT3G59850.1</t>
  </si>
  <si>
    <t>Nitab4.5_0001889g0020.1</t>
  </si>
  <si>
    <t>XM_016581182.1</t>
  </si>
  <si>
    <t xml:space="preserve">bZIP23: Basic-leucine zipper (bZIP) transcription factor family protein </t>
  </si>
  <si>
    <t>AT2G16770.1</t>
  </si>
  <si>
    <t>Nitab4.5_0001922g0140.1</t>
  </si>
  <si>
    <t>XM_016589839.1</t>
  </si>
  <si>
    <t xml:space="preserve">CYP76G1: cytochrome P450, family 76, subfamily G, polypeptide 1 </t>
  </si>
  <si>
    <t>AT3G52970.1</t>
  </si>
  <si>
    <t>'cytochrome P450, family 76, subfamily G, polypeptide 1'</t>
  </si>
  <si>
    <t>Nitab4.5_0000125g0380.1</t>
  </si>
  <si>
    <t>XM_016636778.1</t>
  </si>
  <si>
    <t>Nitab4.5_0001021g0090.1</t>
  </si>
  <si>
    <t>XM_016582953.1</t>
  </si>
  <si>
    <t>AT1G31360.2</t>
  </si>
  <si>
    <t>'RECQ helicase L2'</t>
  </si>
  <si>
    <t>Nitab4.5_0000329g0220.1</t>
  </si>
  <si>
    <t>XM_016643035.1</t>
  </si>
  <si>
    <t xml:space="preserve">XTH32: xyloglucan endotransglucosylase/hydrolase 32 </t>
  </si>
  <si>
    <t>AT2G36870.1</t>
  </si>
  <si>
    <t>'xyloglucan endotransglucosylase/hydrolase 32'</t>
  </si>
  <si>
    <t>Nitab4.5_0000300g0180.1</t>
  </si>
  <si>
    <t>XM_016609525.1</t>
  </si>
  <si>
    <t xml:space="preserve">HAD superfamily, subfamily IIIB acid phosphatase  </t>
  </si>
  <si>
    <t>AT4G29270.1</t>
  </si>
  <si>
    <t>'HAD superfamily, subfamily IIIB acid phosphatase'</t>
  </si>
  <si>
    <t>Nitab4.5_0004912g0080.1</t>
  </si>
  <si>
    <t>XM_016636357.1</t>
  </si>
  <si>
    <t xml:space="preserve">Protein of unknown function (DUF740) </t>
  </si>
  <si>
    <t>AT3G09070.1</t>
  </si>
  <si>
    <t>'Protein of unknown function (DUF740)'</t>
  </si>
  <si>
    <t>Nitab4.5_0000332g0190.1</t>
  </si>
  <si>
    <t>XM_016637401.1</t>
  </si>
  <si>
    <t>unknown protein similar to AT3G15095.2</t>
  </si>
  <si>
    <t>Nitab4.5_0002765g0070.1</t>
  </si>
  <si>
    <t>Nitab4.5_0000397g0150.1</t>
  </si>
  <si>
    <t>XM_016597965.1</t>
  </si>
  <si>
    <t xml:space="preserve">ATK1, KATA, KATAP: kinesin 1 </t>
  </si>
  <si>
    <t>AT4G21270.1</t>
  </si>
  <si>
    <t>'kinesin 1'</t>
  </si>
  <si>
    <t>Nitab4.5_0012119g0020.1</t>
  </si>
  <si>
    <t>XM_016604266.1</t>
  </si>
  <si>
    <t>Nitab4.5_0004191g0010.1</t>
  </si>
  <si>
    <t>XM_016618539.1</t>
  </si>
  <si>
    <t>Nitab4.5_0000482g0200.1</t>
  </si>
  <si>
    <t>XM_016626643.1</t>
  </si>
  <si>
    <t>Nitab4.5_0001241g0070.1</t>
  </si>
  <si>
    <t>XM_016603923.1</t>
  </si>
  <si>
    <t xml:space="preserve">GRI: Stigma-specific Stig1 family protein </t>
  </si>
  <si>
    <t>Nitab4.5_0009537g0020.1</t>
  </si>
  <si>
    <t>XR_001648380.1</t>
  </si>
  <si>
    <t>AT2G24300.1</t>
  </si>
  <si>
    <t>'Calmodulin-binding protein'</t>
  </si>
  <si>
    <t>Nitab4.5_0000326g0140.1</t>
  </si>
  <si>
    <t>Nitab4.5_0002050g0090.1</t>
  </si>
  <si>
    <t>XM_016601653.1</t>
  </si>
  <si>
    <t xml:space="preserve">CYP94B2: cytochrome P450, family 94, subfamily B, polypeptide 2 </t>
  </si>
  <si>
    <t>Nitab4.5_0002393g0100.1</t>
  </si>
  <si>
    <t>XM_016577422.1</t>
  </si>
  <si>
    <t>Nitab4.5_0004426g0010.1</t>
  </si>
  <si>
    <t>XM_016588675.1</t>
  </si>
  <si>
    <t>Nitab4.5_0002046g0200.1</t>
  </si>
  <si>
    <t>XM_016632515.1</t>
  </si>
  <si>
    <t xml:space="preserve">SCPL45: serine carboxypeptidase-like 45 </t>
  </si>
  <si>
    <t>AT1G28110.2</t>
  </si>
  <si>
    <t>'serine carboxypeptidase-like 45'</t>
  </si>
  <si>
    <t>Nitab4.5_0003973g0060.1</t>
  </si>
  <si>
    <t>XR_001646404.1</t>
  </si>
  <si>
    <t xml:space="preserve">S1FA-like DNA-binding protein </t>
  </si>
  <si>
    <t>Nitab4.5_0006508g0010.1</t>
  </si>
  <si>
    <t>XM_016587758.1</t>
  </si>
  <si>
    <t>Nitab4.5_0027235g0010.1</t>
  </si>
  <si>
    <t>XM_016590077.1</t>
  </si>
  <si>
    <t>Nitab4.5_0005008g0010.1</t>
  </si>
  <si>
    <t>XM_016608058.1</t>
  </si>
  <si>
    <t>Nitab4.5_0009401g0060.1</t>
  </si>
  <si>
    <t>XM_016612223.1</t>
  </si>
  <si>
    <t xml:space="preserve">ATRPA70B, RPA70B: RPA70-kDa subunit B </t>
  </si>
  <si>
    <t>AT5G08020.1</t>
  </si>
  <si>
    <t>'RPA70-kDa subunit B'</t>
  </si>
  <si>
    <t>Nitab4.5_0001056g0020.1</t>
  </si>
  <si>
    <t>XM_016649724.1</t>
  </si>
  <si>
    <t>AT4G13710.1</t>
  </si>
  <si>
    <t>Nitab4.5_0003632g0020.1</t>
  </si>
  <si>
    <t>XM_016608693.1</t>
  </si>
  <si>
    <t>AT5G41590.1</t>
  </si>
  <si>
    <t>Nitab4.5_0004005g0050.1</t>
  </si>
  <si>
    <t>XM_016655612.1</t>
  </si>
  <si>
    <t>AT4G22970.1</t>
  </si>
  <si>
    <t>'homolog of separase'</t>
  </si>
  <si>
    <t>Nitab4.5_0000564g0140.1</t>
  </si>
  <si>
    <t>XM_016610098.1</t>
  </si>
  <si>
    <t xml:space="preserve">ATMDR1, ATMDR11, PGP19, MDR11, MDR1, ATPGP19, ABCB19, ATABCB19: ATP binding cassette subfamily B19 </t>
  </si>
  <si>
    <t>AT3G28860.1</t>
  </si>
  <si>
    <t>'ATP binding cassette subfamily B19'</t>
  </si>
  <si>
    <t>XM_016649252.1</t>
  </si>
  <si>
    <t>Nitab4.5_0001726g0110.1</t>
  </si>
  <si>
    <t>XM_016588275.1</t>
  </si>
  <si>
    <t xml:space="preserve">GST30, ATGSTU17, GST30B, ERD9: Glutathione S-transferase family protein </t>
  </si>
  <si>
    <t>AT1G10370.1</t>
  </si>
  <si>
    <t>'Glutathione S-transferase family protein'</t>
  </si>
  <si>
    <t>Nitab4.5_0000038g0140.1</t>
  </si>
  <si>
    <t>XM_016577687.1</t>
  </si>
  <si>
    <t xml:space="preserve">Actin binding Calponin homology (CH) domain-containing protein </t>
  </si>
  <si>
    <t>AT5G48460.1</t>
  </si>
  <si>
    <t>'Actin binding Calponin homology (CH) domain-containing protein'</t>
  </si>
  <si>
    <t>Nitab4.5_0000067g0210.1</t>
  </si>
  <si>
    <t>XM_016579027.1</t>
  </si>
  <si>
    <t>AT1G67820.1</t>
  </si>
  <si>
    <t>'Protein phosphatase 2C family protein'</t>
  </si>
  <si>
    <t>Nitab4.5_0000004g0100.1</t>
  </si>
  <si>
    <t>XM_016596256.1</t>
  </si>
  <si>
    <t xml:space="preserve">FZR3: FIZZY-related 3 </t>
  </si>
  <si>
    <t>AT5G13840.2</t>
  </si>
  <si>
    <t>'FIZZY-related 3'</t>
  </si>
  <si>
    <t>Nitab4.5_0012916g0010.1</t>
  </si>
  <si>
    <t>XM_016640817.1</t>
  </si>
  <si>
    <t>unknown protein similar to AT4G25845.1</t>
  </si>
  <si>
    <t>Nitab4.5_0004626g0010.1</t>
  </si>
  <si>
    <t>XM_016652418.1</t>
  </si>
  <si>
    <t xml:space="preserve">AtCXE18, CXE18: carboxyesterase 18 </t>
  </si>
  <si>
    <t>AT5G23530.1</t>
  </si>
  <si>
    <t>'carboxyesterase 18'</t>
  </si>
  <si>
    <t>Nitab4.5_0001584g0090.1</t>
  </si>
  <si>
    <t>XM_016578131.1</t>
  </si>
  <si>
    <t xml:space="preserve">PYL2, RCAR14: PYR1-like 2 </t>
  </si>
  <si>
    <t>AT2G26040.1</t>
  </si>
  <si>
    <t>'PYR1-like 2'</t>
  </si>
  <si>
    <t>Nitab4.5_0003837g0020.1</t>
  </si>
  <si>
    <t>XM_016594037.1</t>
  </si>
  <si>
    <t>AT1G47670.1</t>
  </si>
  <si>
    <t>Nitab4.5_0002234g0050.1</t>
  </si>
  <si>
    <t>XM_016613941.1</t>
  </si>
  <si>
    <t>Nitab4.5_0004685g0050.1</t>
  </si>
  <si>
    <t>XM_016614775.1</t>
  </si>
  <si>
    <t>unknown protein similar to AT1G49870.1</t>
  </si>
  <si>
    <t>AT1G49870.1</t>
  </si>
  <si>
    <t>Nitab4.5_0003430g0060.1</t>
  </si>
  <si>
    <t>XM_016655904.1</t>
  </si>
  <si>
    <t>Nitab4.5_0001634g0050.1</t>
  </si>
  <si>
    <t>XM_016649336.1</t>
  </si>
  <si>
    <t>Nitab4.5_0000650g0050.1</t>
  </si>
  <si>
    <t>XM_016646684.1</t>
  </si>
  <si>
    <t>unknown protein similar to AT5G62550.1</t>
  </si>
  <si>
    <t>AT5G62550.1</t>
  </si>
  <si>
    <t>Nitab4.5_0011886g0020.1</t>
  </si>
  <si>
    <t>XM_016655317.1</t>
  </si>
  <si>
    <t xml:space="preserve">IMK2: inflorescence meristem receptor-like kinase 2 </t>
  </si>
  <si>
    <t>AT3G51740.1</t>
  </si>
  <si>
    <t>'inflorescence meristem receptor-like kinase 2'</t>
  </si>
  <si>
    <t>Nitab4.5_0022595g0010.1</t>
  </si>
  <si>
    <t>XM_016621511.1</t>
  </si>
  <si>
    <t>Nitab4.5_0002454g0040.1</t>
  </si>
  <si>
    <t>XM_016590444.1</t>
  </si>
  <si>
    <t xml:space="preserve">ATCSLD5, CSLD5, SOS6: cellulose synthase-like D5 </t>
  </si>
  <si>
    <t>AT1G02730.1</t>
  </si>
  <si>
    <t>'cellulose synthase-like D5'</t>
  </si>
  <si>
    <t>Nitab4.5_0002321g0020.1</t>
  </si>
  <si>
    <t>XM_016593899.1</t>
  </si>
  <si>
    <t>Nitab4.5_0001336g0070.1</t>
  </si>
  <si>
    <t>XM_016588938.1</t>
  </si>
  <si>
    <t>Nitab4.5_0000059g0450.1</t>
  </si>
  <si>
    <t>XM_016630001.1</t>
  </si>
  <si>
    <t>AT4G15830.1</t>
  </si>
  <si>
    <t>Nitab4.5_0004416g0090.1</t>
  </si>
  <si>
    <t>XM_016612785.1</t>
  </si>
  <si>
    <t>AT1G64790.2</t>
  </si>
  <si>
    <t>'ILITYHIA'</t>
  </si>
  <si>
    <t>Nitab4.5_0008332g0040.1</t>
  </si>
  <si>
    <t>XM_016649430.1</t>
  </si>
  <si>
    <t>Nitab4.5_0006795g0020.1</t>
  </si>
  <si>
    <t>XM_016641169.1</t>
  </si>
  <si>
    <t xml:space="preserve">XTH8: xyloglucan endotransglucosylase/hydrolase 8 </t>
  </si>
  <si>
    <t>AT1G11545.1</t>
  </si>
  <si>
    <t>'xyloglucan endotransglucosylase/hydrolase 8'</t>
  </si>
  <si>
    <t>Nitab4.5_0003845g0060.1</t>
  </si>
  <si>
    <t>XM_016584064.1</t>
  </si>
  <si>
    <t>Nitab4.5_0001219g0080.1</t>
  </si>
  <si>
    <t>XM_016620206.1</t>
  </si>
  <si>
    <t>Nitab4.5_0000436g0150.1</t>
  </si>
  <si>
    <t>XM_016607266.1</t>
  </si>
  <si>
    <t>Nitab4.5_0000581g0180.1</t>
  </si>
  <si>
    <t>XM_016578560.1</t>
  </si>
  <si>
    <t xml:space="preserve">MAD2: DNA-binding HORMA family protein </t>
  </si>
  <si>
    <t>AT3G25980.1</t>
  </si>
  <si>
    <t>'DNA-binding HORMA family protein'</t>
  </si>
  <si>
    <t>Nitab4.5_0000699g0040.1</t>
  </si>
  <si>
    <t>XM_016648548.1</t>
  </si>
  <si>
    <t xml:space="preserve">CYCB2;4: CYCLIN B2;4 </t>
  </si>
  <si>
    <t>AT1G76310.1</t>
  </si>
  <si>
    <t>'CYCLIN B2'</t>
  </si>
  <si>
    <t>Nitab4.5_0001288g0140.1</t>
  </si>
  <si>
    <t>XM_016636211.1</t>
  </si>
  <si>
    <t xml:space="preserve">HINT 2: HISTIDINE TRIAD NUCLEOTIDE-BINDING 2 </t>
  </si>
  <si>
    <t>AT1G31160.1</t>
  </si>
  <si>
    <t>'HISTIDINE TRIAD NUCLEOTIDE-BINDING 2'</t>
  </si>
  <si>
    <t>Nitab4.5_0000041g0330.1</t>
  </si>
  <si>
    <t>XM_016614413.1</t>
  </si>
  <si>
    <t>Nitab4.5_0006098g0030.1</t>
  </si>
  <si>
    <t>XM_016631514.1</t>
  </si>
  <si>
    <t>AT3G25700.1</t>
  </si>
  <si>
    <t>Nitab4.5_0000191g0190.1</t>
  </si>
  <si>
    <t>XM_016620782.1</t>
  </si>
  <si>
    <t>Nitab4.5_0003037g0070.1</t>
  </si>
  <si>
    <t xml:space="preserve">CDKB1;2: cyclin-dependent kinase B1;2 </t>
  </si>
  <si>
    <t>AT2G38620.2</t>
  </si>
  <si>
    <t>'cyclin-dependent kinase B1'</t>
  </si>
  <si>
    <t>Nitab4.5_0008993g0020.1</t>
  </si>
  <si>
    <t>XM_016628180.1</t>
  </si>
  <si>
    <t xml:space="preserve">Reticulon family protein </t>
  </si>
  <si>
    <t>AT2G20590.1</t>
  </si>
  <si>
    <t>'Reticulon family protein'</t>
  </si>
  <si>
    <t>Nitab4.5_0012890g0020.1</t>
  </si>
  <si>
    <t>XM_016599462.1</t>
  </si>
  <si>
    <t xml:space="preserve">ATEXPA8, EXP8, ATEXP8, ATHEXP ALPHA 1.11, EXPA8: expansin A8 </t>
  </si>
  <si>
    <t>AT2G40610.1</t>
  </si>
  <si>
    <t>'expansin A8'</t>
  </si>
  <si>
    <t>Nitab4.5_0000737g0120.1</t>
  </si>
  <si>
    <t>XM_016602745.1</t>
  </si>
  <si>
    <t>Nitab4.5_0022990g0010.1</t>
  </si>
  <si>
    <t>XM_016602115.1</t>
  </si>
  <si>
    <t>Nitab4.5_0002334g0110.1</t>
  </si>
  <si>
    <t>Nitab4.5_0011721g0020.1</t>
  </si>
  <si>
    <t>XM_016626585.1</t>
  </si>
  <si>
    <t xml:space="preserve">CHUP1: Hydroxyproline-rich glycoprotein family protein </t>
  </si>
  <si>
    <t>AT3G25690.3</t>
  </si>
  <si>
    <t>'Hydroxyproline-rich glycoprotein family protein'</t>
  </si>
  <si>
    <t>Nitab4.5_0002117g0030.1</t>
  </si>
  <si>
    <t>XM_016656319.1</t>
  </si>
  <si>
    <t xml:space="preserve">Arabidopsis thaliana protein of unknown function (DUF821) </t>
  </si>
  <si>
    <t>AT5G23850.1</t>
  </si>
  <si>
    <t>'Arabidopsis thaliana protein of unknown function (DUF821)'</t>
  </si>
  <si>
    <t>Nitab4.5_0003430g0020.1</t>
  </si>
  <si>
    <t>XM_016629113.1</t>
  </si>
  <si>
    <t>Nitab4.5_0000492g0020.1</t>
  </si>
  <si>
    <t>XM_016651710.1</t>
  </si>
  <si>
    <t>Nitab4.5_0010879g0010.1</t>
  </si>
  <si>
    <t>XM_016644079.1</t>
  </si>
  <si>
    <t xml:space="preserve">ATMKK6, ANQ1, MKK6: MAP kinase kinase 6 </t>
  </si>
  <si>
    <t>AT5G56580.1</t>
  </si>
  <si>
    <t>'MAP kinase kinase 6'</t>
  </si>
  <si>
    <t>Nitab4.5_0002021g0080.1</t>
  </si>
  <si>
    <t>XM_016649740.1</t>
  </si>
  <si>
    <t xml:space="preserve">AtAUR2, AUR2: ataurora2 </t>
  </si>
  <si>
    <t>AT2G25880.1</t>
  </si>
  <si>
    <t>'ataurora2'</t>
  </si>
  <si>
    <t>Nitab4.5_0008368g0050.1</t>
  </si>
  <si>
    <t>XM_016625952.1</t>
  </si>
  <si>
    <t>Nitab4.5_0000703g0120.1</t>
  </si>
  <si>
    <t>XM_016618455.1</t>
  </si>
  <si>
    <t xml:space="preserve">ORC6, ATORC6: origin recognition complex protein 6 </t>
  </si>
  <si>
    <t>AT1G26840.1</t>
  </si>
  <si>
    <t>'origin recognition complex protein 6'</t>
  </si>
  <si>
    <t>Nitab4.5_0001555g0100.1</t>
  </si>
  <si>
    <t>XM_016612508.1</t>
  </si>
  <si>
    <t>AT5G10370.1</t>
  </si>
  <si>
    <t>'helicase domain-containing protein / IBR domain-containing protein / zinc finger protein-related'</t>
  </si>
  <si>
    <t>Nitab4.5_0001003g0190.1</t>
  </si>
  <si>
    <t>XM_016658483.1</t>
  </si>
  <si>
    <t>Nitab4.5_0000020g0080.1</t>
  </si>
  <si>
    <t>XM_016592686.1</t>
  </si>
  <si>
    <t>Nitab4.5_0009310g0010.1</t>
  </si>
  <si>
    <t>XM_016626488.1</t>
  </si>
  <si>
    <t xml:space="preserve">Carbohydrate-binding X8 domain superfamily protein </t>
  </si>
  <si>
    <t>AT1G78520.1</t>
  </si>
  <si>
    <t>'Carbohydrate-binding X8 domain superfamily protein'</t>
  </si>
  <si>
    <t>Nitab4.5_0002167g0020.1</t>
  </si>
  <si>
    <t>XM_016603100.1</t>
  </si>
  <si>
    <t xml:space="preserve">AP2/B3-like transcriptional factor family protein </t>
  </si>
  <si>
    <t>AT5G58280.1</t>
  </si>
  <si>
    <t>Nitab4.5_0003187g0080.1</t>
  </si>
  <si>
    <t>XM_016604171.1</t>
  </si>
  <si>
    <t>Nitab4.5_0000131g0430.1</t>
  </si>
  <si>
    <t>XM_016611007.1</t>
  </si>
  <si>
    <t xml:space="preserve">REN1: Rho GTPase activation protein (RhoGAP) with PH domain </t>
  </si>
  <si>
    <t>AT4G24580.1</t>
  </si>
  <si>
    <t>'Rho GTPase activation protein (RhoGAP) with PH domain'</t>
  </si>
  <si>
    <t>Nitab4.5_0000021g0310.1</t>
  </si>
  <si>
    <t>XM_016603823.1</t>
  </si>
  <si>
    <t>AT5G17160.1</t>
  </si>
  <si>
    <t>Nitab4.5_0001871g0070.1</t>
  </si>
  <si>
    <t>XM_016660278.1</t>
  </si>
  <si>
    <t>Nitab4.5_0000486g0160.1</t>
  </si>
  <si>
    <t>XM_016607908.1</t>
  </si>
  <si>
    <t>AT5G11300.1</t>
  </si>
  <si>
    <t>'mitotic-like cyclin 3B from Arabidopsis'</t>
  </si>
  <si>
    <t>Nitab4.5_0005719g0030.1</t>
  </si>
  <si>
    <t>XM_016596409.1</t>
  </si>
  <si>
    <t>Nitab4.5_0003563g0020.1</t>
  </si>
  <si>
    <t>XM_016642440.1</t>
  </si>
  <si>
    <t>Nitab4.5_0003587g0060.1</t>
  </si>
  <si>
    <t>XM_016655621.1</t>
  </si>
  <si>
    <t xml:space="preserve">AtGUS3, GUS3: glucuronidase 3 </t>
  </si>
  <si>
    <t>AT5G34940.2</t>
  </si>
  <si>
    <t>'glucuronidase 3'</t>
  </si>
  <si>
    <t>Nitab4.5_0012787g0030.1</t>
  </si>
  <si>
    <t>XM_016634144.1</t>
  </si>
  <si>
    <t>Nitab4.5_0001778g0040.1</t>
  </si>
  <si>
    <t>XM_016613145.1</t>
  </si>
  <si>
    <t>unknown protein similar to AT1G17030.1</t>
  </si>
  <si>
    <t>AT1G17030.1</t>
  </si>
  <si>
    <t>Nitab4.5_0001426g0030.1</t>
  </si>
  <si>
    <t>XM_016633498.1</t>
  </si>
  <si>
    <t>Nitab4.5_0004000g0020.1</t>
  </si>
  <si>
    <t>XM_016639089.1</t>
  </si>
  <si>
    <t>Nitab4.5_0004166g0040.1</t>
  </si>
  <si>
    <t>XM_016576880.1</t>
  </si>
  <si>
    <t xml:space="preserve">unknown protein; FUNCTIONS IN: molecular_function unknown; INVOLVED IN: biological_process unknown; LOCATED IN: cellular_component unknown; EXPRESSED IN: 18 plant structures; EXPRESSED DURING: 13 growth stages; BEST Arabidopsis thaliana protein match is: unknown protein (TAIR:AT4G24610.1). </t>
  </si>
  <si>
    <t>AT5G48310.2</t>
  </si>
  <si>
    <t>Nitab4.5_0007815g0020.1</t>
  </si>
  <si>
    <t>XR_001642685.1</t>
  </si>
  <si>
    <t>AT3G44050.1</t>
  </si>
  <si>
    <t>Nitab4.5_0000566g0160.1</t>
  </si>
  <si>
    <t>XM_016618763.1</t>
  </si>
  <si>
    <t xml:space="preserve">RNA-dependent RNA polymerase family protein </t>
  </si>
  <si>
    <t>AT2G19930.1</t>
  </si>
  <si>
    <t>'RNA-dependent RNA polymerase family protein'</t>
  </si>
  <si>
    <t>Nitab4.5_0003526g0050.1</t>
  </si>
  <si>
    <t>XM_016617371.1</t>
  </si>
  <si>
    <t xml:space="preserve">SYP112, ATSYP112: syntaxin of plants 112 </t>
  </si>
  <si>
    <t>AT2G18260.1</t>
  </si>
  <si>
    <t>'syntaxin of plants 112'</t>
  </si>
  <si>
    <t>Nitab4.5_0001206g0060.1</t>
  </si>
  <si>
    <t>XM_016649397.1</t>
  </si>
  <si>
    <t>Nitab4.5_0002107g0060.1</t>
  </si>
  <si>
    <t>XM_016580019.1</t>
  </si>
  <si>
    <t>Nitab4.5_0000295g0220.1</t>
  </si>
  <si>
    <t>XM_016648307.1</t>
  </si>
  <si>
    <t>unknown protein similar to AT4G02800.1</t>
  </si>
  <si>
    <t>AT4G02800.1</t>
  </si>
  <si>
    <t>Nitab4.5_0002018g0020.1</t>
  </si>
  <si>
    <t>XM_016634705.1</t>
  </si>
  <si>
    <t>AT5G02370.1</t>
  </si>
  <si>
    <t>Nitab4.5_0000205g0160.1</t>
  </si>
  <si>
    <t>XM_016605854.1</t>
  </si>
  <si>
    <t>Nitab4.5_0004599g0080.1</t>
  </si>
  <si>
    <t>XM_016640955.1</t>
  </si>
  <si>
    <t xml:space="preserve">ATEXPA14, EXP14, ATEXP14, ATHEXP ALPHA 1.5, EXPA14: expansin A14 </t>
  </si>
  <si>
    <t>Nitab4.5_0000428g0070.1</t>
  </si>
  <si>
    <t>XM_016638015.1</t>
  </si>
  <si>
    <t>AT5G06150.1</t>
  </si>
  <si>
    <t>'Cyclin family protein'</t>
  </si>
  <si>
    <t>Nitab4.5_0022736g0010.1</t>
  </si>
  <si>
    <t>XM_016591000.1</t>
  </si>
  <si>
    <t>Nitab4.5_0000639g0260.1</t>
  </si>
  <si>
    <t>XM_016646559.1</t>
  </si>
  <si>
    <t>AT1G72250.2</t>
  </si>
  <si>
    <t>Nitab4.5_0001364g0050.1</t>
  </si>
  <si>
    <t>XM_016605449.1</t>
  </si>
  <si>
    <t xml:space="preserve">binding </t>
  </si>
  <si>
    <t>AT3G57060.2</t>
  </si>
  <si>
    <t>'binding'</t>
  </si>
  <si>
    <t>Nitab4.5_0003885g0020.1</t>
  </si>
  <si>
    <t>XM_016633075.1</t>
  </si>
  <si>
    <t>Nitab4.5_0006338g0010.1</t>
  </si>
  <si>
    <t>XM_016610703.1</t>
  </si>
  <si>
    <t>AT3G06840.1</t>
  </si>
  <si>
    <t>Nitab4.5_0012747g0010.1</t>
  </si>
  <si>
    <t>XM_016649872.1</t>
  </si>
  <si>
    <t>Nitab4.5_0000230g0240.1</t>
  </si>
  <si>
    <t>XM_016595300.1</t>
  </si>
  <si>
    <t>Nitab4.5_0000308g0280.1</t>
  </si>
  <si>
    <t>XM_016581074.1</t>
  </si>
  <si>
    <t>Nitab4.5_0001105g0200.1</t>
  </si>
  <si>
    <t>XM_016590598.1</t>
  </si>
  <si>
    <t>Nitab4.5_0007721g0030.1</t>
  </si>
  <si>
    <t>XM_016639138.1</t>
  </si>
  <si>
    <t>AT3G10310.1</t>
  </si>
  <si>
    <t>Nitab4.5_0006022g0030.1</t>
  </si>
  <si>
    <t>XM_016591531.1</t>
  </si>
  <si>
    <t>AT2G16270.1</t>
  </si>
  <si>
    <t>Nitab4.5_0001163g0030.1</t>
  </si>
  <si>
    <t>XM_016628367.1</t>
  </si>
  <si>
    <t>Nitab4.5_0005609g0020.1</t>
  </si>
  <si>
    <t>XM_016591419.1</t>
  </si>
  <si>
    <t>Nitab4.5_0000638g0130.1</t>
  </si>
  <si>
    <t>XM_016585009.1</t>
  </si>
  <si>
    <t xml:space="preserve">ENODL3, AtENODL3: early nodulin-like protein 3 </t>
  </si>
  <si>
    <t>AT4G28365.1</t>
  </si>
  <si>
    <t>'early nodulin-like protein 3'</t>
  </si>
  <si>
    <t>Nitab4.5_0000169g0020.1</t>
  </si>
  <si>
    <t>XM_016584964.1</t>
  </si>
  <si>
    <t>AT5G26910.1</t>
  </si>
  <si>
    <t>Nitab4.5_0010205g0030.1</t>
  </si>
  <si>
    <t>XM_016622148.1</t>
  </si>
  <si>
    <t xml:space="preserve">HMG (high mobility group) box protein </t>
  </si>
  <si>
    <t>AT4G11080.1</t>
  </si>
  <si>
    <t>'HMG (high mobility group) box protein'</t>
  </si>
  <si>
    <t>Nitab4.5_0000692g0030.1</t>
  </si>
  <si>
    <t>XM_016593354.1</t>
  </si>
  <si>
    <t>AT5G03870.1</t>
  </si>
  <si>
    <t>Nitab4.5_0004509g0030.1</t>
  </si>
  <si>
    <t>Nitab4.5_0003194g0040.1</t>
  </si>
  <si>
    <t>XM_016598505.1</t>
  </si>
  <si>
    <t>Nitab4.5_0008128g0030.1</t>
  </si>
  <si>
    <t>XM_016623174.1</t>
  </si>
  <si>
    <t>Nitab4.5_0002949g0040.1</t>
  </si>
  <si>
    <t>XM_016632153.1</t>
  </si>
  <si>
    <t xml:space="preserve">UCC1: uclacyanin 1 </t>
  </si>
  <si>
    <t>Nitab4.5_0014837g0010.1</t>
  </si>
  <si>
    <t>XM_016643765.1</t>
  </si>
  <si>
    <t>Nitab4.5_0001695g0010.1</t>
  </si>
  <si>
    <t>XM_016625231.1</t>
  </si>
  <si>
    <t>AT3G58650.1</t>
  </si>
  <si>
    <t>Nitab4.5_0005155g0020.1</t>
  </si>
  <si>
    <t>XM_016655080.1</t>
  </si>
  <si>
    <t xml:space="preserve">Kinase interacting (KIP1-like) family protein </t>
  </si>
  <si>
    <t>AT1G03470.2</t>
  </si>
  <si>
    <t>Nitab4.5_0001336g0090.1</t>
  </si>
  <si>
    <t>XM_016588943.1</t>
  </si>
  <si>
    <t>Nitab4.5_0000671g0160.1</t>
  </si>
  <si>
    <t>XM_016607420.1</t>
  </si>
  <si>
    <t>Nitab4.5_0000824g0080.1</t>
  </si>
  <si>
    <t>XM_016587530.1</t>
  </si>
  <si>
    <t>Nitab4.5_0005660g0010.1</t>
  </si>
  <si>
    <t>XM_016637149.1</t>
  </si>
  <si>
    <t>Nitab4.5_0002853g0080.1</t>
  </si>
  <si>
    <t>Nitab4.5_0000733g0160.1</t>
  </si>
  <si>
    <t>XM_016657980.1</t>
  </si>
  <si>
    <t xml:space="preserve">ATPIP5K1, ATPIPK1, PIP5K1: phosphatidylinositol-4-phosphate 5-kinase 1 </t>
  </si>
  <si>
    <t>AT1G21980.1</t>
  </si>
  <si>
    <t>Nitab4.5_0000048g0070.1</t>
  </si>
  <si>
    <t>Nitab4.5_0005081g0100.1</t>
  </si>
  <si>
    <t>XM_016592589.1</t>
  </si>
  <si>
    <t>Nitab4.5_0000223g0250.1</t>
  </si>
  <si>
    <t>XM_016603447.1</t>
  </si>
  <si>
    <t>Nitab4.5_0000495g0180.1</t>
  </si>
  <si>
    <t>XM_016579704.1</t>
  </si>
  <si>
    <t>Nitab4.5_0000410g0350.1</t>
  </si>
  <si>
    <t>Nitab4.5_0006448g0020.1</t>
  </si>
  <si>
    <t>XR_001656256.1</t>
  </si>
  <si>
    <t>Nitab4.5_0003076g0050.1</t>
  </si>
  <si>
    <t>XM_016645370.1</t>
  </si>
  <si>
    <t>Nitab4.5_0011416g0010.1</t>
  </si>
  <si>
    <t>XM_016640702.1</t>
  </si>
  <si>
    <t>AT1G30690.2</t>
  </si>
  <si>
    <t>Nitab4.5_0002477g0020.1</t>
  </si>
  <si>
    <t>XM_016607297.1</t>
  </si>
  <si>
    <t>Nitab4.5_0002139g0020.1</t>
  </si>
  <si>
    <t>Nitab4.5_0002011g0060.1</t>
  </si>
  <si>
    <t>XM_016590113.1</t>
  </si>
  <si>
    <t>Nitab4.5_0004637g0030.1</t>
  </si>
  <si>
    <t>XM_016634761.1</t>
  </si>
  <si>
    <t>Nitab4.5_0006721g0030.1</t>
  </si>
  <si>
    <t>XM_016632977.1</t>
  </si>
  <si>
    <t>Nitab4.5_0002606g0030.1</t>
  </si>
  <si>
    <t>XM_016626108.1</t>
  </si>
  <si>
    <t>Nitab4.5_0001891g0100.1</t>
  </si>
  <si>
    <t>XM_016617051.1</t>
  </si>
  <si>
    <t>AT4G38660.1</t>
  </si>
  <si>
    <t>Nitab4.5_0000461g0040.1</t>
  </si>
  <si>
    <t>XM_016583001.1</t>
  </si>
  <si>
    <t>AT3G20150.1</t>
  </si>
  <si>
    <t>Nitab4.5_0001232g0040.1</t>
  </si>
  <si>
    <t>Nitab4.5_0004559g0010.1</t>
  </si>
  <si>
    <t>Nitab4.5_0000062g0170.1</t>
  </si>
  <si>
    <t>Nitab4.5_0000461g0300.1</t>
  </si>
  <si>
    <t>Nitab4.5_0000707g0240.1</t>
  </si>
  <si>
    <t>XM_016652815.1</t>
  </si>
  <si>
    <t xml:space="preserve">TOPII, ATTOPII: topoisomerase II </t>
  </si>
  <si>
    <t>AT3G23890.1</t>
  </si>
  <si>
    <t>XM_016607844.1</t>
  </si>
  <si>
    <t>Nitab4.5_0002918g0080.1</t>
  </si>
  <si>
    <t>XM_016615196.1</t>
  </si>
  <si>
    <t>Nitab4.5_0021283g0010.1</t>
  </si>
  <si>
    <t>XM_016630877.1</t>
  </si>
  <si>
    <t xml:space="preserve">FLA2: FASCICLIN-like arabinogalactan 2 </t>
  </si>
  <si>
    <t>AT4G12730.1</t>
  </si>
  <si>
    <t>Nitab4.5_0008232g0020.1</t>
  </si>
  <si>
    <t>Nitab4.5_0003382g0020.1</t>
  </si>
  <si>
    <t>XM_016624933.1</t>
  </si>
  <si>
    <t>AT5G59720</t>
  </si>
  <si>
    <t>Peroxidase superfamily protein', Solanaceae</t>
  </si>
  <si>
    <t>XH/XS domain-containing protein', Solanaceae</t>
  </si>
  <si>
    <t>ABC transporter similar to AT2G27180.1  or At3G11690</t>
  </si>
  <si>
    <t>AT3G11690</t>
  </si>
  <si>
    <t>Auxin efflux carrier family protein' PILS</t>
  </si>
  <si>
    <t>AT1G76650</t>
  </si>
  <si>
    <t>Homeodomain-like superfamily, C2H2- zinc finger protein family, Trihelix transcription factor GT3, Myb-like domain</t>
  </si>
  <si>
    <t>AT5G42380</t>
  </si>
  <si>
    <t xml:space="preserve">AT2G26430 </t>
  </si>
  <si>
    <t>AT1G15380</t>
  </si>
  <si>
    <t>x</t>
  </si>
  <si>
    <t>CYC1BAT, CYCB1;2: Cyclin family protein, G1/S checkpoint</t>
  </si>
  <si>
    <t>Publication Detail</t>
  </si>
  <si>
    <t>FZR3: FIZZY-related 3, CCB52 prometaphase regualtion with CycB (through APC)</t>
  </si>
  <si>
    <t>The auxin influx carrier LAX3 promotes lateral root emergence | Nature Cell Biology</t>
  </si>
  <si>
    <t>TPX2: targeting protein for XKLP2 , Involved in mitotic spindle assembly during late prophase and early prometaphase</t>
  </si>
  <si>
    <t>Maternal ENODLs Are Required for Pollen Tube Reception in Arabidopsis - ScienceDirect</t>
  </si>
  <si>
    <t>ENODL15, AtENODL15: early nodulin-like protein 15, GPI anchored PM protein, for the cell to cell interaction</t>
  </si>
  <si>
    <t>CYC3B, CYC2BAT, CYCA2;2: mitotic-like cyclin 3B from Arabidopsis , G2/M, endoreduplication</t>
  </si>
  <si>
    <t>unknown protein; interferon-activable protein;</t>
  </si>
  <si>
    <t>Phosphorylation-regulated SEC14-GOLD PATELLIN lipid transfer proteins - ScienceDirect</t>
  </si>
  <si>
    <t>Sec14p-like phosphatidylinositol transfer family protein, PATL4</t>
  </si>
  <si>
    <t>Reticulon family protein, RTN17</t>
  </si>
  <si>
    <t>The odd one out: Arabidopsis reticulon 20 does not bend ER membranes but has a role in lipid regulation | Scientific Reports</t>
  </si>
  <si>
    <t>trichohyalin</t>
  </si>
  <si>
    <t>The plant‐specific family of DNA‐binding proteins containing three HMG‐box domains interacts with mitotic and meiotic chromosomes - Pedersen - 2011 - New Phytologist - Wiley Online Library</t>
  </si>
  <si>
    <t>aspartic/glutamic acid-rich protein</t>
  </si>
  <si>
    <t>AT1G28640</t>
  </si>
  <si>
    <t>AT1G63100</t>
  </si>
  <si>
    <t>AT5G66460</t>
  </si>
  <si>
    <t xml:space="preserve">Kinase interacting (KIP1-like) family protein, NET3A at nuclear membrane </t>
  </si>
  <si>
    <t>P-loop containing nucleoside triphosphate hydrolase, kinesin</t>
  </si>
  <si>
    <t>unknown protein similar to AT1G17030.1, hypothetical</t>
  </si>
  <si>
    <t>GPI-anchored adhesin-like protein, Encodes a member of the TRM superfamily, that plays a role in preprophase band formation during plant cell division and controls the robustness of the orientation of that cell division. Its transcription is regulated by the cell cycle and peaks at the G2/M transition. TON1 RECRUITING MOTIF 7;TRM7</t>
  </si>
  <si>
    <t>The preprophase band of microtubules controls the robustness of division orientation in plants | Science</t>
  </si>
  <si>
    <t>AT1G53130</t>
  </si>
  <si>
    <t>GRIM REAPER (GRI), involved in the regulation of cell death induced by extracellular ROS (reactive oxygen species). Secreted into the extracellular space.</t>
  </si>
  <si>
    <t>GRIM REAPER peptide binds to receptor kinase PRK5 to trigger cell death in Arabidopsis | The EMBO Journal</t>
  </si>
  <si>
    <t>BIIDXI, the At4g32460 DUF642 gene, is involved in pectin methyl esterase regulation during Arabidopsis thalianaseed germination and plant development | BMC Plant Biology</t>
  </si>
  <si>
    <t>AT3G46430.1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</si>
</sst>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1"/>
      <color theme="1"/>
      <name val="Calibri"/>
      <family val="2"/>
      <charset val="238"/>
      <scheme val="minor"/>
    </font>
    <font>
      <u/>
      <sz val="11"/>
      <color theme="10"/>
      <name val="Calibri"/>
      <family val="2"/>
      <scheme val="minor"/>
    </font>
    <font>
      <sz val="11"/>
      <color rgb="FFFE0000"/>
      <name val="Calibri"/>
      <family val="2"/>
      <scheme val="minor"/>
    </font>
    <font>
      <b/>
      <sz val="14"/>
      <color theme="1"/>
      <name val="Calibri"/>
      <family val="2"/>
      <scheme val="minor"/>
    </font>
    <font>
      <b/>
      <sz val="12"/>
      <color theme="1"/>
      <name val="Calibri"/>
      <family val="2"/>
      <scheme val="minor"/>
    </font>
    <font>
      <sz val="11"/>
      <name val="Calibri"/>
      <family val="2"/>
      <scheme val="minor"/>
    </font>
    <font>
      <sz val="11"/>
      <color theme="5" tint="-0.499984740745262"/>
      <name val="Calibri"/>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5" tint="-0.249977111117893"/>
        <bgColor indexed="64"/>
      </patternFill>
    </fill>
    <fill>
      <patternFill patternType="solid">
        <fgColor rgb="FFFFFF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34">
    <xf numFmtId="0" fontId="0" fillId="0" borderId="0" xfId="0"/>
    <xf numFmtId="0" fontId="0" fillId="0" borderId="0" xfId="0" applyAlignment="1">
      <alignment horizontal="center" vertical="center" wrapText="1"/>
    </xf>
    <xf numFmtId="0" fontId="0" fillId="4" borderId="0" xfId="0" applyFill="1"/>
    <xf numFmtId="0" fontId="1" fillId="0" borderId="0" xfId="0" applyFont="1" applyAlignment="1">
      <alignment horizontal="center" vertical="center" wrapText="1"/>
    </xf>
    <xf numFmtId="1" fontId="0" fillId="2" borderId="0" xfId="0" applyNumberFormat="1" applyFill="1"/>
    <xf numFmtId="2" fontId="0" fillId="2" borderId="0" xfId="0" applyNumberFormat="1" applyFill="1"/>
    <xf numFmtId="2" fontId="0" fillId="3" borderId="0" xfId="0" applyNumberFormat="1" applyFill="1"/>
    <xf numFmtId="2" fontId="2" fillId="2" borderId="0" xfId="0" applyNumberFormat="1" applyFont="1" applyFill="1"/>
    <xf numFmtId="2" fontId="2" fillId="3" borderId="0" xfId="0" applyNumberFormat="1" applyFont="1" applyFill="1"/>
    <xf numFmtId="11" fontId="0" fillId="0" borderId="0" xfId="0" applyNumberFormat="1"/>
    <xf numFmtId="0" fontId="2" fillId="0" borderId="0" xfId="0" applyFont="1"/>
    <xf numFmtId="1" fontId="0" fillId="3" borderId="0" xfId="0" applyNumberFormat="1" applyFill="1"/>
    <xf numFmtId="0" fontId="0" fillId="2" borderId="0" xfId="0" applyFill="1"/>
    <xf numFmtId="0" fontId="4" fillId="2" borderId="0" xfId="0" applyFont="1" applyFill="1"/>
    <xf numFmtId="14" fontId="0" fillId="2" borderId="0" xfId="0" applyNumberFormat="1" applyFill="1"/>
    <xf numFmtId="0" fontId="0" fillId="3" borderId="0" xfId="0" applyFill="1"/>
    <xf numFmtId="0" fontId="4" fillId="3" borderId="0" xfId="0" applyFont="1" applyFill="1"/>
    <xf numFmtId="14" fontId="0" fillId="3" borderId="0" xfId="0" applyNumberFormat="1" applyFill="1"/>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1" fillId="0" borderId="0" xfId="0" applyFont="1"/>
    <xf numFmtId="0" fontId="1" fillId="4" borderId="0" xfId="0" applyFont="1" applyFill="1"/>
    <xf numFmtId="0" fontId="6" fillId="0" borderId="0" xfId="0" applyFont="1" applyAlignment="1">
      <alignment horizontal="center"/>
    </xf>
    <xf numFmtId="0" fontId="6" fillId="0" borderId="0" xfId="0" applyFont="1" applyAlignment="1">
      <alignment horizontal="center" vertical="center" wrapText="1"/>
    </xf>
    <xf numFmtId="0" fontId="3" fillId="0" borderId="0" xfId="1"/>
    <xf numFmtId="0" fontId="3" fillId="0" borderId="0" xfId="1" applyFill="1"/>
    <xf numFmtId="0" fontId="7" fillId="0" borderId="0" xfId="0" applyFont="1"/>
    <xf numFmtId="0" fontId="8" fillId="0" borderId="0" xfId="0" applyFont="1"/>
    <xf numFmtId="11" fontId="8" fillId="0" borderId="0" xfId="0" applyNumberFormat="1" applyFont="1"/>
    <xf numFmtId="11" fontId="7" fillId="0" borderId="0" xfId="0" applyNumberFormat="1" applyFont="1"/>
    <xf numFmtId="0" fontId="0" fillId="0" borderId="0" xfId="0" quotePrefix="1"/>
    <xf numFmtId="0" fontId="7" fillId="0" borderId="0" xfId="1" applyFont="1"/>
    <xf numFmtId="0" fontId="5" fillId="0" borderId="0" xfId="0" applyFont="1" applyAlignment="1">
      <alignment horizontal="center"/>
    </xf>
    <xf numFmtId="0" fontId="5" fillId="4"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asuch-my.sharepoint.com/personal/petrasek_ueb_cas_cz/Documents/Peter_Marhavy/NGS_stac_exp/10DOversus1DO_BY2_time_course_completela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istical criteria"/>
      <sheetName val="samples"/>
      <sheetName val="TPMs"/>
    </sheetNames>
    <sheetDataSet>
      <sheetData sheetId="0">
        <row r="2">
          <cell r="B2">
            <v>0.05</v>
          </cell>
        </row>
        <row r="3">
          <cell r="B3">
            <v>10</v>
          </cell>
        </row>
      </sheetData>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6" Type="http://schemas.openxmlformats.org/officeDocument/2006/relationships/hyperlink" Target="https://bioinformatics.psb.ugent.be/plaza.dev/instances/dicots_05/genes/view/Nitab4.5_0005100g0050" TargetMode="External"/><Relationship Id="rId21" Type="http://schemas.openxmlformats.org/officeDocument/2006/relationships/hyperlink" Target="https://bioinformatics.psb.ugent.be/plaza.dev/instances/dicots_05/genes/view/Nitab4.5_0002537g0030" TargetMode="External"/><Relationship Id="rId42" Type="http://schemas.openxmlformats.org/officeDocument/2006/relationships/hyperlink" Target="https://bioinformatics.psb.ugent.be/plaza.dev/instances/dicots_05/genes/view/Nitab4.5_0003722g0030" TargetMode="External"/><Relationship Id="rId47" Type="http://schemas.openxmlformats.org/officeDocument/2006/relationships/hyperlink" Target="https://bioinformatics.psb.ugent.be/plaza.dev/instances/dicots_05/genes/view/Nitab4.5_0000707g0240" TargetMode="External"/><Relationship Id="rId63" Type="http://schemas.openxmlformats.org/officeDocument/2006/relationships/hyperlink" Target="https://bioinformatics.psb.ugent.be/plaza.dev/instances/dicots_05/genes/view/Nitab4.5_0002139g0020" TargetMode="External"/><Relationship Id="rId68" Type="http://schemas.openxmlformats.org/officeDocument/2006/relationships/hyperlink" Target="https://bioinformatics.psb.ugent.be/plaza.dev/instances/dicots_05/genes/view/Nitab4.5_0006448g0020" TargetMode="External"/><Relationship Id="rId84" Type="http://schemas.openxmlformats.org/officeDocument/2006/relationships/hyperlink" Target="https://bioinformatics.psb.ugent.be/plaza.dev/instances/dicots_05/genes/view/Nitab4.5_0002949g0040" TargetMode="External"/><Relationship Id="rId89" Type="http://schemas.openxmlformats.org/officeDocument/2006/relationships/hyperlink" Target="https://www.embopress.org/doi/full/10.15252/embj.201488582" TargetMode="External"/><Relationship Id="rId16" Type="http://schemas.openxmlformats.org/officeDocument/2006/relationships/hyperlink" Target="https://bioinformatics.psb.ugent.be/plaza.dev/instances/dicots_05/genes/view/Nitab4.5_0009648g0020" TargetMode="External"/><Relationship Id="rId11" Type="http://schemas.openxmlformats.org/officeDocument/2006/relationships/hyperlink" Target="https://bioinformatics.psb.ugent.be/plaza.dev/instances/dicots_05/genes/view/Nitab4.5_0001904g0070" TargetMode="External"/><Relationship Id="rId32" Type="http://schemas.openxmlformats.org/officeDocument/2006/relationships/hyperlink" Target="https://bioinformatics.psb.ugent.be/plaza.dev/instances/dicots_05/genes/view/Nitab4.5_0001357g0030" TargetMode="External"/><Relationship Id="rId37" Type="http://schemas.openxmlformats.org/officeDocument/2006/relationships/hyperlink" Target="https://bioinformatics.psb.ugent.be/plaza.dev/instances/dicots_05/genes/view/Nitab4.5_0003247g0010" TargetMode="External"/><Relationship Id="rId53" Type="http://schemas.openxmlformats.org/officeDocument/2006/relationships/hyperlink" Target="https://bioinformatics.psb.ugent.be/plaza.dev/instances/dicots_05/genes/view/Nitab4.5_0001232g0040" TargetMode="External"/><Relationship Id="rId58" Type="http://schemas.openxmlformats.org/officeDocument/2006/relationships/hyperlink" Target="https://bioinformatics.psb.ugent.be/plaza.dev/instances/dicots_05/genes/view/Nitab4.5_0006721g0030" TargetMode="External"/><Relationship Id="rId74" Type="http://schemas.openxmlformats.org/officeDocument/2006/relationships/hyperlink" Target="https://bioinformatics.psb.ugent.be/plaza.dev/instances/dicots_05/genes/view/Nitab4.5_0000048g0070" TargetMode="External"/><Relationship Id="rId79" Type="http://schemas.openxmlformats.org/officeDocument/2006/relationships/hyperlink" Target="https://bioinformatics.psb.ugent.be/plaza.dev/instances/dicots_05/genes/view/Nitab4.5_0005660g0010" TargetMode="External"/><Relationship Id="rId5" Type="http://schemas.openxmlformats.org/officeDocument/2006/relationships/hyperlink" Target="https://bioinformatics.psb.ugent.be/plaza.dev/instances/dicots_05/genes/view/Nitab4.5_0009946g0020" TargetMode="External"/><Relationship Id="rId90" Type="http://schemas.openxmlformats.org/officeDocument/2006/relationships/hyperlink" Target="https://bioinformatics.psb.ugent.be/plaza.dev/instances/dicots_05/genes/view/Nitab4.5_0000671g0160" TargetMode="External"/><Relationship Id="rId14" Type="http://schemas.openxmlformats.org/officeDocument/2006/relationships/hyperlink" Target="https://bioinformatics.psb.ugent.be/plaza.dev/instances/dicots_05/genes/view/Nitab4.5_0002066g0110" TargetMode="External"/><Relationship Id="rId22" Type="http://schemas.openxmlformats.org/officeDocument/2006/relationships/hyperlink" Target="https://bioinformatics.psb.ugent.be/plaza.dev/instances/dicots_05/genes/view/Nitab4.5_0000040g0340" TargetMode="External"/><Relationship Id="rId27" Type="http://schemas.openxmlformats.org/officeDocument/2006/relationships/hyperlink" Target="https://bioinformatics.psb.ugent.be/plaza.dev/instances/dicots_05/genes/view/Nitab4.5_0000036g0420" TargetMode="External"/><Relationship Id="rId30" Type="http://schemas.openxmlformats.org/officeDocument/2006/relationships/hyperlink" Target="https://bioinformatics.psb.ugent.be/plaza.dev/instances/dicots_05/genes/view/Nitab4.5_0002498g0070" TargetMode="External"/><Relationship Id="rId35" Type="http://schemas.openxmlformats.org/officeDocument/2006/relationships/hyperlink" Target="https://bioinformatics.psb.ugent.be/plaza.dev/instances/dicots_05/genes/view/Nitab4.5_0002302g0040" TargetMode="External"/><Relationship Id="rId43" Type="http://schemas.openxmlformats.org/officeDocument/2006/relationships/hyperlink" Target="https://bioinformatics.psb.ugent.be/plaza.dev/instances/dicots_05/genes/view/Nitab4.5_0003382g0020" TargetMode="External"/><Relationship Id="rId48" Type="http://schemas.openxmlformats.org/officeDocument/2006/relationships/hyperlink" Target="https://bioinformatics.psb.ugent.be/plaza.dev/instances/dicots_05/genes/view/Nitab4.5_0016299g0010" TargetMode="External"/><Relationship Id="rId56" Type="http://schemas.openxmlformats.org/officeDocument/2006/relationships/hyperlink" Target="https://bioinformatics.psb.ugent.be/plaza.dev/instances/dicots_05/genes/view/Nitab4.5_0001891g0100" TargetMode="External"/><Relationship Id="rId64" Type="http://schemas.openxmlformats.org/officeDocument/2006/relationships/hyperlink" Target="https://www.sciencedirect.com/science/article/pii/S1360138525002213?via%3Dihub" TargetMode="External"/><Relationship Id="rId69" Type="http://schemas.openxmlformats.org/officeDocument/2006/relationships/hyperlink" Target="https://bioinformatics.psb.ugent.be/plaza.dev/instances/dicots_05/genes/view/Nitab4.5_0000410g0350" TargetMode="External"/><Relationship Id="rId77" Type="http://schemas.openxmlformats.org/officeDocument/2006/relationships/hyperlink" Target="https://bioinformatics.psb.ugent.be/plaza.dev/instances/dicots_05/genes/view/Nitab4.5_0003200g0100" TargetMode="External"/><Relationship Id="rId8" Type="http://schemas.openxmlformats.org/officeDocument/2006/relationships/hyperlink" Target="https://bioinformatics.psb.ugent.be/plaza.dev/instances/dicots_05/genes/view/Nitab4.5_0000032g0010" TargetMode="External"/><Relationship Id="rId51" Type="http://schemas.openxmlformats.org/officeDocument/2006/relationships/hyperlink" Target="https://bioinformatics.psb.ugent.be/plaza.dev/instances/dicots_05/genes/view/Nitab4.5_0004559g0010" TargetMode="External"/><Relationship Id="rId72" Type="http://schemas.openxmlformats.org/officeDocument/2006/relationships/hyperlink" Target="https://bioinformatics.psb.ugent.be/plaza.dev/instances/dicots_05/genes/view/Nitab4.5_0000223g0250" TargetMode="External"/><Relationship Id="rId80" Type="http://schemas.openxmlformats.org/officeDocument/2006/relationships/hyperlink" Target="https://bioinformatics.psb.ugent.be/plaza.dev/instances/dicots_05/genes/view/Nitab4.5_0000824g0080" TargetMode="External"/><Relationship Id="rId85" Type="http://schemas.openxmlformats.org/officeDocument/2006/relationships/hyperlink" Target="https://bioinformatics.psb.ugent.be/plaza.dev/instances/dicots_05/genes/view/Nitab4.5_0001695g0010" TargetMode="External"/><Relationship Id="rId3" Type="http://schemas.openxmlformats.org/officeDocument/2006/relationships/hyperlink" Target="https://bioinformatics.psb.ugent.be/plaza.dev/instances/dicots_05/genes/view/Nitab4.5_0000278g0010" TargetMode="External"/><Relationship Id="rId12" Type="http://schemas.openxmlformats.org/officeDocument/2006/relationships/hyperlink" Target="https://bioinformatics.psb.ugent.be/plaza.dev/instances/dicots_05/genes/view/Nitab4.5_0000662g0180" TargetMode="External"/><Relationship Id="rId17" Type="http://schemas.openxmlformats.org/officeDocument/2006/relationships/hyperlink" Target="https://bioinformatics.psb.ugent.be/plaza.dev/instances/dicots_05/genes/view/Nitab4.5_0001301g0090" TargetMode="External"/><Relationship Id="rId25" Type="http://schemas.openxmlformats.org/officeDocument/2006/relationships/hyperlink" Target="https://bioinformatics.psb.ugent.be/plaza.dev/instances/dicots_05/genes/view/Nitab4.5_0006888g0010" TargetMode="External"/><Relationship Id="rId33" Type="http://schemas.openxmlformats.org/officeDocument/2006/relationships/hyperlink" Target="https://bioinformatics.psb.ugent.be/plaza.dev/instances/dicots_05/genes/view/Nitab4.5_0001646g0050" TargetMode="External"/><Relationship Id="rId38" Type="http://schemas.openxmlformats.org/officeDocument/2006/relationships/hyperlink" Target="https://bioinformatics.psb.ugent.be/plaza.dev/instances/dicots_05/genes/view/Nitab4.5_0012887g0010" TargetMode="External"/><Relationship Id="rId46" Type="http://schemas.openxmlformats.org/officeDocument/2006/relationships/hyperlink" Target="https://bioinformatics.psb.ugent.be/plaza.dev/instances/dicots_05/genes/view/Nitab4.5_0002918g0080" TargetMode="External"/><Relationship Id="rId59" Type="http://schemas.openxmlformats.org/officeDocument/2006/relationships/hyperlink" Target="https://www.sciencedirect.com/science/article/pii/S0960982216306947?via%3Dihub" TargetMode="External"/><Relationship Id="rId67" Type="http://schemas.openxmlformats.org/officeDocument/2006/relationships/hyperlink" Target="https://www.nature.com/articles/s41598-018-20840-0" TargetMode="External"/><Relationship Id="rId20" Type="http://schemas.openxmlformats.org/officeDocument/2006/relationships/hyperlink" Target="https://bioinformatics.psb.ugent.be/plaza.dev/instances/dicots_05/genes/view/Nitab4.5_0002537g0010" TargetMode="External"/><Relationship Id="rId41" Type="http://schemas.openxmlformats.org/officeDocument/2006/relationships/hyperlink" Target="https://bioinformatics.psb.ugent.be/plaza.dev/instances/dicots_05/genes/view/Nitab4.5_0005181g0060" TargetMode="External"/><Relationship Id="rId54" Type="http://schemas.openxmlformats.org/officeDocument/2006/relationships/hyperlink" Target="https://www.nature.com/articles/ncb1754" TargetMode="External"/><Relationship Id="rId62" Type="http://schemas.openxmlformats.org/officeDocument/2006/relationships/hyperlink" Target="https://bioinformatics.psb.ugent.be/plaza.dev/instances/dicots_05/genes/view/Nitab4.5_0002477g0020" TargetMode="External"/><Relationship Id="rId70" Type="http://schemas.openxmlformats.org/officeDocument/2006/relationships/hyperlink" Target="https://bioinformatics.psb.ugent.be/plaza.dev/instances/dicots_05/genes/view/Nitab4.5_0000495g0180" TargetMode="External"/><Relationship Id="rId75" Type="http://schemas.openxmlformats.org/officeDocument/2006/relationships/hyperlink" Target="https://bioinformatics.psb.ugent.be/plaza.dev/instances/dicots_05/genes/view/Nitab4.5_0000733g0160" TargetMode="External"/><Relationship Id="rId83" Type="http://schemas.openxmlformats.org/officeDocument/2006/relationships/hyperlink" Target="https://bioinformatics.psb.ugent.be/plaza.dev/instances/dicots_05/genes/view/Nitab4.5_0008128g0030" TargetMode="External"/><Relationship Id="rId88" Type="http://schemas.openxmlformats.org/officeDocument/2006/relationships/hyperlink" Target="https://bioinformatics.psb.ugent.be/plaza.dev/instances/dicots_05/genes/view/Nitab4.5_0001336g0090" TargetMode="External"/><Relationship Id="rId91" Type="http://schemas.openxmlformats.org/officeDocument/2006/relationships/hyperlink" Target="https://link.springer.com/article/10.1186/s12870-014-0338-8" TargetMode="External"/><Relationship Id="rId1" Type="http://schemas.openxmlformats.org/officeDocument/2006/relationships/hyperlink" Target="https://www.ncbi.nlm.nih.gov/gene/827411" TargetMode="External"/><Relationship Id="rId6" Type="http://schemas.openxmlformats.org/officeDocument/2006/relationships/hyperlink" Target="https://bioinformatics.psb.ugent.be/plaza.dev/instances/dicots_05/genes/view/Nitab4.5_0000073g0350" TargetMode="External"/><Relationship Id="rId15" Type="http://schemas.openxmlformats.org/officeDocument/2006/relationships/hyperlink" Target="https://bioinformatics.psb.ugent.be/plaza.dev/instances/dicots_05/genes/view/Nitab4.5_0000500g0190" TargetMode="External"/><Relationship Id="rId23" Type="http://schemas.openxmlformats.org/officeDocument/2006/relationships/hyperlink" Target="https://bioinformatics.psb.ugent.be/plaza.dev/instances/dicots_05/genes/view/Nitab4.5_0006895g0010" TargetMode="External"/><Relationship Id="rId28" Type="http://schemas.openxmlformats.org/officeDocument/2006/relationships/hyperlink" Target="https://bioinformatics.psb.ugent.be/plaza.dev/instances/dicots_05/genes/view/Nitab4.5_0001114g0030" TargetMode="External"/><Relationship Id="rId36" Type="http://schemas.openxmlformats.org/officeDocument/2006/relationships/hyperlink" Target="https://bioinformatics.psb.ugent.be/plaza.dev/instances/dicots_05/genes/view/Nitab4.5_0005743g0010" TargetMode="External"/><Relationship Id="rId49" Type="http://schemas.openxmlformats.org/officeDocument/2006/relationships/hyperlink" Target="https://bioinformatics.psb.ugent.be/plaza.dev/instances/dicots_05/genes/view/Nitab4.5_0000461g0300" TargetMode="External"/><Relationship Id="rId57" Type="http://schemas.openxmlformats.org/officeDocument/2006/relationships/hyperlink" Target="https://bioinformatics.psb.ugent.be/plaza.dev/instances/dicots_05/genes/view/Nitab4.5_0002606g0030" TargetMode="External"/><Relationship Id="rId10" Type="http://schemas.openxmlformats.org/officeDocument/2006/relationships/hyperlink" Target="https://bioinformatics.psb.ugent.be/plaza.dev/instances/dicots_05/genes/view/Nitab4.5_0005255g0010" TargetMode="External"/><Relationship Id="rId31" Type="http://schemas.openxmlformats.org/officeDocument/2006/relationships/hyperlink" Target="https://bioinformatics.psb.ugent.be/plaza.dev/instances/dicots_05/genes/view/Nitab4.5_0007276g0010" TargetMode="External"/><Relationship Id="rId44" Type="http://schemas.openxmlformats.org/officeDocument/2006/relationships/hyperlink" Target="https://bioinformatics.psb.ugent.be/plaza.dev/instances/dicots_05/genes/view/Nitab4.5_0008232g0020" TargetMode="External"/><Relationship Id="rId52" Type="http://schemas.openxmlformats.org/officeDocument/2006/relationships/hyperlink" Target="https://www.arabidopsis.org/publication?key=501778089" TargetMode="External"/><Relationship Id="rId60" Type="http://schemas.openxmlformats.org/officeDocument/2006/relationships/hyperlink" Target="https://bioinformatics.psb.ugent.be/plaza.dev/instances/dicots_05/genes/view/Nitab4.5_0002011g0060" TargetMode="External"/><Relationship Id="rId65" Type="http://schemas.openxmlformats.org/officeDocument/2006/relationships/hyperlink" Target="https://bioinformatics.psb.ugent.be/plaza.dev/instances/dicots_05/genes/view/Nitab4.5_0011416g0010" TargetMode="External"/><Relationship Id="rId73" Type="http://schemas.openxmlformats.org/officeDocument/2006/relationships/hyperlink" Target="https://bioinformatics.psb.ugent.be/plaza.dev/instances/dicots_05/genes/view/Nitab4.5_0005081g0100" TargetMode="External"/><Relationship Id="rId78" Type="http://schemas.openxmlformats.org/officeDocument/2006/relationships/hyperlink" Target="https://bioinformatics.psb.ugent.be/plaza.dev/instances/dicots_05/genes/view/Nitab4.5_0014837g0010" TargetMode="External"/><Relationship Id="rId81" Type="http://schemas.openxmlformats.org/officeDocument/2006/relationships/hyperlink" Target="https://bioinformatics.psb.ugent.be/plaza.dev/instances/dicots_05/genes/view/Nitab4.5_0004509g0030" TargetMode="External"/><Relationship Id="rId86" Type="http://schemas.openxmlformats.org/officeDocument/2006/relationships/hyperlink" Target="https://www.science.org/doi/10.1126/science.aal3016" TargetMode="External"/><Relationship Id="rId4" Type="http://schemas.openxmlformats.org/officeDocument/2006/relationships/hyperlink" Target="https://bioinformatics.psb.ugent.be/plaza.dev/instances/dicots_05/genes/view/AT5G59720" TargetMode="External"/><Relationship Id="rId9" Type="http://schemas.openxmlformats.org/officeDocument/2006/relationships/hyperlink" Target="https://bioinformatics.psb.ugent.be/plaza.dev/instances/dicots_05/genes/view/Nitab4.5_0009672g0010" TargetMode="External"/><Relationship Id="rId13" Type="http://schemas.openxmlformats.org/officeDocument/2006/relationships/hyperlink" Target="https://www.uniprot.org/uniprotkb/Q9FS16/entry" TargetMode="External"/><Relationship Id="rId18" Type="http://schemas.openxmlformats.org/officeDocument/2006/relationships/hyperlink" Target="https://bioinformatics.psb.ugent.be/plaza.dev/instances/dicots_05/genes/view/Nitab4.5_0010009g0010" TargetMode="External"/><Relationship Id="rId39" Type="http://schemas.openxmlformats.org/officeDocument/2006/relationships/hyperlink" Target="https://bioinformatics.psb.ugent.be/plaza.dev/instances/dicots_05/genes/view/Nitab4.5_0002498g0080" TargetMode="External"/><Relationship Id="rId34" Type="http://schemas.openxmlformats.org/officeDocument/2006/relationships/hyperlink" Target="https://bioinformatics.psb.ugent.be/plaza.dev/instances/dicots_05/genes/view/Nitab4.5_0004937g0030" TargetMode="External"/><Relationship Id="rId50" Type="http://schemas.openxmlformats.org/officeDocument/2006/relationships/hyperlink" Target="https://bioinformatics.psb.ugent.be/plaza.dev/instances/dicots_05/genes/view/Nitab4.5_0000062g0170" TargetMode="External"/><Relationship Id="rId55" Type="http://schemas.openxmlformats.org/officeDocument/2006/relationships/hyperlink" Target="https://bioinformatics.psb.ugent.be/plaza.dev/instances/dicots_05/genes/view/Nitab4.5_0000461g0040" TargetMode="External"/><Relationship Id="rId76" Type="http://schemas.openxmlformats.org/officeDocument/2006/relationships/hyperlink" Target="https://bioinformatics.psb.ugent.be/plaza.dev/instances/dicots_05/genes/view/Nitab4.5_0002853g0080" TargetMode="External"/><Relationship Id="rId7" Type="http://schemas.openxmlformats.org/officeDocument/2006/relationships/hyperlink" Target="https://bioinformatics.psb.ugent.be/plaza.dev/instances/dicots_05/genes/view/Nitab4.5_0014015g0010" TargetMode="External"/><Relationship Id="rId71" Type="http://schemas.openxmlformats.org/officeDocument/2006/relationships/hyperlink" Target="https://nph.onlinelibrary.wiley.com/doi/10.1111/j.1469-8137.2011.03828.x" TargetMode="External"/><Relationship Id="rId92" Type="http://schemas.openxmlformats.org/officeDocument/2006/relationships/printerSettings" Target="../printerSettings/printerSettings1.bin"/><Relationship Id="rId2" Type="http://schemas.openxmlformats.org/officeDocument/2006/relationships/hyperlink" Target="https://bioinformatics.psb.ugent.be/plaza.dev/instances/dicots_05/genes/view/Nitab4.5_0022765g0010" TargetMode="External"/><Relationship Id="rId29" Type="http://schemas.openxmlformats.org/officeDocument/2006/relationships/hyperlink" Target="https://bioinformatics.psb.ugent.be/plaza.dev/instances/dicots_05/genes/view/Nitab4.5_0000365g0160" TargetMode="External"/><Relationship Id="rId24" Type="http://schemas.openxmlformats.org/officeDocument/2006/relationships/hyperlink" Target="https://bioinformatics.psb.ugent.be/plaza.dev/instances/dicots_05/genes/view/Nitab4.5_0001488g0020" TargetMode="External"/><Relationship Id="rId40" Type="http://schemas.openxmlformats.org/officeDocument/2006/relationships/hyperlink" Target="https://bioinformatics.psb.ugent.be/plaza.dev/instances/dicots_05/genes/view/Nitab4.5_0000753g0140" TargetMode="External"/><Relationship Id="rId45" Type="http://schemas.openxmlformats.org/officeDocument/2006/relationships/hyperlink" Target="https://bioinformatics.psb.ugent.be/plaza.dev/instances/dicots_05/genes/view/Nitab4.5_0021283g0010" TargetMode="External"/><Relationship Id="rId66" Type="http://schemas.openxmlformats.org/officeDocument/2006/relationships/hyperlink" Target="https://bioinformatics.psb.ugent.be/plaza.dev/instances/dicots_05/genes/view/Nitab4.5_0003076g0050" TargetMode="External"/><Relationship Id="rId87" Type="http://schemas.openxmlformats.org/officeDocument/2006/relationships/hyperlink" Target="https://bioinformatics.psb.ugent.be/plaza.dev/instances/dicots_05/genes/view/Nitab4.5_0005155g0020" TargetMode="External"/><Relationship Id="rId61" Type="http://schemas.openxmlformats.org/officeDocument/2006/relationships/hyperlink" Target="https://bioinformatics.psb.ugent.be/plaza.dev/instances/dicots_05/genes/view/Nitab4.5_0004637g0030" TargetMode="External"/><Relationship Id="rId82" Type="http://schemas.openxmlformats.org/officeDocument/2006/relationships/hyperlink" Target="https://bioinformatics.psb.ugent.be/plaza.dev/instances/dicots_05/genes/view/Nitab4.5_0003194g0040" TargetMode="External"/><Relationship Id="rId19" Type="http://schemas.openxmlformats.org/officeDocument/2006/relationships/hyperlink" Target="https://bioinformatics.psb.ugent.be/plaza.dev/instances/dicots_05/genes/view/Nitab4.5_0003893g003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
  <sheetViews>
    <sheetView workbookViewId="0">
      <selection activeCell="F9" sqref="F9"/>
    </sheetView>
  </sheetViews>
  <sheetFormatPr defaultColWidth="14.26953125" defaultRowHeight="14.5" x14ac:dyDescent="0.35"/>
  <cols>
    <col min="5" max="5" width="18.7265625" customWidth="1"/>
  </cols>
  <sheetData>
    <row r="1" spans="1:13" s="1" customFormat="1" ht="29" x14ac:dyDescent="0.35">
      <c r="A1" s="1" t="s">
        <v>339</v>
      </c>
      <c r="B1" s="1" t="s">
        <v>340</v>
      </c>
      <c r="C1" s="1" t="s">
        <v>341</v>
      </c>
      <c r="D1" s="1" t="s">
        <v>342</v>
      </c>
      <c r="E1" s="1" t="s">
        <v>343</v>
      </c>
      <c r="F1" s="1" t="s">
        <v>344</v>
      </c>
      <c r="G1" s="1" t="s">
        <v>345</v>
      </c>
      <c r="H1" s="1" t="s">
        <v>346</v>
      </c>
      <c r="I1" s="1" t="s">
        <v>347</v>
      </c>
      <c r="J1" s="1" t="s">
        <v>348</v>
      </c>
      <c r="K1" s="1" t="s">
        <v>349</v>
      </c>
      <c r="L1" s="1" t="s">
        <v>350</v>
      </c>
    </row>
    <row r="2" spans="1:13" x14ac:dyDescent="0.35">
      <c r="A2" s="12" t="s">
        <v>355</v>
      </c>
      <c r="B2" s="12" t="s">
        <v>4</v>
      </c>
      <c r="C2" s="13">
        <v>1921</v>
      </c>
      <c r="D2" s="12" t="s">
        <v>351</v>
      </c>
      <c r="E2" s="12" t="s">
        <v>352</v>
      </c>
      <c r="F2" s="12" t="s">
        <v>11</v>
      </c>
      <c r="G2" s="14">
        <v>45747</v>
      </c>
      <c r="H2" s="12" t="s">
        <v>353</v>
      </c>
      <c r="I2" s="12" t="s">
        <v>354</v>
      </c>
      <c r="J2" s="12" t="s">
        <v>356</v>
      </c>
      <c r="K2" s="12">
        <v>6.8</v>
      </c>
      <c r="L2" s="12" t="s">
        <v>357</v>
      </c>
      <c r="M2" s="12"/>
    </row>
    <row r="3" spans="1:13" x14ac:dyDescent="0.35">
      <c r="A3" s="12" t="s">
        <v>355</v>
      </c>
      <c r="B3" s="12" t="s">
        <v>5</v>
      </c>
      <c r="C3" s="13">
        <v>1922</v>
      </c>
      <c r="D3" s="12" t="s">
        <v>351</v>
      </c>
      <c r="E3" s="12" t="s">
        <v>352</v>
      </c>
      <c r="F3" s="12" t="s">
        <v>11</v>
      </c>
      <c r="G3" s="14">
        <v>45747</v>
      </c>
      <c r="H3" s="12" t="s">
        <v>353</v>
      </c>
      <c r="I3" s="12" t="s">
        <v>354</v>
      </c>
      <c r="J3" s="12" t="s">
        <v>356</v>
      </c>
      <c r="K3" s="12">
        <v>5.4</v>
      </c>
      <c r="L3" s="12" t="s">
        <v>357</v>
      </c>
      <c r="M3" s="12"/>
    </row>
    <row r="4" spans="1:13" x14ac:dyDescent="0.35">
      <c r="A4" s="12" t="s">
        <v>355</v>
      </c>
      <c r="B4" s="12" t="s">
        <v>6</v>
      </c>
      <c r="C4" s="13">
        <v>1923</v>
      </c>
      <c r="D4" s="12" t="s">
        <v>351</v>
      </c>
      <c r="E4" s="12" t="s">
        <v>352</v>
      </c>
      <c r="F4" s="12" t="s">
        <v>11</v>
      </c>
      <c r="G4" s="14">
        <v>45747</v>
      </c>
      <c r="H4" s="12" t="s">
        <v>353</v>
      </c>
      <c r="I4" s="12" t="s">
        <v>354</v>
      </c>
      <c r="J4" s="12" t="s">
        <v>356</v>
      </c>
      <c r="K4" s="12">
        <v>7.2</v>
      </c>
      <c r="L4" s="12" t="s">
        <v>357</v>
      </c>
      <c r="M4" s="12"/>
    </row>
    <row r="5" spans="1:13" x14ac:dyDescent="0.35">
      <c r="A5" s="12" t="s">
        <v>355</v>
      </c>
      <c r="B5" s="12" t="s">
        <v>7</v>
      </c>
      <c r="C5" s="13">
        <v>1924</v>
      </c>
      <c r="D5" s="12" t="s">
        <v>351</v>
      </c>
      <c r="E5" s="12" t="s">
        <v>352</v>
      </c>
      <c r="F5" s="12" t="s">
        <v>11</v>
      </c>
      <c r="G5" s="14">
        <v>45747</v>
      </c>
      <c r="H5" s="12" t="s">
        <v>353</v>
      </c>
      <c r="I5" s="12" t="s">
        <v>354</v>
      </c>
      <c r="J5" s="12" t="s">
        <v>356</v>
      </c>
      <c r="K5" s="12">
        <v>5.3</v>
      </c>
      <c r="L5" s="12" t="s">
        <v>357</v>
      </c>
      <c r="M5" s="12"/>
    </row>
    <row r="6" spans="1:13" x14ac:dyDescent="0.35">
      <c r="A6" s="15" t="s">
        <v>355</v>
      </c>
      <c r="B6" s="15" t="s">
        <v>8</v>
      </c>
      <c r="C6" s="16">
        <v>1918</v>
      </c>
      <c r="D6" s="15" t="s">
        <v>358</v>
      </c>
      <c r="E6" s="15" t="s">
        <v>352</v>
      </c>
      <c r="F6" s="15" t="s">
        <v>12</v>
      </c>
      <c r="G6" s="17">
        <v>45708</v>
      </c>
      <c r="H6" s="15" t="s">
        <v>353</v>
      </c>
      <c r="I6" s="15" t="s">
        <v>354</v>
      </c>
      <c r="J6" s="15">
        <v>136</v>
      </c>
      <c r="K6" s="15">
        <v>4.9000000000000004</v>
      </c>
      <c r="L6" s="15" t="s">
        <v>357</v>
      </c>
      <c r="M6" s="15"/>
    </row>
    <row r="7" spans="1:13" x14ac:dyDescent="0.35">
      <c r="A7" s="15" t="s">
        <v>355</v>
      </c>
      <c r="B7" s="15" t="s">
        <v>9</v>
      </c>
      <c r="C7" s="16">
        <v>1920</v>
      </c>
      <c r="D7" s="15" t="s">
        <v>358</v>
      </c>
      <c r="E7" s="15" t="s">
        <v>352</v>
      </c>
      <c r="F7" s="15" t="s">
        <v>12</v>
      </c>
      <c r="G7" s="17">
        <v>45708</v>
      </c>
      <c r="H7" s="15" t="s">
        <v>353</v>
      </c>
      <c r="I7" s="15" t="s">
        <v>354</v>
      </c>
      <c r="J7" s="15">
        <v>254</v>
      </c>
      <c r="K7" s="15">
        <v>5.9</v>
      </c>
      <c r="L7" s="15" t="s">
        <v>357</v>
      </c>
      <c r="M7" s="15"/>
    </row>
    <row r="8" spans="1:13" x14ac:dyDescent="0.35">
      <c r="A8" s="15" t="s">
        <v>355</v>
      </c>
      <c r="B8" s="15" t="s">
        <v>10</v>
      </c>
      <c r="C8" s="16">
        <v>1928</v>
      </c>
      <c r="D8" s="15" t="s">
        <v>358</v>
      </c>
      <c r="E8" s="15" t="s">
        <v>352</v>
      </c>
      <c r="F8" s="15" t="s">
        <v>12</v>
      </c>
      <c r="G8" s="17">
        <v>45747</v>
      </c>
      <c r="H8" s="15" t="s">
        <v>353</v>
      </c>
      <c r="I8" s="15" t="s">
        <v>354</v>
      </c>
      <c r="J8" s="15" t="s">
        <v>356</v>
      </c>
      <c r="K8" s="15">
        <v>5.4</v>
      </c>
      <c r="L8" s="15" t="s">
        <v>357</v>
      </c>
      <c r="M8" s="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392"/>
  <sheetViews>
    <sheetView tabSelected="1" topLeftCell="P710" zoomScale="90" zoomScaleNormal="90" workbookViewId="0">
      <selection activeCell="R710" sqref="R710"/>
    </sheetView>
  </sheetViews>
  <sheetFormatPr defaultRowHeight="14.5" x14ac:dyDescent="0.35"/>
  <cols>
    <col min="1" max="1" width="26.54296875" customWidth="1"/>
    <col min="2" max="2" width="11" customWidth="1"/>
    <col min="3" max="3" width="8.81640625" customWidth="1"/>
    <col min="13" max="13" width="15.1796875" customWidth="1"/>
    <col min="14" max="14" width="13.7265625" customWidth="1"/>
    <col min="16" max="16" width="19.7265625" customWidth="1"/>
    <col min="17" max="17" width="15.81640625" customWidth="1"/>
    <col min="18" max="18" width="64.1796875" customWidth="1"/>
    <col min="19" max="19" width="22.7265625" customWidth="1"/>
    <col min="20" max="20" width="19.1796875" customWidth="1"/>
    <col min="21" max="21" width="71.1796875" customWidth="1"/>
    <col min="24" max="24" width="28.26953125" customWidth="1"/>
    <col min="27" max="27" width="29.7265625" customWidth="1"/>
  </cols>
  <sheetData>
    <row r="1" spans="1:27" s="20" customFormat="1" ht="18.5" x14ac:dyDescent="0.45">
      <c r="D1" s="32" t="s">
        <v>359</v>
      </c>
      <c r="E1" s="32"/>
      <c r="F1" s="32"/>
      <c r="G1" s="32"/>
      <c r="H1" s="32"/>
      <c r="I1" s="32"/>
      <c r="J1" s="32"/>
      <c r="K1" s="32" t="s">
        <v>360</v>
      </c>
      <c r="L1" s="32"/>
      <c r="M1" s="33" t="s">
        <v>385</v>
      </c>
      <c r="N1" s="33"/>
      <c r="O1" s="33"/>
      <c r="P1" s="33"/>
      <c r="Q1" s="22" t="s">
        <v>384</v>
      </c>
    </row>
    <row r="2" spans="1:27" s="3" customFormat="1" ht="30.75" customHeight="1" x14ac:dyDescent="0.35">
      <c r="A2" s="3" t="s">
        <v>0</v>
      </c>
      <c r="B2" s="3" t="s">
        <v>1</v>
      </c>
      <c r="C2" s="3" t="s">
        <v>3</v>
      </c>
      <c r="D2" s="18" t="s">
        <v>4</v>
      </c>
      <c r="E2" s="18" t="s">
        <v>5</v>
      </c>
      <c r="F2" s="18" t="s">
        <v>6</v>
      </c>
      <c r="G2" s="18" t="s">
        <v>7</v>
      </c>
      <c r="H2" s="19" t="s">
        <v>8</v>
      </c>
      <c r="I2" s="19" t="s">
        <v>9</v>
      </c>
      <c r="J2" s="19" t="s">
        <v>10</v>
      </c>
      <c r="K2" s="18" t="s">
        <v>11</v>
      </c>
      <c r="L2" s="19" t="s">
        <v>12</v>
      </c>
      <c r="M2" s="20" t="s">
        <v>13</v>
      </c>
      <c r="N2" s="20" t="s">
        <v>14</v>
      </c>
      <c r="O2" s="21" t="s">
        <v>15</v>
      </c>
      <c r="P2" s="20" t="s">
        <v>16</v>
      </c>
      <c r="Q2" s="23" t="s">
        <v>17</v>
      </c>
      <c r="R2" s="3" t="s">
        <v>424</v>
      </c>
      <c r="S2" s="3" t="s">
        <v>18</v>
      </c>
      <c r="T2" s="3" t="s">
        <v>19</v>
      </c>
      <c r="U2" s="3" t="s">
        <v>2</v>
      </c>
    </row>
    <row r="3" spans="1:27" x14ac:dyDescent="0.35">
      <c r="A3" t="s">
        <v>428</v>
      </c>
      <c r="B3" t="s">
        <v>429</v>
      </c>
      <c r="C3">
        <v>988</v>
      </c>
      <c r="D3" s="4">
        <v>0</v>
      </c>
      <c r="E3" s="4">
        <v>0</v>
      </c>
      <c r="F3" s="4">
        <v>0</v>
      </c>
      <c r="G3" s="4">
        <v>0</v>
      </c>
      <c r="H3" s="6">
        <v>555.54294200000004</v>
      </c>
      <c r="I3" s="6">
        <v>525.04102599999999</v>
      </c>
      <c r="J3" s="6">
        <v>514.58750999999995</v>
      </c>
      <c r="K3" s="7">
        <f t="shared" ref="K3:K66" si="0">AVERAGE(D3:G3)</f>
        <v>0</v>
      </c>
      <c r="L3" s="8">
        <f t="shared" ref="L3:L66" si="1">AVERAGE(H3:J3)</f>
        <v>531.72382599999992</v>
      </c>
      <c r="M3" s="9">
        <v>5.1774155168435603E-25</v>
      </c>
      <c r="N3" s="9">
        <v>8.2105181071277495E-23</v>
      </c>
      <c r="O3" s="2">
        <v>9.2909285131549009</v>
      </c>
      <c r="P3" t="s">
        <v>428</v>
      </c>
      <c r="Q3" s="10">
        <f>IF(N3&lt;='[1]statistical criteria'!$B$2,IF(O3&gt;=LOG('[1]statistical criteria'!$B$3,2),1,IF(O3&lt;=-1*LOG('[1]statistical criteria'!$B$3,2),2,"-")),"-")</f>
        <v>1</v>
      </c>
      <c r="R3" t="s">
        <v>426</v>
      </c>
      <c r="S3" t="s">
        <v>42</v>
      </c>
      <c r="T3" s="9">
        <v>5.9999999999999998E-78</v>
      </c>
      <c r="U3" s="24" t="s">
        <v>427</v>
      </c>
      <c r="W3" s="20"/>
      <c r="X3" s="20"/>
      <c r="AA3" s="20"/>
    </row>
    <row r="4" spans="1:27" x14ac:dyDescent="0.35">
      <c r="A4" t="s">
        <v>430</v>
      </c>
      <c r="B4" t="s">
        <v>431</v>
      </c>
      <c r="C4">
        <v>1052</v>
      </c>
      <c r="D4" s="4">
        <v>0</v>
      </c>
      <c r="E4" s="4">
        <v>0</v>
      </c>
      <c r="F4" s="4">
        <v>0</v>
      </c>
      <c r="G4" s="4">
        <v>0</v>
      </c>
      <c r="H4" s="6">
        <v>288.150014</v>
      </c>
      <c r="I4" s="6">
        <v>251.98126199999999</v>
      </c>
      <c r="J4" s="6">
        <v>306.92369000000002</v>
      </c>
      <c r="K4" s="7">
        <f t="shared" si="0"/>
        <v>0</v>
      </c>
      <c r="L4" s="8">
        <f t="shared" si="1"/>
        <v>282.35165533333333</v>
      </c>
      <c r="M4" s="9">
        <v>4.3832495302541599E-21</v>
      </c>
      <c r="N4" s="9">
        <v>4.6340688089298104E-19</v>
      </c>
      <c r="O4" s="2">
        <v>8.6357210432766003</v>
      </c>
      <c r="P4" t="s">
        <v>430</v>
      </c>
      <c r="Q4" s="10">
        <f>IF(N4&lt;='[1]statistical criteria'!$B$2,IF(O4&gt;=LOG('[1]statistical criteria'!$B$3,2),1,IF(O4&lt;=-1*LOG('[1]statistical criteria'!$B$3,2),2,"-")),"-")</f>
        <v>1</v>
      </c>
      <c r="R4" t="s">
        <v>432</v>
      </c>
      <c r="S4" t="s">
        <v>433</v>
      </c>
      <c r="T4" s="9">
        <v>1E-146</v>
      </c>
      <c r="U4" s="24" t="s">
        <v>425</v>
      </c>
      <c r="X4" s="20"/>
    </row>
    <row r="5" spans="1:27" x14ac:dyDescent="0.35">
      <c r="A5" t="s">
        <v>434</v>
      </c>
      <c r="B5" t="s">
        <v>435</v>
      </c>
      <c r="C5">
        <v>480</v>
      </c>
      <c r="D5" s="4">
        <v>0</v>
      </c>
      <c r="E5" s="4">
        <v>0</v>
      </c>
      <c r="F5" s="4">
        <v>0</v>
      </c>
      <c r="G5" s="4">
        <v>0</v>
      </c>
      <c r="H5" s="6">
        <v>858.52666799999997</v>
      </c>
      <c r="I5" s="6">
        <v>329.65916299999998</v>
      </c>
      <c r="J5" s="6">
        <v>874.95127400000001</v>
      </c>
      <c r="K5" s="7">
        <f t="shared" si="0"/>
        <v>0</v>
      </c>
      <c r="L5" s="8">
        <f t="shared" si="1"/>
        <v>687.7123683333333</v>
      </c>
      <c r="M5" s="9">
        <v>1.8372791723757399E-19</v>
      </c>
      <c r="N5" s="9">
        <v>1.6453375364851999E-17</v>
      </c>
      <c r="O5" s="2">
        <v>8.4950116508157905</v>
      </c>
      <c r="P5" t="s">
        <v>434</v>
      </c>
      <c r="Q5" s="10">
        <f>IF(N5&lt;='[1]statistical criteria'!$B$2,IF(O5&gt;=LOG('[1]statistical criteria'!$B$3,2),1,IF(O5&lt;=-1*LOG('[1]statistical criteria'!$B$3,2),2,"-")),"-")</f>
        <v>1</v>
      </c>
      <c r="R5" t="s">
        <v>436</v>
      </c>
      <c r="S5" t="s">
        <v>4991</v>
      </c>
      <c r="T5" s="24" t="s">
        <v>4991</v>
      </c>
      <c r="U5" s="24" t="s">
        <v>425</v>
      </c>
    </row>
    <row r="6" spans="1:27" x14ac:dyDescent="0.35">
      <c r="A6" t="s">
        <v>437</v>
      </c>
      <c r="B6" t="s">
        <v>438</v>
      </c>
      <c r="C6">
        <v>843</v>
      </c>
      <c r="D6" s="4">
        <v>0</v>
      </c>
      <c r="E6" s="4">
        <v>0</v>
      </c>
      <c r="F6" s="4">
        <v>0</v>
      </c>
      <c r="G6" s="4">
        <v>0</v>
      </c>
      <c r="H6" s="6">
        <v>280.53570200000001</v>
      </c>
      <c r="I6" s="6">
        <v>386.968684</v>
      </c>
      <c r="J6" s="6">
        <v>169.51866699999999</v>
      </c>
      <c r="K6" s="7">
        <f t="shared" si="0"/>
        <v>0</v>
      </c>
      <c r="L6" s="8">
        <f t="shared" si="1"/>
        <v>279.00768433333337</v>
      </c>
      <c r="M6" s="9">
        <v>1.34439364986249E-24</v>
      </c>
      <c r="N6" s="9">
        <v>2.0632105771679999E-22</v>
      </c>
      <c r="O6" s="2">
        <v>8.3914296257871897</v>
      </c>
      <c r="P6" t="s">
        <v>437</v>
      </c>
      <c r="Q6" s="10">
        <f>IF(N6&lt;='[1]statistical criteria'!$B$2,IF(O6&gt;=LOG('[1]statistical criteria'!$B$3,2),1,IF(O6&lt;=-1*LOG('[1]statistical criteria'!$B$3,2),2,"-")),"-")</f>
        <v>1</v>
      </c>
      <c r="R6" t="s">
        <v>439</v>
      </c>
      <c r="S6" t="s">
        <v>194</v>
      </c>
      <c r="T6" s="9">
        <v>3.9999999999999999E-140</v>
      </c>
      <c r="U6" s="24" t="s">
        <v>425</v>
      </c>
    </row>
    <row r="7" spans="1:27" x14ac:dyDescent="0.35">
      <c r="A7" t="s">
        <v>440</v>
      </c>
      <c r="B7" t="s">
        <v>441</v>
      </c>
      <c r="C7">
        <v>865</v>
      </c>
      <c r="D7" s="4">
        <v>0</v>
      </c>
      <c r="E7" s="4">
        <v>0</v>
      </c>
      <c r="F7" s="4">
        <v>0</v>
      </c>
      <c r="G7" s="5">
        <v>0.50725900000000002</v>
      </c>
      <c r="H7" s="6">
        <v>576.49492599999996</v>
      </c>
      <c r="I7" s="6">
        <v>305.20112799999998</v>
      </c>
      <c r="J7" s="6">
        <v>513.48516400000005</v>
      </c>
      <c r="K7" s="7">
        <f t="shared" si="0"/>
        <v>0.12681475</v>
      </c>
      <c r="L7" s="8">
        <f t="shared" si="1"/>
        <v>465.06040600000006</v>
      </c>
      <c r="M7" s="9">
        <v>4.2893858405196598E-33</v>
      </c>
      <c r="N7" s="9">
        <v>1.24621393198609E-30</v>
      </c>
      <c r="O7" s="2">
        <v>8.3752375136937598</v>
      </c>
      <c r="P7" t="s">
        <v>440</v>
      </c>
      <c r="Q7" s="10">
        <f>IF(N7&lt;='[1]statistical criteria'!$B$2,IF(O7&gt;=LOG('[1]statistical criteria'!$B$3,2),1,IF(O7&lt;=-1*LOG('[1]statistical criteria'!$B$3,2),2,"-")),"-")</f>
        <v>1</v>
      </c>
      <c r="R7" t="s">
        <v>436</v>
      </c>
      <c r="S7" t="s">
        <v>442</v>
      </c>
      <c r="T7" s="9">
        <v>1.9999999999999999E-82</v>
      </c>
      <c r="U7" s="24" t="s">
        <v>425</v>
      </c>
    </row>
    <row r="8" spans="1:27" x14ac:dyDescent="0.35">
      <c r="A8" t="s">
        <v>444</v>
      </c>
      <c r="B8" t="s">
        <v>445</v>
      </c>
      <c r="C8">
        <v>996</v>
      </c>
      <c r="D8" s="4">
        <v>0</v>
      </c>
      <c r="E8" s="4">
        <v>0</v>
      </c>
      <c r="F8" s="4">
        <v>0</v>
      </c>
      <c r="G8" s="4">
        <v>0</v>
      </c>
      <c r="H8" s="6">
        <v>139.16472099999999</v>
      </c>
      <c r="I8" s="6">
        <v>376.541766</v>
      </c>
      <c r="J8" s="6">
        <v>97.336080999999993</v>
      </c>
      <c r="K8" s="7">
        <f t="shared" si="0"/>
        <v>0</v>
      </c>
      <c r="L8" s="8">
        <f t="shared" si="1"/>
        <v>204.34752266666666</v>
      </c>
      <c r="M8" s="9">
        <v>4.4170582986724004E-19</v>
      </c>
      <c r="N8" s="9">
        <v>3.8294587436781601E-17</v>
      </c>
      <c r="O8" s="2">
        <v>8.2943091024680093</v>
      </c>
      <c r="P8" t="s">
        <v>444</v>
      </c>
      <c r="Q8" s="10">
        <f>IF(N8&lt;='[1]statistical criteria'!$B$2,IF(O8&gt;=LOG('[1]statistical criteria'!$B$3,2),1,IF(O8&lt;=-1*LOG('[1]statistical criteria'!$B$3,2),2,"-")),"-")</f>
        <v>1</v>
      </c>
      <c r="R8" s="30" t="s">
        <v>4992</v>
      </c>
      <c r="S8" t="s">
        <v>446</v>
      </c>
      <c r="T8">
        <v>0.45</v>
      </c>
      <c r="U8" s="24" t="s">
        <v>425</v>
      </c>
    </row>
    <row r="9" spans="1:27" x14ac:dyDescent="0.35">
      <c r="A9" t="s">
        <v>447</v>
      </c>
      <c r="B9" t="s">
        <v>448</v>
      </c>
      <c r="C9">
        <v>1308</v>
      </c>
      <c r="D9" s="4">
        <v>0</v>
      </c>
      <c r="E9" s="4">
        <v>0</v>
      </c>
      <c r="F9" s="4">
        <v>0</v>
      </c>
      <c r="G9" s="4">
        <v>0</v>
      </c>
      <c r="H9" s="6">
        <v>159.325616</v>
      </c>
      <c r="I9" s="6">
        <v>195.25869299999999</v>
      </c>
      <c r="J9" s="6">
        <v>156.00992600000001</v>
      </c>
      <c r="K9" s="7">
        <f t="shared" si="0"/>
        <v>0</v>
      </c>
      <c r="L9" s="8">
        <f t="shared" si="1"/>
        <v>170.19807833333331</v>
      </c>
      <c r="M9" s="9">
        <v>9.7453432211101308E-19</v>
      </c>
      <c r="N9" s="9">
        <v>8.04572154003149E-17</v>
      </c>
      <c r="O9" s="2">
        <v>8.2793877995611904</v>
      </c>
      <c r="P9" t="s">
        <v>447</v>
      </c>
      <c r="Q9" s="10">
        <f>IF(N9&lt;='[1]statistical criteria'!$B$2,IF(O9&gt;=LOG('[1]statistical criteria'!$B$3,2),1,IF(O9&lt;=-1*LOG('[1]statistical criteria'!$B$3,2),2,"-")),"-")</f>
        <v>1</v>
      </c>
      <c r="R9" t="s">
        <v>449</v>
      </c>
      <c r="S9" t="s">
        <v>450</v>
      </c>
      <c r="T9">
        <v>0</v>
      </c>
      <c r="U9" s="24" t="s">
        <v>425</v>
      </c>
    </row>
    <row r="10" spans="1:27" x14ac:dyDescent="0.35">
      <c r="A10" t="s">
        <v>451</v>
      </c>
      <c r="B10" t="s">
        <v>452</v>
      </c>
      <c r="C10">
        <v>2562</v>
      </c>
      <c r="D10" s="4">
        <v>0</v>
      </c>
      <c r="E10" s="4">
        <v>0</v>
      </c>
      <c r="F10" s="4">
        <v>0</v>
      </c>
      <c r="G10" s="4">
        <v>0</v>
      </c>
      <c r="H10" s="6">
        <v>75.575299000000001</v>
      </c>
      <c r="I10" s="6">
        <v>75.380962999999994</v>
      </c>
      <c r="J10" s="6">
        <v>85.152506000000002</v>
      </c>
      <c r="K10" s="7">
        <f t="shared" si="0"/>
        <v>0</v>
      </c>
      <c r="L10" s="8">
        <f t="shared" si="1"/>
        <v>78.702922666666666</v>
      </c>
      <c r="M10" s="9">
        <v>3.14826767122689E-26</v>
      </c>
      <c r="N10" s="9">
        <v>5.5218003487048604E-24</v>
      </c>
      <c r="O10" s="2">
        <v>8.1601222433209895</v>
      </c>
      <c r="P10" t="s">
        <v>451</v>
      </c>
      <c r="Q10" s="10">
        <f>IF(N10&lt;='[1]statistical criteria'!$B$2,IF(O10&gt;=LOG('[1]statistical criteria'!$B$3,2),1,IF(O10&lt;=-1*LOG('[1]statistical criteria'!$B$3,2),2,"-")),"-")</f>
        <v>1</v>
      </c>
      <c r="R10" t="s">
        <v>453</v>
      </c>
      <c r="S10" t="s">
        <v>454</v>
      </c>
      <c r="T10">
        <v>0</v>
      </c>
      <c r="U10" s="24" t="s">
        <v>425</v>
      </c>
    </row>
    <row r="11" spans="1:27" x14ac:dyDescent="0.35">
      <c r="A11" t="s">
        <v>456</v>
      </c>
      <c r="B11" t="s">
        <v>445</v>
      </c>
      <c r="C11">
        <v>705</v>
      </c>
      <c r="D11" s="4">
        <v>0</v>
      </c>
      <c r="E11" s="4">
        <v>0</v>
      </c>
      <c r="F11" s="4">
        <v>0</v>
      </c>
      <c r="G11" s="4">
        <v>0</v>
      </c>
      <c r="H11" s="6">
        <v>180.629884</v>
      </c>
      <c r="I11" s="6">
        <v>483.44574899999998</v>
      </c>
      <c r="J11" s="6">
        <v>166.601192</v>
      </c>
      <c r="K11" s="7">
        <f t="shared" si="0"/>
        <v>0</v>
      </c>
      <c r="L11" s="8">
        <f t="shared" si="1"/>
        <v>276.89227499999998</v>
      </c>
      <c r="M11" s="9">
        <v>2.3917304691603699E-22</v>
      </c>
      <c r="N11" s="9">
        <v>2.98516750014197E-20</v>
      </c>
      <c r="O11" s="2">
        <v>7.9295972959098497</v>
      </c>
      <c r="P11" t="s">
        <v>456</v>
      </c>
      <c r="Q11" s="10">
        <f>IF(N11&lt;='[1]statistical criteria'!$B$2,IF(O11&gt;=LOG('[1]statistical criteria'!$B$3,2),1,IF(O11&lt;=-1*LOG('[1]statistical criteria'!$B$3,2),2,"-")),"-")</f>
        <v>1</v>
      </c>
      <c r="R11" t="s">
        <v>316</v>
      </c>
      <c r="S11" t="s">
        <v>446</v>
      </c>
      <c r="T11">
        <v>0.45</v>
      </c>
      <c r="U11" s="24" t="s">
        <v>425</v>
      </c>
    </row>
    <row r="12" spans="1:27" x14ac:dyDescent="0.35">
      <c r="A12" t="s">
        <v>457</v>
      </c>
      <c r="B12" t="s">
        <v>458</v>
      </c>
      <c r="C12">
        <v>891</v>
      </c>
      <c r="D12" s="4">
        <v>0</v>
      </c>
      <c r="E12" s="4">
        <v>0</v>
      </c>
      <c r="F12" s="4">
        <v>0</v>
      </c>
      <c r="G12" s="4">
        <v>0</v>
      </c>
      <c r="H12" s="6">
        <v>155.33146600000001</v>
      </c>
      <c r="I12" s="6">
        <v>145.44941399999999</v>
      </c>
      <c r="J12" s="6">
        <v>127.131294</v>
      </c>
      <c r="K12" s="7">
        <f t="shared" si="0"/>
        <v>0</v>
      </c>
      <c r="L12" s="8">
        <f t="shared" si="1"/>
        <v>142.63739133333334</v>
      </c>
      <c r="M12" s="9">
        <v>9.0960590308600804E-17</v>
      </c>
      <c r="N12" s="9">
        <v>5.8086578307807802E-15</v>
      </c>
      <c r="O12" s="2">
        <v>7.8064095118682202</v>
      </c>
      <c r="P12" t="s">
        <v>457</v>
      </c>
      <c r="Q12" s="10">
        <f>IF(N12&lt;='[1]statistical criteria'!$B$2,IF(O12&gt;=LOG('[1]statistical criteria'!$B$3,2),1,IF(O12&lt;=-1*LOG('[1]statistical criteria'!$B$3,2),2,"-")),"-")</f>
        <v>1</v>
      </c>
      <c r="R12" t="s">
        <v>158</v>
      </c>
      <c r="S12" t="s">
        <v>159</v>
      </c>
      <c r="T12" s="9">
        <v>5.9999999999999997E-15</v>
      </c>
      <c r="U12" s="24" t="s">
        <v>425</v>
      </c>
    </row>
    <row r="13" spans="1:27" x14ac:dyDescent="0.35">
      <c r="A13" t="s">
        <v>459</v>
      </c>
      <c r="B13" t="s">
        <v>460</v>
      </c>
      <c r="C13">
        <v>840</v>
      </c>
      <c r="D13" s="4">
        <v>0</v>
      </c>
      <c r="E13" s="4">
        <v>0</v>
      </c>
      <c r="F13" s="4">
        <v>0</v>
      </c>
      <c r="G13" s="4">
        <v>0</v>
      </c>
      <c r="H13" s="6">
        <v>154.63763800000001</v>
      </c>
      <c r="I13" s="6">
        <v>134.52049299999999</v>
      </c>
      <c r="J13" s="6">
        <v>151.461063</v>
      </c>
      <c r="K13" s="7">
        <f t="shared" si="0"/>
        <v>0</v>
      </c>
      <c r="L13" s="8">
        <f t="shared" si="1"/>
        <v>146.87306466666666</v>
      </c>
      <c r="M13" s="9">
        <v>2.1930539770326399E-16</v>
      </c>
      <c r="N13" s="9">
        <v>1.3082701311263701E-14</v>
      </c>
      <c r="O13" s="2">
        <v>7.79876596917771</v>
      </c>
      <c r="P13" t="s">
        <v>459</v>
      </c>
      <c r="Q13" s="10">
        <f>IF(N13&lt;='[1]statistical criteria'!$B$2,IF(O13&gt;=LOG('[1]statistical criteria'!$B$3,2),1,IF(O13&lt;=-1*LOG('[1]statistical criteria'!$B$3,2),2,"-")),"-")</f>
        <v>1</v>
      </c>
      <c r="R13" t="s">
        <v>439</v>
      </c>
      <c r="S13" t="s">
        <v>194</v>
      </c>
      <c r="T13" s="9">
        <v>8.0000000000000003E-142</v>
      </c>
      <c r="U13" s="24" t="s">
        <v>425</v>
      </c>
    </row>
    <row r="14" spans="1:27" x14ac:dyDescent="0.35">
      <c r="A14" t="s">
        <v>25</v>
      </c>
      <c r="B14" t="s">
        <v>26</v>
      </c>
      <c r="C14">
        <v>936</v>
      </c>
      <c r="D14" s="5">
        <v>5.7475129999999996</v>
      </c>
      <c r="E14" s="4">
        <v>0</v>
      </c>
      <c r="F14" s="4">
        <v>0</v>
      </c>
      <c r="G14" s="4">
        <v>0</v>
      </c>
      <c r="H14" s="6">
        <v>516.08718399999998</v>
      </c>
      <c r="I14" s="6">
        <v>411.12911000000003</v>
      </c>
      <c r="J14" s="6">
        <v>672.73978499999998</v>
      </c>
      <c r="K14" s="7">
        <f t="shared" si="0"/>
        <v>1.4368782499999999</v>
      </c>
      <c r="L14" s="8">
        <f t="shared" si="1"/>
        <v>533.31869300000005</v>
      </c>
      <c r="M14" s="9">
        <v>1.25194938864243E-17</v>
      </c>
      <c r="N14" s="9">
        <v>8.9063913517253706E-16</v>
      </c>
      <c r="O14" s="2">
        <v>7.7603464426433399</v>
      </c>
      <c r="P14" t="s">
        <v>25</v>
      </c>
      <c r="Q14" s="10">
        <f>IF(N14&lt;='[1]statistical criteria'!$B$2,IF(O14&gt;=LOG('[1]statistical criteria'!$B$3,2),1,IF(O14&lt;=-1*LOG('[1]statistical criteria'!$B$3,2),2,"-")),"-")</f>
        <v>1</v>
      </c>
      <c r="R14" t="s">
        <v>27</v>
      </c>
      <c r="S14" t="s">
        <v>28</v>
      </c>
      <c r="T14">
        <v>0.28999999999999998</v>
      </c>
      <c r="U14" s="25" t="s">
        <v>423</v>
      </c>
    </row>
    <row r="15" spans="1:27" x14ac:dyDescent="0.35">
      <c r="A15" t="s">
        <v>461</v>
      </c>
      <c r="B15" t="s">
        <v>462</v>
      </c>
      <c r="C15">
        <v>1063</v>
      </c>
      <c r="D15" s="5">
        <v>0.52799300000000005</v>
      </c>
      <c r="E15" s="4">
        <v>0</v>
      </c>
      <c r="F15" s="4">
        <v>0</v>
      </c>
      <c r="G15" s="4">
        <v>0</v>
      </c>
      <c r="H15" s="6">
        <v>287.02197699999999</v>
      </c>
      <c r="I15" s="6">
        <v>198.562386</v>
      </c>
      <c r="J15" s="6">
        <v>199.08120500000001</v>
      </c>
      <c r="K15" s="7">
        <f t="shared" si="0"/>
        <v>0.13199825000000001</v>
      </c>
      <c r="L15" s="8">
        <f t="shared" si="1"/>
        <v>228.221856</v>
      </c>
      <c r="M15" s="9">
        <v>8.5419873377191198E-16</v>
      </c>
      <c r="N15" s="9">
        <v>4.6250965965141197E-14</v>
      </c>
      <c r="O15" s="2">
        <v>7.7040849444780202</v>
      </c>
      <c r="P15" t="s">
        <v>461</v>
      </c>
      <c r="Q15" s="10">
        <f>IF(N15&lt;='[1]statistical criteria'!$B$2,IF(O15&gt;=LOG('[1]statistical criteria'!$B$3,2),1,IF(O15&lt;=-1*LOG('[1]statistical criteria'!$B$3,2),2,"-")),"-")</f>
        <v>1</v>
      </c>
      <c r="R15" t="s">
        <v>439</v>
      </c>
      <c r="S15" t="s">
        <v>194</v>
      </c>
      <c r="T15" s="9">
        <v>5.0000000000000003E-115</v>
      </c>
      <c r="U15" s="24" t="s">
        <v>425</v>
      </c>
    </row>
    <row r="16" spans="1:27" x14ac:dyDescent="0.35">
      <c r="A16" t="s">
        <v>156</v>
      </c>
      <c r="B16" t="s">
        <v>40</v>
      </c>
      <c r="C16">
        <v>756</v>
      </c>
      <c r="D16" s="5">
        <v>3.490456</v>
      </c>
      <c r="E16" s="4">
        <v>0</v>
      </c>
      <c r="F16" s="4">
        <v>0</v>
      </c>
      <c r="G16" s="4">
        <v>0</v>
      </c>
      <c r="H16" s="6">
        <v>416.47953000000001</v>
      </c>
      <c r="I16" s="6">
        <v>380.860297</v>
      </c>
      <c r="J16" s="6">
        <v>287.14958100000001</v>
      </c>
      <c r="K16" s="7">
        <f t="shared" si="0"/>
        <v>0.872614</v>
      </c>
      <c r="L16" s="8">
        <f t="shared" si="1"/>
        <v>361.49646933333332</v>
      </c>
      <c r="M16" s="9">
        <v>8.1178552472010996E-18</v>
      </c>
      <c r="N16" s="9">
        <v>5.9416455905475801E-16</v>
      </c>
      <c r="O16" s="2">
        <v>7.5674610186778599</v>
      </c>
      <c r="P16" t="s">
        <v>156</v>
      </c>
      <c r="Q16" s="10">
        <f>IF(N16&lt;='[1]statistical criteria'!$B$2,IF(O16&gt;=LOG('[1]statistical criteria'!$B$3,2),1,IF(O16&lt;=-1*LOG('[1]statistical criteria'!$B$3,2),2,"-")),"-")</f>
        <v>1</v>
      </c>
      <c r="R16" t="s">
        <v>41</v>
      </c>
      <c r="S16" t="s">
        <v>42</v>
      </c>
      <c r="T16" s="9">
        <v>9.9999999999999996E-75</v>
      </c>
      <c r="U16" s="24" t="s">
        <v>425</v>
      </c>
    </row>
    <row r="17" spans="1:22" x14ac:dyDescent="0.35">
      <c r="A17" t="s">
        <v>463</v>
      </c>
      <c r="B17" t="s">
        <v>464</v>
      </c>
      <c r="C17">
        <v>432</v>
      </c>
      <c r="D17" s="4">
        <v>0</v>
      </c>
      <c r="E17" s="4">
        <v>0</v>
      </c>
      <c r="F17" s="4">
        <v>0</v>
      </c>
      <c r="G17" s="5">
        <v>2.588336</v>
      </c>
      <c r="H17" s="6">
        <v>393.41045500000001</v>
      </c>
      <c r="I17" s="6">
        <v>922.47254599999997</v>
      </c>
      <c r="J17" s="6">
        <v>478.62861099999998</v>
      </c>
      <c r="K17" s="7">
        <f t="shared" si="0"/>
        <v>0.64708399999999999</v>
      </c>
      <c r="L17" s="8">
        <f t="shared" si="1"/>
        <v>598.1705373333333</v>
      </c>
      <c r="M17" s="9">
        <v>9.9226957843086306E-18</v>
      </c>
      <c r="N17" s="9">
        <v>7.17980611313282E-16</v>
      </c>
      <c r="O17" s="2">
        <v>7.4930754621694504</v>
      </c>
      <c r="P17" t="s">
        <v>463</v>
      </c>
      <c r="Q17" s="10">
        <f>IF(N17&lt;='[1]statistical criteria'!$B$2,IF(O17&gt;=LOG('[1]statistical criteria'!$B$3,2),1,IF(O17&lt;=-1*LOG('[1]statistical criteria'!$B$3,2),2,"-")),"-")</f>
        <v>1</v>
      </c>
      <c r="R17" t="s">
        <v>465</v>
      </c>
      <c r="S17" t="s">
        <v>466</v>
      </c>
      <c r="T17" s="9">
        <v>4E-14</v>
      </c>
      <c r="U17" s="24" t="s">
        <v>425</v>
      </c>
    </row>
    <row r="18" spans="1:22" x14ac:dyDescent="0.35">
      <c r="A18" t="s">
        <v>467</v>
      </c>
      <c r="B18" t="s">
        <v>468</v>
      </c>
      <c r="C18">
        <v>2322</v>
      </c>
      <c r="D18" s="5">
        <v>1.0970150000000001</v>
      </c>
      <c r="E18" s="4">
        <v>0</v>
      </c>
      <c r="F18" s="4">
        <v>0</v>
      </c>
      <c r="G18" s="4">
        <v>0</v>
      </c>
      <c r="H18" s="6">
        <v>125.62682</v>
      </c>
      <c r="I18" s="6">
        <v>99.761206000000001</v>
      </c>
      <c r="J18" s="6">
        <v>97.572152000000003</v>
      </c>
      <c r="K18" s="7">
        <f t="shared" si="0"/>
        <v>0.27425375000000002</v>
      </c>
      <c r="L18" s="8">
        <f t="shared" si="1"/>
        <v>107.65339266666666</v>
      </c>
      <c r="M18" s="9">
        <v>2.7215930353427202E-15</v>
      </c>
      <c r="N18" s="9">
        <v>1.3665413050810501E-13</v>
      </c>
      <c r="O18" s="2">
        <v>7.4839615199685099</v>
      </c>
      <c r="P18" t="s">
        <v>467</v>
      </c>
      <c r="Q18" s="10">
        <f>IF(N18&lt;='[1]statistical criteria'!$B$2,IF(O18&gt;=LOG('[1]statistical criteria'!$B$3,2),1,IF(O18&lt;=-1*LOG('[1]statistical criteria'!$B$3,2),2,"-")),"-")</f>
        <v>1</v>
      </c>
      <c r="R18" t="s">
        <v>469</v>
      </c>
      <c r="S18" t="s">
        <v>470</v>
      </c>
      <c r="T18">
        <v>0</v>
      </c>
      <c r="U18" s="24" t="s">
        <v>425</v>
      </c>
    </row>
    <row r="19" spans="1:22" x14ac:dyDescent="0.35">
      <c r="A19" t="s">
        <v>471</v>
      </c>
      <c r="B19" t="s">
        <v>445</v>
      </c>
      <c r="C19">
        <v>1377</v>
      </c>
      <c r="D19" s="4">
        <v>0</v>
      </c>
      <c r="E19" s="4">
        <v>0</v>
      </c>
      <c r="F19" s="4">
        <v>0</v>
      </c>
      <c r="G19" s="4">
        <v>0</v>
      </c>
      <c r="H19" s="6">
        <v>44.846490000000003</v>
      </c>
      <c r="I19" s="6">
        <v>150.17530400000001</v>
      </c>
      <c r="J19" s="6">
        <v>35.228475000000003</v>
      </c>
      <c r="K19" s="7">
        <f t="shared" si="0"/>
        <v>0</v>
      </c>
      <c r="L19" s="8">
        <f t="shared" si="1"/>
        <v>76.750089666666668</v>
      </c>
      <c r="M19" s="9">
        <v>6.7853047286812499E-17</v>
      </c>
      <c r="N19" s="9">
        <v>4.4757140030088097E-15</v>
      </c>
      <c r="O19" s="2">
        <v>7.4039640975407597</v>
      </c>
      <c r="P19" t="s">
        <v>471</v>
      </c>
      <c r="Q19" s="10">
        <f>IF(N19&lt;='[1]statistical criteria'!$B$2,IF(O19&gt;=LOG('[1]statistical criteria'!$B$3,2),1,IF(O19&lt;=-1*LOG('[1]statistical criteria'!$B$3,2),2,"-")),"-")</f>
        <v>1</v>
      </c>
      <c r="R19" s="30" t="s">
        <v>4992</v>
      </c>
      <c r="S19" t="s">
        <v>446</v>
      </c>
      <c r="T19">
        <v>0.28999999999999998</v>
      </c>
      <c r="U19" s="24" t="s">
        <v>425</v>
      </c>
    </row>
    <row r="20" spans="1:22" x14ac:dyDescent="0.35">
      <c r="A20" t="s">
        <v>472</v>
      </c>
      <c r="B20" t="s">
        <v>473</v>
      </c>
      <c r="C20">
        <v>1521</v>
      </c>
      <c r="D20" s="4">
        <v>0</v>
      </c>
      <c r="E20" s="4">
        <v>0</v>
      </c>
      <c r="F20" s="4">
        <v>0</v>
      </c>
      <c r="G20" s="4">
        <v>0</v>
      </c>
      <c r="H20" s="6">
        <v>52.839787999999999</v>
      </c>
      <c r="I20" s="6">
        <v>62.611142000000001</v>
      </c>
      <c r="J20" s="6">
        <v>41.715867000000003</v>
      </c>
      <c r="K20" s="7">
        <f t="shared" si="0"/>
        <v>0</v>
      </c>
      <c r="L20" s="8">
        <f t="shared" si="1"/>
        <v>52.388932333333337</v>
      </c>
      <c r="M20" s="9">
        <v>2.8410077677356698E-15</v>
      </c>
      <c r="N20" s="9">
        <v>1.4227467847371E-13</v>
      </c>
      <c r="O20" s="2">
        <v>7.3938116845871704</v>
      </c>
      <c r="P20" t="s">
        <v>472</v>
      </c>
      <c r="Q20" s="10">
        <f>IF(N20&lt;='[1]statistical criteria'!$B$2,IF(O20&gt;=LOG('[1]statistical criteria'!$B$3,2),1,IF(O20&lt;=-1*LOG('[1]statistical criteria'!$B$3,2),2,"-")),"-")</f>
        <v>1</v>
      </c>
      <c r="R20" t="s">
        <v>474</v>
      </c>
      <c r="S20" t="s">
        <v>475</v>
      </c>
      <c r="T20">
        <v>0</v>
      </c>
      <c r="U20" s="24" t="s">
        <v>425</v>
      </c>
    </row>
    <row r="21" spans="1:22" x14ac:dyDescent="0.35">
      <c r="A21" t="s">
        <v>476</v>
      </c>
      <c r="B21" t="s">
        <v>477</v>
      </c>
      <c r="C21">
        <v>423</v>
      </c>
      <c r="D21" s="4">
        <v>0</v>
      </c>
      <c r="E21" s="4">
        <v>0</v>
      </c>
      <c r="F21" s="4">
        <v>0</v>
      </c>
      <c r="G21" s="4">
        <v>0</v>
      </c>
      <c r="H21" s="6">
        <v>289.73468300000002</v>
      </c>
      <c r="I21" s="6">
        <v>276.98791999999997</v>
      </c>
      <c r="J21" s="6">
        <v>205.856233</v>
      </c>
      <c r="K21" s="7">
        <f t="shared" si="0"/>
        <v>0</v>
      </c>
      <c r="L21" s="8">
        <f t="shared" si="1"/>
        <v>257.52627866666666</v>
      </c>
      <c r="M21" s="9">
        <v>3.5896214783359601E-15</v>
      </c>
      <c r="N21" s="9">
        <v>1.7652787633438199E-13</v>
      </c>
      <c r="O21" s="2">
        <v>7.3380912251768997</v>
      </c>
      <c r="P21" t="s">
        <v>476</v>
      </c>
      <c r="Q21" s="10">
        <f>IF(N21&lt;='[1]statistical criteria'!$B$2,IF(O21&gt;=LOG('[1]statistical criteria'!$B$3,2),1,IF(O21&lt;=-1*LOG('[1]statistical criteria'!$B$3,2),2,"-")),"-")</f>
        <v>1</v>
      </c>
      <c r="R21" s="30" t="s">
        <v>4993</v>
      </c>
      <c r="S21" t="s">
        <v>478</v>
      </c>
      <c r="T21">
        <v>5.6</v>
      </c>
      <c r="U21" s="24" t="s">
        <v>425</v>
      </c>
    </row>
    <row r="22" spans="1:22" x14ac:dyDescent="0.35">
      <c r="A22" t="s">
        <v>480</v>
      </c>
      <c r="B22" t="s">
        <v>481</v>
      </c>
      <c r="C22">
        <v>498</v>
      </c>
      <c r="D22" s="5">
        <v>0.73587999999999998</v>
      </c>
      <c r="E22" s="4">
        <v>0</v>
      </c>
      <c r="F22" s="4">
        <v>0</v>
      </c>
      <c r="G22" s="4">
        <v>0</v>
      </c>
      <c r="H22" s="6">
        <v>392.137812</v>
      </c>
      <c r="I22" s="6">
        <v>645.98473000000001</v>
      </c>
      <c r="J22" s="6">
        <v>261.260042</v>
      </c>
      <c r="K22" s="7">
        <f t="shared" si="0"/>
        <v>0.18396999999999999</v>
      </c>
      <c r="L22" s="8">
        <f t="shared" si="1"/>
        <v>433.12752799999998</v>
      </c>
      <c r="M22" s="9">
        <v>1.5005437871464899E-14</v>
      </c>
      <c r="N22" s="9">
        <v>6.7031333965722303E-13</v>
      </c>
      <c r="O22" s="2">
        <v>7.2779472549095896</v>
      </c>
      <c r="P22" t="s">
        <v>480</v>
      </c>
      <c r="Q22" s="10">
        <f>IF(N22&lt;='[1]statistical criteria'!$B$2,IF(O22&gt;=LOG('[1]statistical criteria'!$B$3,2),1,IF(O22&lt;=-1*LOG('[1]statistical criteria'!$B$3,2),2,"-")),"-")</f>
        <v>1</v>
      </c>
      <c r="R22" s="30" t="s">
        <v>4993</v>
      </c>
      <c r="S22" t="s">
        <v>478</v>
      </c>
      <c r="T22">
        <v>5.6</v>
      </c>
      <c r="U22" s="24" t="s">
        <v>425</v>
      </c>
    </row>
    <row r="23" spans="1:22" x14ac:dyDescent="0.35">
      <c r="A23" t="s">
        <v>183</v>
      </c>
      <c r="B23" t="s">
        <v>184</v>
      </c>
      <c r="C23">
        <v>450</v>
      </c>
      <c r="D23" s="4">
        <v>0</v>
      </c>
      <c r="E23" s="4">
        <v>0</v>
      </c>
      <c r="F23" s="4">
        <v>0</v>
      </c>
      <c r="G23" s="4">
        <v>0</v>
      </c>
      <c r="H23" s="6">
        <v>317.84329400000001</v>
      </c>
      <c r="I23" s="6">
        <v>187.32020900000001</v>
      </c>
      <c r="J23" s="6">
        <v>196.14515599999999</v>
      </c>
      <c r="K23" s="7">
        <f t="shared" si="0"/>
        <v>0</v>
      </c>
      <c r="L23" s="8">
        <f t="shared" si="1"/>
        <v>233.769553</v>
      </c>
      <c r="M23" s="9">
        <v>4.3938583665178403E-25</v>
      </c>
      <c r="N23" s="9">
        <v>6.9970815660949403E-23</v>
      </c>
      <c r="O23" s="2">
        <v>7.2274980894376499</v>
      </c>
      <c r="P23" t="s">
        <v>183</v>
      </c>
      <c r="Q23" s="10">
        <f>IF(N23&lt;='[1]statistical criteria'!$B$2,IF(O23&gt;=LOG('[1]statistical criteria'!$B$3,2),1,IF(O23&lt;=-1*LOG('[1]statistical criteria'!$B$3,2),2,"-")),"-")</f>
        <v>1</v>
      </c>
      <c r="R23" t="s">
        <v>185</v>
      </c>
      <c r="S23" t="s">
        <v>186</v>
      </c>
      <c r="T23" s="9">
        <v>3.0000000000000001E-92</v>
      </c>
      <c r="U23" s="24" t="s">
        <v>425</v>
      </c>
      <c r="V23" s="24"/>
    </row>
    <row r="24" spans="1:22" x14ac:dyDescent="0.35">
      <c r="A24" t="s">
        <v>482</v>
      </c>
      <c r="B24" t="s">
        <v>483</v>
      </c>
      <c r="C24">
        <v>411</v>
      </c>
      <c r="D24" s="5">
        <v>1.10181</v>
      </c>
      <c r="E24" s="4">
        <v>0</v>
      </c>
      <c r="F24" s="4">
        <v>0</v>
      </c>
      <c r="G24" s="4">
        <v>0</v>
      </c>
      <c r="H24" s="6">
        <v>144.39613</v>
      </c>
      <c r="I24" s="6">
        <v>188.40582800000001</v>
      </c>
      <c r="J24" s="6">
        <v>169.91566800000001</v>
      </c>
      <c r="K24" s="7">
        <f t="shared" si="0"/>
        <v>0.27545249999999999</v>
      </c>
      <c r="L24" s="8">
        <f t="shared" si="1"/>
        <v>167.572542</v>
      </c>
      <c r="M24" s="9">
        <v>7.1497138967646406E-14</v>
      </c>
      <c r="N24" s="9">
        <v>2.9418174152525701E-12</v>
      </c>
      <c r="O24" s="2">
        <v>7.1603801525576101</v>
      </c>
      <c r="P24" t="s">
        <v>482</v>
      </c>
      <c r="Q24" s="10">
        <f>IF(N24&lt;='[1]statistical criteria'!$B$2,IF(O24&gt;=LOG('[1]statistical criteria'!$B$3,2),1,IF(O24&lt;=-1*LOG('[1]statistical criteria'!$B$3,2),2,"-")),"-")</f>
        <v>1</v>
      </c>
      <c r="R24" t="s">
        <v>4994</v>
      </c>
      <c r="S24" t="s">
        <v>4995</v>
      </c>
      <c r="U24" s="24" t="s">
        <v>425</v>
      </c>
    </row>
    <row r="25" spans="1:22" x14ac:dyDescent="0.35">
      <c r="A25" t="s">
        <v>484</v>
      </c>
      <c r="B25" t="s">
        <v>485</v>
      </c>
      <c r="C25">
        <v>1452</v>
      </c>
      <c r="D25" s="5">
        <v>0.60546</v>
      </c>
      <c r="E25" s="4">
        <v>0</v>
      </c>
      <c r="F25" s="4">
        <v>0</v>
      </c>
      <c r="G25" s="4">
        <v>0</v>
      </c>
      <c r="H25" s="6">
        <v>108.181146</v>
      </c>
      <c r="I25" s="6">
        <v>57.722932</v>
      </c>
      <c r="J25" s="6">
        <v>110.194129</v>
      </c>
      <c r="K25" s="7">
        <f t="shared" si="0"/>
        <v>0.151365</v>
      </c>
      <c r="L25" s="8">
        <f t="shared" si="1"/>
        <v>92.032735666666667</v>
      </c>
      <c r="M25" s="9">
        <v>1.27070595028182E-12</v>
      </c>
      <c r="N25" s="9">
        <v>4.2989394193534399E-11</v>
      </c>
      <c r="O25" s="2">
        <v>7.1594006455828803</v>
      </c>
      <c r="P25" t="s">
        <v>484</v>
      </c>
      <c r="Q25" s="10">
        <f>IF(N25&lt;='[1]statistical criteria'!$B$2,IF(O25&gt;=LOG('[1]statistical criteria'!$B$3,2),1,IF(O25&lt;=-1*LOG('[1]statistical criteria'!$B$3,2),2,"-")),"-")</f>
        <v>1</v>
      </c>
      <c r="R25" t="s">
        <v>486</v>
      </c>
      <c r="S25" t="s">
        <v>487</v>
      </c>
      <c r="T25" s="9">
        <v>2E-179</v>
      </c>
      <c r="U25" s="24" t="s">
        <v>425</v>
      </c>
    </row>
    <row r="26" spans="1:22" x14ac:dyDescent="0.35">
      <c r="A26" t="s">
        <v>489</v>
      </c>
      <c r="B26" t="s">
        <v>490</v>
      </c>
      <c r="C26">
        <v>1005</v>
      </c>
      <c r="D26" s="5">
        <v>1.37341</v>
      </c>
      <c r="E26" s="4">
        <v>0</v>
      </c>
      <c r="F26" s="4">
        <v>0</v>
      </c>
      <c r="G26" s="4">
        <v>0</v>
      </c>
      <c r="H26" s="6">
        <v>205.629886</v>
      </c>
      <c r="I26" s="6">
        <v>93.115133999999998</v>
      </c>
      <c r="J26" s="6">
        <v>160.939514</v>
      </c>
      <c r="K26" s="7">
        <f t="shared" si="0"/>
        <v>0.3433525</v>
      </c>
      <c r="L26" s="8">
        <f t="shared" si="1"/>
        <v>153.22817799999999</v>
      </c>
      <c r="M26" s="9">
        <v>1.22865306396539E-14</v>
      </c>
      <c r="N26" s="9">
        <v>5.5736037681195203E-13</v>
      </c>
      <c r="O26" s="2">
        <v>7.1328553407327702</v>
      </c>
      <c r="P26" t="s">
        <v>489</v>
      </c>
      <c r="Q26" s="10">
        <f>IF(N26&lt;='[1]statistical criteria'!$B$2,IF(O26&gt;=LOG('[1]statistical criteria'!$B$3,2),1,IF(O26&lt;=-1*LOG('[1]statistical criteria'!$B$3,2),2,"-")),"-")</f>
        <v>1</v>
      </c>
      <c r="R26" t="s">
        <v>491</v>
      </c>
      <c r="S26" t="s">
        <v>492</v>
      </c>
      <c r="T26">
        <v>0</v>
      </c>
      <c r="U26" s="24" t="s">
        <v>425</v>
      </c>
    </row>
    <row r="27" spans="1:22" x14ac:dyDescent="0.35">
      <c r="A27" t="s">
        <v>493</v>
      </c>
      <c r="B27" t="s">
        <v>494</v>
      </c>
      <c r="C27">
        <v>693</v>
      </c>
      <c r="D27" s="5">
        <v>0.208677</v>
      </c>
      <c r="E27" s="4">
        <v>0</v>
      </c>
      <c r="F27" s="4">
        <v>0</v>
      </c>
      <c r="G27" s="4">
        <v>0</v>
      </c>
      <c r="H27" s="6">
        <v>118.869902</v>
      </c>
      <c r="I27" s="6">
        <v>241.91018500000001</v>
      </c>
      <c r="J27" s="6">
        <v>79.933188000000001</v>
      </c>
      <c r="K27" s="7">
        <f t="shared" si="0"/>
        <v>5.216925E-2</v>
      </c>
      <c r="L27" s="8">
        <f t="shared" si="1"/>
        <v>146.90442499999997</v>
      </c>
      <c r="M27" s="9">
        <v>7.6285485366377594E-14</v>
      </c>
      <c r="N27" s="9">
        <v>3.1219629817680999E-12</v>
      </c>
      <c r="O27" s="2">
        <v>7.0822596002385296</v>
      </c>
      <c r="P27" t="s">
        <v>493</v>
      </c>
      <c r="Q27" s="10">
        <f>IF(N27&lt;='[1]statistical criteria'!$B$2,IF(O27&gt;=LOG('[1]statistical criteria'!$B$3,2),1,IF(O27&lt;=-1*LOG('[1]statistical criteria'!$B$3,2),2,"-")),"-")</f>
        <v>1</v>
      </c>
      <c r="R27" t="s">
        <v>495</v>
      </c>
      <c r="S27" t="s">
        <v>496</v>
      </c>
      <c r="T27" s="9">
        <v>1.9999999999999999E-124</v>
      </c>
      <c r="U27" s="24" t="s">
        <v>425</v>
      </c>
      <c r="V27" s="24"/>
    </row>
    <row r="28" spans="1:22" x14ac:dyDescent="0.35">
      <c r="A28" t="s">
        <v>275</v>
      </c>
      <c r="B28" t="s">
        <v>263</v>
      </c>
      <c r="C28">
        <v>2544</v>
      </c>
      <c r="D28" s="5">
        <v>0.54301999999999995</v>
      </c>
      <c r="E28" s="4">
        <v>0</v>
      </c>
      <c r="F28" s="4">
        <v>0</v>
      </c>
      <c r="G28" s="5">
        <v>0.13708500000000001</v>
      </c>
      <c r="H28" s="6">
        <v>58.797375000000002</v>
      </c>
      <c r="I28" s="6">
        <v>139.23901699999999</v>
      </c>
      <c r="J28" s="6">
        <v>78.426783</v>
      </c>
      <c r="K28" s="7">
        <f t="shared" si="0"/>
        <v>0.17002624999999999</v>
      </c>
      <c r="L28" s="8">
        <f t="shared" si="1"/>
        <v>92.154391666666655</v>
      </c>
      <c r="M28" s="9">
        <v>2.2846739397034999E-24</v>
      </c>
      <c r="N28" s="9">
        <v>3.3966675837935598E-22</v>
      </c>
      <c r="O28" s="2">
        <v>7.0197846547526002</v>
      </c>
      <c r="P28" t="s">
        <v>275</v>
      </c>
      <c r="Q28" s="10">
        <f>IF(N28&lt;='[1]statistical criteria'!$B$2,IF(O28&gt;=LOG('[1]statistical criteria'!$B$3,2),1,IF(O28&lt;=-1*LOG('[1]statistical criteria'!$B$3,2),2,"-")),"-")</f>
        <v>1</v>
      </c>
      <c r="R28" t="s">
        <v>264</v>
      </c>
      <c r="S28" t="s">
        <v>265</v>
      </c>
      <c r="T28">
        <v>0</v>
      </c>
      <c r="U28" s="24" t="s">
        <v>425</v>
      </c>
    </row>
    <row r="29" spans="1:22" x14ac:dyDescent="0.35">
      <c r="A29" t="s">
        <v>498</v>
      </c>
      <c r="B29" t="s">
        <v>499</v>
      </c>
      <c r="C29">
        <v>3327</v>
      </c>
      <c r="D29" s="4">
        <v>0</v>
      </c>
      <c r="E29" s="4">
        <v>0</v>
      </c>
      <c r="F29" s="4">
        <v>0</v>
      </c>
      <c r="G29" s="4">
        <v>0</v>
      </c>
      <c r="H29" s="6">
        <v>14.623652</v>
      </c>
      <c r="I29" s="6">
        <v>27.814212000000001</v>
      </c>
      <c r="J29" s="6">
        <v>20.911766</v>
      </c>
      <c r="K29" s="7">
        <f t="shared" si="0"/>
        <v>0</v>
      </c>
      <c r="L29" s="8">
        <f t="shared" si="1"/>
        <v>21.116543333333336</v>
      </c>
      <c r="M29" s="9">
        <v>5.3626162661414797E-18</v>
      </c>
      <c r="N29" s="9">
        <v>4.04160742751178E-16</v>
      </c>
      <c r="O29" s="2">
        <v>7.01498978803789</v>
      </c>
      <c r="P29" t="s">
        <v>498</v>
      </c>
      <c r="Q29" s="10">
        <f>IF(N29&lt;='[1]statistical criteria'!$B$2,IF(O29&gt;=LOG('[1]statistical criteria'!$B$3,2),1,IF(O29&lt;=-1*LOG('[1]statistical criteria'!$B$3,2),2,"-")),"-")</f>
        <v>1</v>
      </c>
      <c r="R29" t="s">
        <v>500</v>
      </c>
      <c r="S29" t="s">
        <v>501</v>
      </c>
      <c r="T29">
        <v>0</v>
      </c>
      <c r="U29" s="24" t="s">
        <v>425</v>
      </c>
    </row>
    <row r="30" spans="1:22" x14ac:dyDescent="0.35">
      <c r="A30" t="s">
        <v>502</v>
      </c>
      <c r="B30" t="s">
        <v>503</v>
      </c>
      <c r="C30">
        <v>429</v>
      </c>
      <c r="D30" s="4">
        <v>0</v>
      </c>
      <c r="E30" s="4">
        <v>0</v>
      </c>
      <c r="F30" s="4">
        <v>0</v>
      </c>
      <c r="G30" s="4">
        <v>0</v>
      </c>
      <c r="H30" s="6">
        <v>150.496578</v>
      </c>
      <c r="I30" s="6">
        <v>109.59196799999999</v>
      </c>
      <c r="J30" s="6">
        <v>184.02866</v>
      </c>
      <c r="K30" s="7">
        <f t="shared" si="0"/>
        <v>0</v>
      </c>
      <c r="L30" s="8">
        <f t="shared" si="1"/>
        <v>148.03906866666668</v>
      </c>
      <c r="M30" s="9">
        <v>2.6271824688206201E-16</v>
      </c>
      <c r="N30" s="9">
        <v>1.5406866681558199E-14</v>
      </c>
      <c r="O30" s="2">
        <v>7.0143471606717096</v>
      </c>
      <c r="P30" t="s">
        <v>502</v>
      </c>
      <c r="Q30" s="10">
        <f>IF(N30&lt;='[1]statistical criteria'!$B$2,IF(O30&gt;=LOG('[1]statistical criteria'!$B$3,2),1,IF(O30&lt;=-1*LOG('[1]statistical criteria'!$B$3,2),2,"-")),"-")</f>
        <v>1</v>
      </c>
      <c r="R30" t="s">
        <v>504</v>
      </c>
      <c r="S30" t="s">
        <v>505</v>
      </c>
      <c r="T30" s="9">
        <v>4.0000000000000002E-62</v>
      </c>
      <c r="U30" s="24" t="s">
        <v>425</v>
      </c>
    </row>
    <row r="31" spans="1:22" x14ac:dyDescent="0.35">
      <c r="A31" t="s">
        <v>138</v>
      </c>
      <c r="B31" t="s">
        <v>139</v>
      </c>
      <c r="C31">
        <v>564</v>
      </c>
      <c r="D31" s="5">
        <v>1.071993</v>
      </c>
      <c r="E31" s="4">
        <v>0</v>
      </c>
      <c r="F31" s="4">
        <v>0</v>
      </c>
      <c r="G31" s="4">
        <v>0</v>
      </c>
      <c r="H31" s="6">
        <v>106.275587</v>
      </c>
      <c r="I31" s="6">
        <v>199.35998799999999</v>
      </c>
      <c r="J31" s="6">
        <v>175.39627200000001</v>
      </c>
      <c r="K31" s="7">
        <f t="shared" si="0"/>
        <v>0.26799824999999999</v>
      </c>
      <c r="L31" s="8">
        <f t="shared" si="1"/>
        <v>160.34394900000001</v>
      </c>
      <c r="M31" s="9">
        <v>5.8193335216496099E-14</v>
      </c>
      <c r="N31" s="9">
        <v>2.4205883479123902E-12</v>
      </c>
      <c r="O31" s="2">
        <v>7.0014332342650096</v>
      </c>
      <c r="P31" t="s">
        <v>138</v>
      </c>
      <c r="Q31" s="10">
        <f>IF(N31&lt;='[1]statistical criteria'!$B$2,IF(O31&gt;=LOG('[1]statistical criteria'!$B$3,2),1,IF(O31&lt;=-1*LOG('[1]statistical criteria'!$B$3,2),2,"-")),"-")</f>
        <v>1</v>
      </c>
      <c r="R31" t="s">
        <v>140</v>
      </c>
      <c r="S31" t="s">
        <v>4997</v>
      </c>
      <c r="U31" s="24" t="s">
        <v>425</v>
      </c>
    </row>
    <row r="32" spans="1:22" x14ac:dyDescent="0.35">
      <c r="A32" t="s">
        <v>506</v>
      </c>
      <c r="B32" t="s">
        <v>507</v>
      </c>
      <c r="C32">
        <v>762</v>
      </c>
      <c r="D32" s="4">
        <v>0</v>
      </c>
      <c r="E32" s="4">
        <v>0</v>
      </c>
      <c r="F32" s="4">
        <v>0</v>
      </c>
      <c r="G32" s="4">
        <v>0</v>
      </c>
      <c r="H32" s="6">
        <v>39.849142000000001</v>
      </c>
      <c r="I32" s="6">
        <v>45.578116999999999</v>
      </c>
      <c r="J32" s="6">
        <v>45.059804999999997</v>
      </c>
      <c r="K32" s="7">
        <f t="shared" si="0"/>
        <v>0</v>
      </c>
      <c r="L32" s="8">
        <f t="shared" si="1"/>
        <v>43.495687999999994</v>
      </c>
      <c r="M32" s="9">
        <v>1.04915948757243E-17</v>
      </c>
      <c r="N32" s="9">
        <v>7.5483951034039096E-16</v>
      </c>
      <c r="O32" s="2">
        <v>6.9988292972901904</v>
      </c>
      <c r="P32" t="s">
        <v>506</v>
      </c>
      <c r="Q32" s="10">
        <f>IF(N32&lt;='[1]statistical criteria'!$B$2,IF(O32&gt;=LOG('[1]statistical criteria'!$B$3,2),1,IF(O32&lt;=-1*LOG('[1]statistical criteria'!$B$3,2),2,"-")),"-")</f>
        <v>1</v>
      </c>
      <c r="R32" t="s">
        <v>4998</v>
      </c>
      <c r="S32" t="s">
        <v>508</v>
      </c>
      <c r="T32" s="9">
        <v>4.0000000000000003E-63</v>
      </c>
      <c r="U32" s="24" t="s">
        <v>425</v>
      </c>
    </row>
    <row r="33" spans="1:22" x14ac:dyDescent="0.35">
      <c r="A33" t="s">
        <v>510</v>
      </c>
      <c r="B33" t="s">
        <v>511</v>
      </c>
      <c r="C33">
        <v>918</v>
      </c>
      <c r="D33" s="5">
        <v>4.8087220000000004</v>
      </c>
      <c r="E33" s="4">
        <v>0</v>
      </c>
      <c r="F33" s="4">
        <v>0</v>
      </c>
      <c r="G33" s="4">
        <v>0</v>
      </c>
      <c r="H33" s="6">
        <v>160.80754400000001</v>
      </c>
      <c r="I33" s="6">
        <v>210.90369200000001</v>
      </c>
      <c r="J33" s="6">
        <v>185.26687200000001</v>
      </c>
      <c r="K33" s="7">
        <f t="shared" si="0"/>
        <v>1.2021805000000001</v>
      </c>
      <c r="L33" s="8">
        <f t="shared" si="1"/>
        <v>185.65936933333333</v>
      </c>
      <c r="M33" s="9">
        <v>4.7476485606514604E-10</v>
      </c>
      <c r="N33" s="9">
        <v>1.07428828032317E-8</v>
      </c>
      <c r="O33" s="2">
        <v>6.9938505760029903</v>
      </c>
      <c r="P33" t="s">
        <v>510</v>
      </c>
      <c r="Q33" s="10">
        <f>IF(N33&lt;='[1]statistical criteria'!$B$2,IF(O33&gt;=LOG('[1]statistical criteria'!$B$3,2),1,IF(O33&lt;=-1*LOG('[1]statistical criteria'!$B$3,2),2,"-")),"-")</f>
        <v>1</v>
      </c>
      <c r="R33" t="s">
        <v>439</v>
      </c>
      <c r="S33" t="s">
        <v>194</v>
      </c>
      <c r="T33" s="9">
        <v>3.0000000000000002E-104</v>
      </c>
      <c r="U33" s="24" t="s">
        <v>425</v>
      </c>
    </row>
    <row r="34" spans="1:22" x14ac:dyDescent="0.35">
      <c r="A34" t="s">
        <v>512</v>
      </c>
      <c r="B34" t="s">
        <v>513</v>
      </c>
      <c r="C34">
        <v>1074</v>
      </c>
      <c r="D34" s="4">
        <v>0</v>
      </c>
      <c r="E34" s="4">
        <v>0</v>
      </c>
      <c r="F34" s="4">
        <v>0</v>
      </c>
      <c r="G34" s="4">
        <v>0</v>
      </c>
      <c r="H34" s="6">
        <v>56.879148999999998</v>
      </c>
      <c r="I34" s="6">
        <v>37.654829999999997</v>
      </c>
      <c r="J34" s="6">
        <v>35.946722999999999</v>
      </c>
      <c r="K34" s="7">
        <f t="shared" si="0"/>
        <v>0</v>
      </c>
      <c r="L34" s="8">
        <f t="shared" si="1"/>
        <v>43.493567333333324</v>
      </c>
      <c r="M34" s="9">
        <v>8.1334339658835496E-17</v>
      </c>
      <c r="N34" s="9">
        <v>5.2646002847198601E-15</v>
      </c>
      <c r="O34" s="2">
        <v>6.9459349900393601</v>
      </c>
      <c r="P34" t="s">
        <v>512</v>
      </c>
      <c r="Q34" s="10">
        <f>IF(N34&lt;='[1]statistical criteria'!$B$2,IF(O34&gt;=LOG('[1]statistical criteria'!$B$3,2),1,IF(O34&lt;=-1*LOG('[1]statistical criteria'!$B$3,2),2,"-")),"-")</f>
        <v>1</v>
      </c>
      <c r="R34" t="s">
        <v>491</v>
      </c>
      <c r="S34" t="s">
        <v>492</v>
      </c>
      <c r="T34" s="9">
        <v>7.9999999999999996E-178</v>
      </c>
      <c r="U34" s="24" t="s">
        <v>425</v>
      </c>
    </row>
    <row r="35" spans="1:22" x14ac:dyDescent="0.35">
      <c r="A35" t="s">
        <v>514</v>
      </c>
      <c r="B35" t="s">
        <v>515</v>
      </c>
      <c r="C35">
        <v>1356</v>
      </c>
      <c r="D35" s="4">
        <v>0</v>
      </c>
      <c r="E35" s="4">
        <v>0</v>
      </c>
      <c r="F35" s="4">
        <v>0</v>
      </c>
      <c r="G35" s="5">
        <v>0.38032100000000002</v>
      </c>
      <c r="H35" s="6">
        <v>88.167528000000004</v>
      </c>
      <c r="I35" s="6">
        <v>59.60821</v>
      </c>
      <c r="J35" s="6">
        <v>65.483564999999999</v>
      </c>
      <c r="K35" s="7">
        <f t="shared" si="0"/>
        <v>9.5080250000000005E-2</v>
      </c>
      <c r="L35" s="8">
        <f t="shared" si="1"/>
        <v>71.08643433333333</v>
      </c>
      <c r="M35" s="9">
        <v>4.1546108244265097E-14</v>
      </c>
      <c r="N35" s="9">
        <v>1.7628148046563299E-12</v>
      </c>
      <c r="O35" s="2">
        <v>6.9274157105488303</v>
      </c>
      <c r="P35" t="s">
        <v>514</v>
      </c>
      <c r="Q35" s="10">
        <f>IF(N35&lt;='[1]statistical criteria'!$B$2,IF(O35&gt;=LOG('[1]statistical criteria'!$B$3,2),1,IF(O35&lt;=-1*LOG('[1]statistical criteria'!$B$3,2),2,"-")),"-")</f>
        <v>1</v>
      </c>
      <c r="R35" t="s">
        <v>486</v>
      </c>
      <c r="S35" t="s">
        <v>487</v>
      </c>
      <c r="T35" s="9">
        <v>5.9999999999999998E-145</v>
      </c>
      <c r="U35" s="24" t="s">
        <v>425</v>
      </c>
    </row>
    <row r="36" spans="1:22" x14ac:dyDescent="0.35">
      <c r="A36" t="s">
        <v>516</v>
      </c>
      <c r="B36" t="s">
        <v>517</v>
      </c>
      <c r="C36">
        <v>957</v>
      </c>
      <c r="D36" s="5">
        <v>1.9293849999999999</v>
      </c>
      <c r="E36" s="4">
        <v>0</v>
      </c>
      <c r="F36" s="5">
        <v>1.2157549999999999</v>
      </c>
      <c r="G36" s="4">
        <v>0</v>
      </c>
      <c r="H36" s="6">
        <v>269.49433099999999</v>
      </c>
      <c r="I36" s="6">
        <v>313.691305</v>
      </c>
      <c r="J36" s="6">
        <v>274.53949599999999</v>
      </c>
      <c r="K36" s="7">
        <f t="shared" si="0"/>
        <v>0.7862849999999999</v>
      </c>
      <c r="L36" s="8">
        <f t="shared" si="1"/>
        <v>285.90837733333331</v>
      </c>
      <c r="M36" s="9">
        <v>2.61376315984378E-17</v>
      </c>
      <c r="N36" s="9">
        <v>1.7924292948406098E-15</v>
      </c>
      <c r="O36" s="2">
        <v>6.8965633252482501</v>
      </c>
      <c r="P36" t="s">
        <v>516</v>
      </c>
      <c r="Q36" s="10">
        <f>IF(N36&lt;='[1]statistical criteria'!$B$2,IF(O36&gt;=LOG('[1]statistical criteria'!$B$3,2),1,IF(O36&lt;=-1*LOG('[1]statistical criteria'!$B$3,2),2,"-")),"-")</f>
        <v>1</v>
      </c>
      <c r="R36" t="s">
        <v>518</v>
      </c>
      <c r="S36" t="s">
        <v>519</v>
      </c>
      <c r="T36" s="9">
        <v>6.0000000000000002E-27</v>
      </c>
      <c r="U36" s="24" t="s">
        <v>425</v>
      </c>
    </row>
    <row r="37" spans="1:22" x14ac:dyDescent="0.35">
      <c r="A37" t="s">
        <v>520</v>
      </c>
      <c r="B37" t="s">
        <v>521</v>
      </c>
      <c r="C37">
        <v>285</v>
      </c>
      <c r="D37" s="4">
        <v>0</v>
      </c>
      <c r="E37" s="4">
        <v>0</v>
      </c>
      <c r="F37" s="4">
        <v>0</v>
      </c>
      <c r="G37" s="4">
        <v>0</v>
      </c>
      <c r="H37" s="6">
        <v>368.30659700000001</v>
      </c>
      <c r="I37" s="6">
        <v>272.25421</v>
      </c>
      <c r="J37" s="6">
        <v>441.76173299999999</v>
      </c>
      <c r="K37" s="7">
        <f t="shared" si="0"/>
        <v>0</v>
      </c>
      <c r="L37" s="8">
        <f t="shared" si="1"/>
        <v>360.77418000000006</v>
      </c>
      <c r="M37" s="9">
        <v>1.35891397839835E-14</v>
      </c>
      <c r="N37" s="9">
        <v>6.1135066214942496E-13</v>
      </c>
      <c r="O37" s="2">
        <v>6.8874351488522301</v>
      </c>
      <c r="P37" t="s">
        <v>520</v>
      </c>
      <c r="Q37" s="10">
        <f>IF(N37&lt;='[1]statistical criteria'!$B$2,IF(O37&gt;=LOG('[1]statistical criteria'!$B$3,2),1,IF(O37&lt;=-1*LOG('[1]statistical criteria'!$B$3,2),2,"-")),"-")</f>
        <v>1</v>
      </c>
      <c r="R37" t="s">
        <v>160</v>
      </c>
      <c r="S37" t="s">
        <v>522</v>
      </c>
      <c r="T37" s="9">
        <v>6E-11</v>
      </c>
      <c r="U37" s="24" t="s">
        <v>425</v>
      </c>
    </row>
    <row r="38" spans="1:22" x14ac:dyDescent="0.35">
      <c r="A38" t="s">
        <v>523</v>
      </c>
      <c r="B38" t="s">
        <v>524</v>
      </c>
      <c r="C38">
        <v>567</v>
      </c>
      <c r="D38" s="5">
        <v>1.037809</v>
      </c>
      <c r="E38" s="4">
        <v>0</v>
      </c>
      <c r="F38" s="4">
        <v>0</v>
      </c>
      <c r="G38" s="5">
        <v>2.6338279999999998</v>
      </c>
      <c r="H38" s="6">
        <v>934.93721000000005</v>
      </c>
      <c r="I38" s="6">
        <v>207.44578100000001</v>
      </c>
      <c r="J38" s="6">
        <v>764.37853399999995</v>
      </c>
      <c r="K38" s="7">
        <f t="shared" si="0"/>
        <v>0.9179092499999999</v>
      </c>
      <c r="L38" s="8">
        <f t="shared" si="1"/>
        <v>635.587175</v>
      </c>
      <c r="M38" s="9">
        <v>3.37134433407692E-15</v>
      </c>
      <c r="N38" s="9">
        <v>1.67074694472614E-13</v>
      </c>
      <c r="O38" s="2">
        <v>6.8626790120174999</v>
      </c>
      <c r="P38" t="s">
        <v>523</v>
      </c>
      <c r="Q38" s="10">
        <f>IF(N38&lt;='[1]statistical criteria'!$B$2,IF(O38&gt;=LOG('[1]statistical criteria'!$B$3,2),1,IF(O38&lt;=-1*LOG('[1]statistical criteria'!$B$3,2),2,"-")),"-")</f>
        <v>1</v>
      </c>
      <c r="R38" t="s">
        <v>504</v>
      </c>
      <c r="S38" t="s">
        <v>505</v>
      </c>
      <c r="U38" s="24" t="s">
        <v>425</v>
      </c>
    </row>
    <row r="39" spans="1:22" x14ac:dyDescent="0.35">
      <c r="A39" t="s">
        <v>525</v>
      </c>
      <c r="B39" t="s">
        <v>526</v>
      </c>
      <c r="C39">
        <v>1254</v>
      </c>
      <c r="D39" s="5">
        <v>1.1493059999999999</v>
      </c>
      <c r="E39" s="4">
        <v>0</v>
      </c>
      <c r="F39" s="4">
        <v>0</v>
      </c>
      <c r="G39" s="4">
        <v>0</v>
      </c>
      <c r="H39" s="6">
        <v>84.707168999999993</v>
      </c>
      <c r="I39" s="6">
        <v>70.713419000000002</v>
      </c>
      <c r="J39" s="6">
        <v>115.173568</v>
      </c>
      <c r="K39" s="7">
        <f t="shared" si="0"/>
        <v>0.28732649999999998</v>
      </c>
      <c r="L39" s="8">
        <f t="shared" si="1"/>
        <v>90.198052000000004</v>
      </c>
      <c r="M39" s="9">
        <v>3.3369434705045498E-13</v>
      </c>
      <c r="N39" s="9">
        <v>1.2402741063223E-11</v>
      </c>
      <c r="O39" s="2">
        <v>6.85040685594086</v>
      </c>
      <c r="P39" t="s">
        <v>525</v>
      </c>
      <c r="Q39" s="10">
        <f>IF(N39&lt;='[1]statistical criteria'!$B$2,IF(O39&gt;=LOG('[1]statistical criteria'!$B$3,2),1,IF(O39&lt;=-1*LOG('[1]statistical criteria'!$B$3,2),2,"-")),"-")</f>
        <v>1</v>
      </c>
      <c r="R39" t="s">
        <v>527</v>
      </c>
      <c r="S39" t="s">
        <v>528</v>
      </c>
      <c r="T39" s="9">
        <v>2.9999999999999999E-30</v>
      </c>
      <c r="U39" s="24" t="s">
        <v>425</v>
      </c>
    </row>
    <row r="40" spans="1:22" x14ac:dyDescent="0.35">
      <c r="A40" t="s">
        <v>243</v>
      </c>
      <c r="B40" t="s">
        <v>244</v>
      </c>
      <c r="C40">
        <v>582</v>
      </c>
      <c r="D40" s="5">
        <v>1.5065729999999999</v>
      </c>
      <c r="E40" s="4">
        <v>0</v>
      </c>
      <c r="F40" s="4">
        <v>0</v>
      </c>
      <c r="G40" s="4">
        <v>0</v>
      </c>
      <c r="H40" s="6">
        <v>96.540599</v>
      </c>
      <c r="I40" s="6">
        <v>146.83305200000001</v>
      </c>
      <c r="J40" s="6">
        <v>190.46403000000001</v>
      </c>
      <c r="K40" s="7">
        <f t="shared" si="0"/>
        <v>0.37664324999999999</v>
      </c>
      <c r="L40" s="8">
        <f t="shared" si="1"/>
        <v>144.61256033333333</v>
      </c>
      <c r="M40" s="9">
        <v>4.6453708962085605E-13</v>
      </c>
      <c r="N40" s="9">
        <v>1.69513726087917E-11</v>
      </c>
      <c r="O40" s="2">
        <v>6.7972903481404696</v>
      </c>
      <c r="P40" t="s">
        <v>243</v>
      </c>
      <c r="Q40" s="10">
        <f>IF(N40&lt;='[1]statistical criteria'!$B$2,IF(O40&gt;=LOG('[1]statistical criteria'!$B$3,2),1,IF(O40&lt;=-1*LOG('[1]statistical criteria'!$B$3,2),2,"-")),"-")</f>
        <v>1</v>
      </c>
      <c r="R40" t="s">
        <v>245</v>
      </c>
      <c r="S40" t="s">
        <v>4999</v>
      </c>
      <c r="U40" s="24" t="s">
        <v>425</v>
      </c>
    </row>
    <row r="41" spans="1:22" x14ac:dyDescent="0.35">
      <c r="A41" t="s">
        <v>530</v>
      </c>
      <c r="B41" t="s">
        <v>531</v>
      </c>
      <c r="C41">
        <v>1281</v>
      </c>
      <c r="D41" s="4">
        <v>0</v>
      </c>
      <c r="E41" s="4">
        <v>0</v>
      </c>
      <c r="F41" s="4">
        <v>0</v>
      </c>
      <c r="G41" s="4">
        <v>0</v>
      </c>
      <c r="H41" s="6">
        <v>24.015499999999999</v>
      </c>
      <c r="I41" s="6">
        <v>42.852130000000002</v>
      </c>
      <c r="J41" s="6">
        <v>29.488212000000001</v>
      </c>
      <c r="K41" s="7">
        <f t="shared" si="0"/>
        <v>0</v>
      </c>
      <c r="L41" s="8">
        <f t="shared" si="1"/>
        <v>32.118614000000001</v>
      </c>
      <c r="M41" s="9">
        <v>9.4750727238754794E-15</v>
      </c>
      <c r="N41" s="9">
        <v>4.3924636768660302E-13</v>
      </c>
      <c r="O41" s="2">
        <v>6.7676510679838104</v>
      </c>
      <c r="P41" t="s">
        <v>530</v>
      </c>
      <c r="Q41" s="10">
        <f>IF(N41&lt;='[1]statistical criteria'!$B$2,IF(O41&gt;=LOG('[1]statistical criteria'!$B$3,2),1,IF(O41&lt;=-1*LOG('[1]statistical criteria'!$B$3,2),2,"-")),"-")</f>
        <v>1</v>
      </c>
      <c r="R41" t="s">
        <v>532</v>
      </c>
      <c r="S41" t="s">
        <v>533</v>
      </c>
      <c r="T41">
        <v>0</v>
      </c>
      <c r="U41" s="24" t="s">
        <v>425</v>
      </c>
    </row>
    <row r="42" spans="1:22" x14ac:dyDescent="0.35">
      <c r="A42" t="s">
        <v>535</v>
      </c>
      <c r="B42" t="s">
        <v>536</v>
      </c>
      <c r="C42">
        <v>1131</v>
      </c>
      <c r="D42" s="4">
        <v>0</v>
      </c>
      <c r="E42" s="4">
        <v>0</v>
      </c>
      <c r="F42" s="4">
        <v>0</v>
      </c>
      <c r="G42" s="4">
        <v>0</v>
      </c>
      <c r="H42" s="6">
        <v>39.904722999999997</v>
      </c>
      <c r="I42" s="6">
        <v>20.304691999999999</v>
      </c>
      <c r="J42" s="6">
        <v>44.874696999999998</v>
      </c>
      <c r="K42" s="7">
        <f t="shared" si="0"/>
        <v>0</v>
      </c>
      <c r="L42" s="8">
        <f t="shared" si="1"/>
        <v>35.02803733333333</v>
      </c>
      <c r="M42" s="9">
        <v>9.8233079698323795E-13</v>
      </c>
      <c r="N42" s="9">
        <v>3.3919253101229303E-11</v>
      </c>
      <c r="O42" s="2">
        <v>6.7675453217914701</v>
      </c>
      <c r="P42" t="s">
        <v>535</v>
      </c>
      <c r="Q42" s="10">
        <f>IF(N42&lt;='[1]statistical criteria'!$B$2,IF(O42&gt;=LOG('[1]statistical criteria'!$B$3,2),1,IF(O42&lt;=-1*LOG('[1]statistical criteria'!$B$3,2),2,"-")),"-")</f>
        <v>1</v>
      </c>
      <c r="R42" t="s">
        <v>537</v>
      </c>
      <c r="S42" t="s">
        <v>5000</v>
      </c>
      <c r="U42" s="24" t="s">
        <v>425</v>
      </c>
      <c r="V42" t="s">
        <v>5002</v>
      </c>
    </row>
    <row r="43" spans="1:22" x14ac:dyDescent="0.35">
      <c r="A43" t="s">
        <v>538</v>
      </c>
      <c r="B43" t="s">
        <v>539</v>
      </c>
      <c r="C43">
        <v>540</v>
      </c>
      <c r="D43" s="4">
        <v>0</v>
      </c>
      <c r="E43" s="4">
        <v>0</v>
      </c>
      <c r="F43" s="5">
        <v>2.1173670000000002</v>
      </c>
      <c r="G43" s="4">
        <v>0</v>
      </c>
      <c r="H43" s="6">
        <v>299.30487900000003</v>
      </c>
      <c r="I43" s="6">
        <v>219.01218399999999</v>
      </c>
      <c r="J43" s="6">
        <v>284.713415</v>
      </c>
      <c r="K43" s="7">
        <f t="shared" si="0"/>
        <v>0.52934175000000006</v>
      </c>
      <c r="L43" s="8">
        <f t="shared" si="1"/>
        <v>267.67682599999995</v>
      </c>
      <c r="M43" s="9">
        <v>7.9328297510874004E-16</v>
      </c>
      <c r="N43" s="9">
        <v>4.33175753696394E-14</v>
      </c>
      <c r="O43" s="2">
        <v>6.7655619599703103</v>
      </c>
      <c r="P43" t="s">
        <v>538</v>
      </c>
      <c r="Q43" s="10">
        <f>IF(N43&lt;='[1]statistical criteria'!$B$2,IF(O43&gt;=LOG('[1]statistical criteria'!$B$3,2),1,IF(O43&lt;=-1*LOG('[1]statistical criteria'!$B$3,2),2,"-")),"-")</f>
        <v>1</v>
      </c>
      <c r="R43" t="s">
        <v>540</v>
      </c>
      <c r="S43" t="s">
        <v>5001</v>
      </c>
      <c r="T43" s="9">
        <v>3.9999999999999998E-94</v>
      </c>
      <c r="U43" s="24" t="s">
        <v>425</v>
      </c>
    </row>
    <row r="44" spans="1:22" x14ac:dyDescent="0.35">
      <c r="A44" t="s">
        <v>543</v>
      </c>
      <c r="B44" t="s">
        <v>544</v>
      </c>
      <c r="C44">
        <v>1773</v>
      </c>
      <c r="D44" s="4">
        <v>0</v>
      </c>
      <c r="E44" s="5">
        <v>2.3594369999999998</v>
      </c>
      <c r="F44" s="4">
        <v>0</v>
      </c>
      <c r="G44" s="4">
        <v>0</v>
      </c>
      <c r="H44" s="6">
        <v>80.433369999999996</v>
      </c>
      <c r="I44" s="6">
        <v>134.33293399999999</v>
      </c>
      <c r="J44" s="6">
        <v>68.874319999999997</v>
      </c>
      <c r="K44" s="7">
        <f t="shared" si="0"/>
        <v>0.58985924999999995</v>
      </c>
      <c r="L44" s="8">
        <f t="shared" si="1"/>
        <v>94.546874666666668</v>
      </c>
      <c r="M44" s="9">
        <v>1.05773048930688E-15</v>
      </c>
      <c r="N44" s="9">
        <v>5.6541042728960601E-14</v>
      </c>
      <c r="O44" s="2">
        <v>6.7629134340784196</v>
      </c>
      <c r="P44" t="s">
        <v>543</v>
      </c>
      <c r="Q44" s="10">
        <f>IF(N44&lt;='[1]statistical criteria'!$B$2,IF(O44&gt;=LOG('[1]statistical criteria'!$B$3,2),1,IF(O44&lt;=-1*LOG('[1]statistical criteria'!$B$3,2),2,"-")),"-")</f>
        <v>1</v>
      </c>
      <c r="R44" t="s">
        <v>545</v>
      </c>
      <c r="S44" t="s">
        <v>546</v>
      </c>
      <c r="T44">
        <v>0</v>
      </c>
      <c r="U44" t="s">
        <v>547</v>
      </c>
    </row>
    <row r="45" spans="1:22" x14ac:dyDescent="0.35">
      <c r="A45" t="s">
        <v>548</v>
      </c>
      <c r="B45" t="s">
        <v>549</v>
      </c>
      <c r="C45">
        <v>749</v>
      </c>
      <c r="D45" s="4">
        <v>0</v>
      </c>
      <c r="E45" s="4">
        <v>0</v>
      </c>
      <c r="F45" s="4">
        <v>0</v>
      </c>
      <c r="G45" s="4">
        <v>0</v>
      </c>
      <c r="H45" s="6">
        <v>78.395206000000002</v>
      </c>
      <c r="I45" s="6">
        <v>118.95016099999999</v>
      </c>
      <c r="J45" s="6">
        <v>45.454275000000003</v>
      </c>
      <c r="K45" s="7">
        <f t="shared" si="0"/>
        <v>0</v>
      </c>
      <c r="L45" s="8">
        <f t="shared" si="1"/>
        <v>80.933214000000007</v>
      </c>
      <c r="M45" s="9">
        <v>5.7831759415819804E-17</v>
      </c>
      <c r="N45" s="9">
        <v>3.84803629959109E-15</v>
      </c>
      <c r="O45" s="2">
        <v>6.7376650797860496</v>
      </c>
      <c r="P45" t="s">
        <v>548</v>
      </c>
      <c r="Q45" s="10">
        <f>IF(N45&lt;='[1]statistical criteria'!$B$2,IF(O45&gt;=LOG('[1]statistical criteria'!$B$3,2),1,IF(O45&lt;=-1*LOG('[1]statistical criteria'!$B$3,2),2,"-")),"-")</f>
        <v>1</v>
      </c>
      <c r="R45" t="s">
        <v>550</v>
      </c>
      <c r="S45" t="s">
        <v>551</v>
      </c>
      <c r="T45" s="9">
        <v>1E-46</v>
      </c>
      <c r="U45" t="s">
        <v>61</v>
      </c>
    </row>
    <row r="46" spans="1:22" x14ac:dyDescent="0.35">
      <c r="A46" t="s">
        <v>552</v>
      </c>
      <c r="B46" t="s">
        <v>553</v>
      </c>
      <c r="C46">
        <v>1320</v>
      </c>
      <c r="D46" s="4">
        <v>0</v>
      </c>
      <c r="E46" s="4">
        <v>0</v>
      </c>
      <c r="F46" s="4">
        <v>0</v>
      </c>
      <c r="G46" s="4">
        <v>0</v>
      </c>
      <c r="H46" s="6">
        <v>42.140649000000003</v>
      </c>
      <c r="I46" s="6">
        <v>16.742972999999999</v>
      </c>
      <c r="J46" s="6">
        <v>37.699928999999997</v>
      </c>
      <c r="K46" s="7">
        <f t="shared" si="0"/>
        <v>0</v>
      </c>
      <c r="L46" s="8">
        <f t="shared" si="1"/>
        <v>32.194516999999998</v>
      </c>
      <c r="M46" s="9">
        <v>1.61899085932584E-12</v>
      </c>
      <c r="N46" s="9">
        <v>5.3768579499076197E-11</v>
      </c>
      <c r="O46" s="2">
        <v>6.6911411197002097</v>
      </c>
      <c r="P46" t="s">
        <v>552</v>
      </c>
      <c r="Q46" s="10">
        <f>IF(N46&lt;='[1]statistical criteria'!$B$2,IF(O46&gt;=LOG('[1]statistical criteria'!$B$3,2),1,IF(O46&lt;=-1*LOG('[1]statistical criteria'!$B$3,2),2,"-")),"-")</f>
        <v>1</v>
      </c>
      <c r="R46" t="s">
        <v>486</v>
      </c>
      <c r="S46" t="s">
        <v>487</v>
      </c>
      <c r="T46" s="9">
        <v>4.9999999999999998E-145</v>
      </c>
      <c r="U46" t="s">
        <v>488</v>
      </c>
    </row>
    <row r="47" spans="1:22" x14ac:dyDescent="0.35">
      <c r="A47" t="s">
        <v>154</v>
      </c>
      <c r="B47" t="s">
        <v>155</v>
      </c>
      <c r="C47">
        <v>960</v>
      </c>
      <c r="D47" s="4">
        <v>0</v>
      </c>
      <c r="E47" s="4">
        <v>0</v>
      </c>
      <c r="F47" s="4">
        <v>0</v>
      </c>
      <c r="G47" s="4">
        <v>0</v>
      </c>
      <c r="H47" s="6">
        <v>14.227587</v>
      </c>
      <c r="I47" s="6">
        <v>24.481095</v>
      </c>
      <c r="J47" s="6">
        <v>24.397269000000001</v>
      </c>
      <c r="K47" s="7">
        <f t="shared" si="0"/>
        <v>0</v>
      </c>
      <c r="L47" s="8">
        <f t="shared" si="1"/>
        <v>21.035316999999999</v>
      </c>
      <c r="M47" s="9">
        <v>2.6533127525645802E-13</v>
      </c>
      <c r="N47" s="9">
        <v>1.00183614447032E-11</v>
      </c>
      <c r="O47" s="2">
        <v>6.6696868907119402</v>
      </c>
      <c r="P47" t="s">
        <v>154</v>
      </c>
      <c r="Q47" s="10">
        <f>IF(N47&lt;='[1]statistical criteria'!$B$2,IF(O47&gt;=LOG('[1]statistical criteria'!$B$3,2),1,IF(O47&lt;=-1*LOG('[1]statistical criteria'!$B$3,2),2,"-")),"-")</f>
        <v>1</v>
      </c>
      <c r="R47" t="s">
        <v>140</v>
      </c>
    </row>
    <row r="48" spans="1:22" x14ac:dyDescent="0.35">
      <c r="A48" t="s">
        <v>72</v>
      </c>
      <c r="B48" t="s">
        <v>73</v>
      </c>
      <c r="C48">
        <v>1005</v>
      </c>
      <c r="D48" s="5">
        <v>4.017855</v>
      </c>
      <c r="E48" s="4">
        <v>0</v>
      </c>
      <c r="F48" s="4">
        <v>0</v>
      </c>
      <c r="G48" s="4">
        <v>0</v>
      </c>
      <c r="H48" s="6">
        <v>112.958381</v>
      </c>
      <c r="I48" s="6">
        <v>182.15705199999999</v>
      </c>
      <c r="J48" s="6">
        <v>98.814409999999995</v>
      </c>
      <c r="K48" s="7">
        <f t="shared" si="0"/>
        <v>1.00446375</v>
      </c>
      <c r="L48" s="8">
        <f t="shared" si="1"/>
        <v>131.30994766666666</v>
      </c>
      <c r="M48" s="9">
        <v>3.20469764906234E-12</v>
      </c>
      <c r="N48" s="9">
        <v>1.01812013792415E-10</v>
      </c>
      <c r="O48" s="2">
        <v>6.6518865781866898</v>
      </c>
      <c r="P48" t="s">
        <v>72</v>
      </c>
      <c r="Q48" s="10">
        <f>IF(N48&lt;='[1]statistical criteria'!$B$2,IF(O48&gt;=LOG('[1]statistical criteria'!$B$3,2),1,IF(O48&lt;=-1*LOG('[1]statistical criteria'!$B$3,2),2,"-")),"-")</f>
        <v>1</v>
      </c>
      <c r="R48" t="s">
        <v>74</v>
      </c>
    </row>
    <row r="49" spans="1:21" x14ac:dyDescent="0.35">
      <c r="A49" t="s">
        <v>62</v>
      </c>
      <c r="B49" t="s">
        <v>63</v>
      </c>
      <c r="C49">
        <v>843</v>
      </c>
      <c r="D49" s="4">
        <v>0</v>
      </c>
      <c r="E49" s="4">
        <v>0</v>
      </c>
      <c r="F49" s="4">
        <v>0</v>
      </c>
      <c r="G49" s="4">
        <v>0</v>
      </c>
      <c r="H49" s="6">
        <v>25.301586</v>
      </c>
      <c r="I49" s="6">
        <v>75.056411999999995</v>
      </c>
      <c r="J49" s="6">
        <v>20.803728</v>
      </c>
      <c r="K49" s="7">
        <f t="shared" si="0"/>
        <v>0</v>
      </c>
      <c r="L49" s="8">
        <f t="shared" si="1"/>
        <v>40.387241999999993</v>
      </c>
      <c r="M49" s="9">
        <v>1.0060647410932899E-12</v>
      </c>
      <c r="N49" s="9">
        <v>3.4465188160225601E-11</v>
      </c>
      <c r="O49" s="2">
        <v>6.6068160229516897</v>
      </c>
      <c r="P49" t="s">
        <v>62</v>
      </c>
      <c r="Q49" s="10">
        <f>IF(N49&lt;='[1]statistical criteria'!$B$2,IF(O49&gt;=LOG('[1]statistical criteria'!$B$3,2),1,IF(O49&lt;=-1*LOG('[1]statistical criteria'!$B$3,2),2,"-")),"-")</f>
        <v>1</v>
      </c>
      <c r="R49" t="s">
        <v>64</v>
      </c>
      <c r="S49" t="s">
        <v>65</v>
      </c>
      <c r="T49" s="9">
        <v>1.9999999999999999E-82</v>
      </c>
      <c r="U49" t="s">
        <v>66</v>
      </c>
    </row>
    <row r="50" spans="1:21" x14ac:dyDescent="0.35">
      <c r="A50" t="s">
        <v>131</v>
      </c>
      <c r="B50" t="s">
        <v>132</v>
      </c>
      <c r="C50">
        <v>1002</v>
      </c>
      <c r="D50" s="4">
        <v>0</v>
      </c>
      <c r="E50" s="4">
        <v>0</v>
      </c>
      <c r="F50" s="4">
        <v>0</v>
      </c>
      <c r="G50" s="4">
        <v>0</v>
      </c>
      <c r="H50" s="6">
        <v>24.573834999999999</v>
      </c>
      <c r="I50" s="6">
        <v>55.386586000000001</v>
      </c>
      <c r="J50" s="6">
        <v>18.781558</v>
      </c>
      <c r="K50" s="7">
        <f t="shared" si="0"/>
        <v>0</v>
      </c>
      <c r="L50" s="8">
        <f t="shared" si="1"/>
        <v>32.913992999999998</v>
      </c>
      <c r="M50" s="9">
        <v>2.20284065794216E-18</v>
      </c>
      <c r="N50" s="9">
        <v>1.7576544117668499E-16</v>
      </c>
      <c r="O50" s="2">
        <v>6.5671774826359499</v>
      </c>
      <c r="P50" t="s">
        <v>131</v>
      </c>
      <c r="Q50" s="10">
        <f>IF(N50&lt;='[1]statistical criteria'!$B$2,IF(O50&gt;=LOG('[1]statistical criteria'!$B$3,2),1,IF(O50&lt;=-1*LOG('[1]statistical criteria'!$B$3,2),2,"-")),"-")</f>
        <v>1</v>
      </c>
      <c r="R50" t="s">
        <v>105</v>
      </c>
      <c r="S50" t="s">
        <v>106</v>
      </c>
      <c r="T50" s="9">
        <v>2.9999999999999999E-38</v>
      </c>
      <c r="U50" t="s">
        <v>107</v>
      </c>
    </row>
    <row r="51" spans="1:21" x14ac:dyDescent="0.35">
      <c r="A51" t="s">
        <v>554</v>
      </c>
      <c r="B51" t="s">
        <v>555</v>
      </c>
      <c r="C51">
        <v>2007</v>
      </c>
      <c r="D51" s="4">
        <v>0</v>
      </c>
      <c r="E51" s="4">
        <v>0</v>
      </c>
      <c r="F51" s="4">
        <v>0</v>
      </c>
      <c r="G51" s="4">
        <v>0</v>
      </c>
      <c r="H51" s="6">
        <v>23.756204</v>
      </c>
      <c r="I51" s="6">
        <v>5.8108469999999999</v>
      </c>
      <c r="J51" s="6">
        <v>37.514859000000001</v>
      </c>
      <c r="K51" s="7">
        <f t="shared" si="0"/>
        <v>0</v>
      </c>
      <c r="L51" s="8">
        <f t="shared" si="1"/>
        <v>22.360636666666664</v>
      </c>
      <c r="M51" s="9">
        <v>4.4237135272802301E-13</v>
      </c>
      <c r="N51" s="9">
        <v>1.62202829333609E-11</v>
      </c>
      <c r="O51" s="2">
        <v>6.5571018207416003</v>
      </c>
      <c r="P51" t="s">
        <v>554</v>
      </c>
      <c r="Q51" s="10">
        <f>IF(N51&lt;='[1]statistical criteria'!$B$2,IF(O51&gt;=LOG('[1]statistical criteria'!$B$3,2),1,IF(O51&lt;=-1*LOG('[1]statistical criteria'!$B$3,2),2,"-")),"-")</f>
        <v>1</v>
      </c>
      <c r="R51" t="s">
        <v>556</v>
      </c>
      <c r="S51" t="s">
        <v>557</v>
      </c>
      <c r="T51">
        <v>0</v>
      </c>
      <c r="U51" t="s">
        <v>558</v>
      </c>
    </row>
    <row r="52" spans="1:21" x14ac:dyDescent="0.35">
      <c r="A52" t="s">
        <v>559</v>
      </c>
      <c r="B52" t="s">
        <v>560</v>
      </c>
      <c r="C52">
        <v>753</v>
      </c>
      <c r="D52" s="4">
        <v>0</v>
      </c>
      <c r="E52" s="5">
        <v>2.6986180000000002</v>
      </c>
      <c r="F52" s="4">
        <v>0</v>
      </c>
      <c r="G52" s="4">
        <v>0</v>
      </c>
      <c r="H52" s="6">
        <v>150.761763</v>
      </c>
      <c r="I52" s="6">
        <v>60.273420000000002</v>
      </c>
      <c r="J52" s="6">
        <v>168.58704</v>
      </c>
      <c r="K52" s="7">
        <f t="shared" si="0"/>
        <v>0.67465450000000005</v>
      </c>
      <c r="L52" s="8">
        <f t="shared" si="1"/>
        <v>126.54074100000001</v>
      </c>
      <c r="M52" s="9">
        <v>5.8715285248110301E-13</v>
      </c>
      <c r="N52" s="9">
        <v>2.0983133864254299E-11</v>
      </c>
      <c r="O52" s="2">
        <v>6.5457751528054997</v>
      </c>
      <c r="P52" t="s">
        <v>559</v>
      </c>
      <c r="Q52" s="10">
        <f>IF(N52&lt;='[1]statistical criteria'!$B$2,IF(O52&gt;=LOG('[1]statistical criteria'!$B$3,2),1,IF(O52&lt;=-1*LOG('[1]statistical criteria'!$B$3,2),2,"-")),"-")</f>
        <v>1</v>
      </c>
      <c r="S52" t="s">
        <v>561</v>
      </c>
      <c r="T52" s="9">
        <v>1E-58</v>
      </c>
      <c r="U52" t="s">
        <v>311</v>
      </c>
    </row>
    <row r="53" spans="1:21" x14ac:dyDescent="0.35">
      <c r="A53" t="s">
        <v>562</v>
      </c>
      <c r="B53" t="s">
        <v>563</v>
      </c>
      <c r="C53">
        <v>2601</v>
      </c>
      <c r="D53" s="5">
        <v>1.1057969999999999</v>
      </c>
      <c r="E53" s="4">
        <v>0</v>
      </c>
      <c r="F53" s="4">
        <v>0</v>
      </c>
      <c r="G53" s="5">
        <v>0.31637100000000001</v>
      </c>
      <c r="H53" s="6">
        <v>83.478881999999999</v>
      </c>
      <c r="I53" s="6">
        <v>63.037742999999999</v>
      </c>
      <c r="J53" s="6">
        <v>87.299282000000005</v>
      </c>
      <c r="K53" s="7">
        <f t="shared" si="0"/>
        <v>0.35554199999999997</v>
      </c>
      <c r="L53" s="8">
        <f t="shared" si="1"/>
        <v>77.93863566666667</v>
      </c>
      <c r="M53" s="9">
        <v>2.5123396580368801E-16</v>
      </c>
      <c r="N53" s="9">
        <v>1.4824751532540099E-14</v>
      </c>
      <c r="O53" s="2">
        <v>6.5188793359712296</v>
      </c>
      <c r="P53" t="s">
        <v>562</v>
      </c>
      <c r="Q53" s="10">
        <f>IF(N53&lt;='[1]statistical criteria'!$B$2,IF(O53&gt;=LOG('[1]statistical criteria'!$B$3,2),1,IF(O53&lt;=-1*LOG('[1]statistical criteria'!$B$3,2),2,"-")),"-")</f>
        <v>1</v>
      </c>
      <c r="R53" t="s">
        <v>453</v>
      </c>
      <c r="S53" t="s">
        <v>454</v>
      </c>
      <c r="T53">
        <v>0</v>
      </c>
      <c r="U53" t="s">
        <v>455</v>
      </c>
    </row>
    <row r="54" spans="1:21" x14ac:dyDescent="0.35">
      <c r="A54" t="s">
        <v>564</v>
      </c>
      <c r="B54" t="s">
        <v>565</v>
      </c>
      <c r="C54">
        <v>843</v>
      </c>
      <c r="D54" s="5">
        <v>2.8989259999999999</v>
      </c>
      <c r="E54" s="4">
        <v>0</v>
      </c>
      <c r="F54" s="4">
        <v>0</v>
      </c>
      <c r="G54" s="5">
        <v>0.441357</v>
      </c>
      <c r="H54" s="6">
        <v>219.151464</v>
      </c>
      <c r="I54" s="6">
        <v>197.52237199999999</v>
      </c>
      <c r="J54" s="6">
        <v>301.65897200000001</v>
      </c>
      <c r="K54" s="7">
        <f t="shared" si="0"/>
        <v>0.83507074999999997</v>
      </c>
      <c r="L54" s="8">
        <f t="shared" si="1"/>
        <v>239.44426933333332</v>
      </c>
      <c r="M54" s="9">
        <v>4.4691987998650804E-12</v>
      </c>
      <c r="N54" s="9">
        <v>1.3874201168259801E-10</v>
      </c>
      <c r="O54" s="2">
        <v>6.5080713139861199</v>
      </c>
      <c r="P54" t="s">
        <v>564</v>
      </c>
      <c r="Q54" s="10">
        <f>IF(N54&lt;='[1]statistical criteria'!$B$2,IF(O54&gt;=LOG('[1]statistical criteria'!$B$3,2),1,IF(O54&lt;=-1*LOG('[1]statistical criteria'!$B$3,2),2,"-")),"-")</f>
        <v>1</v>
      </c>
      <c r="R54" t="s">
        <v>439</v>
      </c>
      <c r="S54" t="s">
        <v>194</v>
      </c>
      <c r="T54" s="9">
        <v>5.0000000000000003E-115</v>
      </c>
      <c r="U54" t="s">
        <v>195</v>
      </c>
    </row>
    <row r="55" spans="1:21" x14ac:dyDescent="0.35">
      <c r="A55" t="s">
        <v>566</v>
      </c>
      <c r="C55">
        <v>885</v>
      </c>
      <c r="D55" s="4">
        <v>0</v>
      </c>
      <c r="E55" s="4">
        <v>0</v>
      </c>
      <c r="F55" s="4">
        <v>0</v>
      </c>
      <c r="G55" s="4">
        <v>0</v>
      </c>
      <c r="H55" s="6">
        <v>52.431550000000001</v>
      </c>
      <c r="I55" s="6">
        <v>9.5413979999999992</v>
      </c>
      <c r="J55" s="6">
        <v>56.398794000000002</v>
      </c>
      <c r="K55" s="7">
        <f t="shared" si="0"/>
        <v>0</v>
      </c>
      <c r="L55" s="8">
        <f t="shared" si="1"/>
        <v>39.457247333333335</v>
      </c>
      <c r="M55" s="9">
        <v>1.8803030817175501E-16</v>
      </c>
      <c r="N55" s="9">
        <v>1.13774777885803E-14</v>
      </c>
      <c r="O55" s="2">
        <v>6.50037344295359</v>
      </c>
      <c r="P55" t="s">
        <v>566</v>
      </c>
      <c r="Q55" s="10">
        <f>IF(N55&lt;='[1]statistical criteria'!$B$2,IF(O55&gt;=LOG('[1]statistical criteria'!$B$3,2),1,IF(O55&lt;=-1*LOG('[1]statistical criteria'!$B$3,2),2,"-")),"-")</f>
        <v>1</v>
      </c>
      <c r="R55" t="s">
        <v>567</v>
      </c>
      <c r="S55" t="s">
        <v>568</v>
      </c>
      <c r="T55" s="9">
        <v>4.0000000000000001E-84</v>
      </c>
      <c r="U55" t="s">
        <v>569</v>
      </c>
    </row>
    <row r="56" spans="1:21" x14ac:dyDescent="0.35">
      <c r="A56" t="s">
        <v>570</v>
      </c>
      <c r="B56" t="s">
        <v>571</v>
      </c>
      <c r="C56">
        <v>480</v>
      </c>
      <c r="D56" s="4">
        <v>0</v>
      </c>
      <c r="E56" s="4">
        <v>0</v>
      </c>
      <c r="F56" s="4">
        <v>0</v>
      </c>
      <c r="G56" s="5">
        <v>5.6268079999999996</v>
      </c>
      <c r="H56" s="6">
        <v>448.033008</v>
      </c>
      <c r="I56" s="6">
        <v>82.678492000000006</v>
      </c>
      <c r="J56" s="6">
        <v>416.98005999999998</v>
      </c>
      <c r="K56" s="7">
        <f t="shared" si="0"/>
        <v>1.4067019999999999</v>
      </c>
      <c r="L56" s="8">
        <f t="shared" si="1"/>
        <v>315.89718666666664</v>
      </c>
      <c r="M56" s="9">
        <v>5.4073025711970798E-14</v>
      </c>
      <c r="N56" s="9">
        <v>2.2690400866566799E-12</v>
      </c>
      <c r="O56" s="2">
        <v>6.4947336195421199</v>
      </c>
      <c r="P56" t="s">
        <v>570</v>
      </c>
      <c r="Q56" s="10">
        <f>IF(N56&lt;='[1]statistical criteria'!$B$2,IF(O56&gt;=LOG('[1]statistical criteria'!$B$3,2),1,IF(O56&lt;=-1*LOG('[1]statistical criteria'!$B$3,2),2,"-")),"-")</f>
        <v>1</v>
      </c>
      <c r="R56" t="s">
        <v>436</v>
      </c>
      <c r="S56" t="s">
        <v>442</v>
      </c>
      <c r="T56" s="9">
        <v>9.9999999999999996E-83</v>
      </c>
      <c r="U56" t="s">
        <v>443</v>
      </c>
    </row>
    <row r="57" spans="1:21" x14ac:dyDescent="0.35">
      <c r="A57" t="s">
        <v>572</v>
      </c>
      <c r="B57" t="s">
        <v>573</v>
      </c>
      <c r="C57">
        <v>1422</v>
      </c>
      <c r="D57" s="4">
        <v>0</v>
      </c>
      <c r="E57" s="4">
        <v>0</v>
      </c>
      <c r="F57" s="4">
        <v>0</v>
      </c>
      <c r="G57" s="4">
        <v>0</v>
      </c>
      <c r="H57" s="6">
        <v>16.362386999999998</v>
      </c>
      <c r="I57" s="6">
        <v>41.529425000000003</v>
      </c>
      <c r="J57" s="6">
        <v>15.045762</v>
      </c>
      <c r="K57" s="7">
        <f t="shared" si="0"/>
        <v>0</v>
      </c>
      <c r="L57" s="8">
        <f t="shared" si="1"/>
        <v>24.312524666666665</v>
      </c>
      <c r="M57" s="9">
        <v>9.7313327043477093E-16</v>
      </c>
      <c r="N57" s="9">
        <v>5.2312785695970903E-14</v>
      </c>
      <c r="O57" s="2">
        <v>6.4888577772399998</v>
      </c>
      <c r="P57" t="s">
        <v>572</v>
      </c>
      <c r="Q57" s="10">
        <f>IF(N57&lt;='[1]statistical criteria'!$B$2,IF(O57&gt;=LOG('[1]statistical criteria'!$B$3,2),1,IF(O57&lt;=-1*LOG('[1]statistical criteria'!$B$3,2),2,"-")),"-")</f>
        <v>1</v>
      </c>
      <c r="R57" t="s">
        <v>532</v>
      </c>
      <c r="S57" t="s">
        <v>533</v>
      </c>
      <c r="T57">
        <v>0</v>
      </c>
      <c r="U57" t="s">
        <v>534</v>
      </c>
    </row>
    <row r="58" spans="1:21" x14ac:dyDescent="0.35">
      <c r="A58" t="s">
        <v>58</v>
      </c>
      <c r="B58" t="s">
        <v>59</v>
      </c>
      <c r="C58">
        <v>521</v>
      </c>
      <c r="D58" s="5">
        <v>6.0735190000000001</v>
      </c>
      <c r="E58" s="5">
        <v>12.152112000000001</v>
      </c>
      <c r="F58" s="4">
        <v>0</v>
      </c>
      <c r="G58" s="4">
        <v>0</v>
      </c>
      <c r="H58" s="6">
        <v>784.94238700000005</v>
      </c>
      <c r="I58" s="6">
        <v>681.01970900000003</v>
      </c>
      <c r="J58" s="6">
        <v>747.495136</v>
      </c>
      <c r="K58" s="7">
        <f t="shared" si="0"/>
        <v>4.55640775</v>
      </c>
      <c r="L58" s="8">
        <f t="shared" si="1"/>
        <v>737.81907733333344</v>
      </c>
      <c r="M58" s="9">
        <v>2.24866751489886E-7</v>
      </c>
      <c r="N58" s="9">
        <v>2.9903663737613701E-6</v>
      </c>
      <c r="O58" s="2">
        <v>6.46193205840712</v>
      </c>
      <c r="P58" t="s">
        <v>58</v>
      </c>
      <c r="Q58" s="10">
        <f>IF(N58&lt;='[1]statistical criteria'!$B$2,IF(O58&gt;=LOG('[1]statistical criteria'!$B$3,2),1,IF(O58&lt;=-1*LOG('[1]statistical criteria'!$B$3,2),2,"-")),"-")</f>
        <v>1</v>
      </c>
      <c r="S58" t="s">
        <v>60</v>
      </c>
      <c r="T58" s="9">
        <v>8.0000000000000006E-18</v>
      </c>
      <c r="U58" t="s">
        <v>61</v>
      </c>
    </row>
    <row r="59" spans="1:21" x14ac:dyDescent="0.35">
      <c r="A59" t="s">
        <v>574</v>
      </c>
      <c r="B59" t="s">
        <v>575</v>
      </c>
      <c r="C59">
        <v>1008</v>
      </c>
      <c r="D59" s="4">
        <v>0</v>
      </c>
      <c r="E59" s="4">
        <v>0</v>
      </c>
      <c r="F59" s="4">
        <v>0</v>
      </c>
      <c r="G59" s="4">
        <v>0</v>
      </c>
      <c r="H59" s="6">
        <v>21.795169999999999</v>
      </c>
      <c r="I59" s="6">
        <v>42.981338999999998</v>
      </c>
      <c r="J59" s="6">
        <v>17.050440999999999</v>
      </c>
      <c r="K59" s="7">
        <f t="shared" si="0"/>
        <v>0</v>
      </c>
      <c r="L59" s="8">
        <f t="shared" si="1"/>
        <v>27.275650000000002</v>
      </c>
      <c r="M59" s="9">
        <v>6.66095014428004E-15</v>
      </c>
      <c r="N59" s="9">
        <v>3.1414592625935401E-13</v>
      </c>
      <c r="O59" s="2">
        <v>6.4607376526406002</v>
      </c>
      <c r="P59" t="s">
        <v>574</v>
      </c>
      <c r="Q59" s="10">
        <f>IF(N59&lt;='[1]statistical criteria'!$B$2,IF(O59&gt;=LOG('[1]statistical criteria'!$B$3,2),1,IF(O59&lt;=-1*LOG('[1]statistical criteria'!$B$3,2),2,"-")),"-")</f>
        <v>1</v>
      </c>
    </row>
    <row r="60" spans="1:21" x14ac:dyDescent="0.35">
      <c r="A60" t="s">
        <v>576</v>
      </c>
      <c r="B60" t="s">
        <v>577</v>
      </c>
      <c r="C60">
        <v>411</v>
      </c>
      <c r="D60" s="4">
        <v>0</v>
      </c>
      <c r="E60" s="4">
        <v>0</v>
      </c>
      <c r="F60" s="4">
        <v>0</v>
      </c>
      <c r="G60" s="4">
        <v>0</v>
      </c>
      <c r="H60" s="6">
        <v>68.289501999999999</v>
      </c>
      <c r="I60" s="6">
        <v>48.422100999999998</v>
      </c>
      <c r="J60" s="6">
        <v>29.093737999999998</v>
      </c>
      <c r="K60" s="7">
        <f t="shared" si="0"/>
        <v>0</v>
      </c>
      <c r="L60" s="8">
        <f t="shared" si="1"/>
        <v>48.60178033333333</v>
      </c>
      <c r="M60" s="9">
        <v>3.0277275638174999E-12</v>
      </c>
      <c r="N60" s="9">
        <v>9.6917839427160695E-11</v>
      </c>
      <c r="O60" s="2">
        <v>6.4502270499218497</v>
      </c>
      <c r="P60" t="s">
        <v>576</v>
      </c>
      <c r="Q60" s="10">
        <f>IF(N60&lt;='[1]statistical criteria'!$B$2,IF(O60&gt;=LOG('[1]statistical criteria'!$B$3,2),1,IF(O60&lt;=-1*LOG('[1]statistical criteria'!$B$3,2),2,"-")),"-")</f>
        <v>1</v>
      </c>
    </row>
    <row r="61" spans="1:21" x14ac:dyDescent="0.35">
      <c r="A61" t="s">
        <v>578</v>
      </c>
      <c r="B61" t="s">
        <v>579</v>
      </c>
      <c r="C61">
        <v>1957</v>
      </c>
      <c r="D61" s="4">
        <v>0</v>
      </c>
      <c r="E61" s="4">
        <v>0</v>
      </c>
      <c r="F61" s="4">
        <v>0</v>
      </c>
      <c r="G61" s="4">
        <v>0</v>
      </c>
      <c r="H61" s="6">
        <v>21.930855999999999</v>
      </c>
      <c r="I61" s="6">
        <v>28.832587</v>
      </c>
      <c r="J61" s="6">
        <v>15.074145</v>
      </c>
      <c r="K61" s="7">
        <f t="shared" si="0"/>
        <v>0</v>
      </c>
      <c r="L61" s="8">
        <f t="shared" si="1"/>
        <v>21.945862666666667</v>
      </c>
      <c r="M61" s="9">
        <v>2.51333215683877E-12</v>
      </c>
      <c r="N61" s="9">
        <v>8.1203244388186297E-11</v>
      </c>
      <c r="O61" s="2">
        <v>6.44994757982903</v>
      </c>
      <c r="P61" t="s">
        <v>578</v>
      </c>
      <c r="Q61" s="10">
        <f>IF(N61&lt;='[1]statistical criteria'!$B$2,IF(O61&gt;=LOG('[1]statistical criteria'!$B$3,2),1,IF(O61&lt;=-1*LOG('[1]statistical criteria'!$B$3,2),2,"-")),"-")</f>
        <v>1</v>
      </c>
      <c r="R61" t="s">
        <v>580</v>
      </c>
      <c r="S61" t="s">
        <v>581</v>
      </c>
      <c r="T61">
        <v>0</v>
      </c>
      <c r="U61" t="s">
        <v>582</v>
      </c>
    </row>
    <row r="62" spans="1:21" x14ac:dyDescent="0.35">
      <c r="A62" t="s">
        <v>583</v>
      </c>
      <c r="B62" t="s">
        <v>584</v>
      </c>
      <c r="C62">
        <v>879</v>
      </c>
      <c r="D62" s="4">
        <v>0</v>
      </c>
      <c r="E62" s="4">
        <v>0</v>
      </c>
      <c r="F62" s="4">
        <v>0</v>
      </c>
      <c r="G62" s="4">
        <v>0</v>
      </c>
      <c r="H62" s="6">
        <v>35.373866999999997</v>
      </c>
      <c r="I62" s="6">
        <v>37.798262999999999</v>
      </c>
      <c r="J62" s="6">
        <v>23.219348</v>
      </c>
      <c r="K62" s="7">
        <f t="shared" si="0"/>
        <v>0</v>
      </c>
      <c r="L62" s="8">
        <f t="shared" si="1"/>
        <v>32.130492666666662</v>
      </c>
      <c r="M62" s="9">
        <v>4.1547194557174897E-12</v>
      </c>
      <c r="N62" s="9">
        <v>1.2940149139493299E-10</v>
      </c>
      <c r="O62" s="2">
        <v>6.4369107621639303</v>
      </c>
      <c r="P62" t="s">
        <v>583</v>
      </c>
      <c r="Q62" s="10">
        <f>IF(N62&lt;='[1]statistical criteria'!$B$2,IF(O62&gt;=LOG('[1]statistical criteria'!$B$3,2),1,IF(O62&lt;=-1*LOG('[1]statistical criteria'!$B$3,2),2,"-")),"-")</f>
        <v>1</v>
      </c>
      <c r="R62" t="s">
        <v>585</v>
      </c>
      <c r="S62" t="s">
        <v>586</v>
      </c>
      <c r="T62" s="9">
        <v>3.0000000000000001E-84</v>
      </c>
      <c r="U62" t="s">
        <v>587</v>
      </c>
    </row>
    <row r="63" spans="1:21" x14ac:dyDescent="0.35">
      <c r="A63" t="s">
        <v>161</v>
      </c>
      <c r="C63">
        <v>456</v>
      </c>
      <c r="D63" s="4">
        <v>0</v>
      </c>
      <c r="E63" s="4">
        <v>0</v>
      </c>
      <c r="F63" s="4">
        <v>0</v>
      </c>
      <c r="G63" s="4">
        <v>0</v>
      </c>
      <c r="H63" s="6">
        <v>120.750395</v>
      </c>
      <c r="I63" s="6">
        <v>114.302798</v>
      </c>
      <c r="J63" s="6">
        <v>54.799863000000002</v>
      </c>
      <c r="K63" s="7">
        <f t="shared" si="0"/>
        <v>0</v>
      </c>
      <c r="L63" s="8">
        <f t="shared" si="1"/>
        <v>96.617685333333327</v>
      </c>
      <c r="M63" s="9">
        <v>8.5853038964846997E-13</v>
      </c>
      <c r="N63" s="9">
        <v>2.9895394903953098E-11</v>
      </c>
      <c r="O63" s="2">
        <v>6.4298334083383404</v>
      </c>
      <c r="P63" t="s">
        <v>161</v>
      </c>
      <c r="Q63" s="10">
        <f>IF(N63&lt;='[1]statistical criteria'!$B$2,IF(O63&gt;=LOG('[1]statistical criteria'!$B$3,2),1,IF(O63&lt;=-1*LOG('[1]statistical criteria'!$B$3,2),2,"-")),"-")</f>
        <v>1</v>
      </c>
    </row>
    <row r="64" spans="1:21" x14ac:dyDescent="0.35">
      <c r="A64" t="s">
        <v>588</v>
      </c>
      <c r="B64" t="s">
        <v>589</v>
      </c>
      <c r="C64">
        <v>810</v>
      </c>
      <c r="D64" s="4">
        <v>0</v>
      </c>
      <c r="E64" s="4">
        <v>0</v>
      </c>
      <c r="F64" s="4">
        <v>0</v>
      </c>
      <c r="G64" s="4">
        <v>0</v>
      </c>
      <c r="H64" s="6">
        <v>37.449558000000003</v>
      </c>
      <c r="I64" s="6">
        <v>7.0927559999999996</v>
      </c>
      <c r="J64" s="6">
        <v>33.679181</v>
      </c>
      <c r="K64" s="7">
        <f t="shared" si="0"/>
        <v>0</v>
      </c>
      <c r="L64" s="8">
        <f t="shared" si="1"/>
        <v>26.073831666666667</v>
      </c>
      <c r="M64" s="9">
        <v>7.5061613631196507E-12</v>
      </c>
      <c r="N64" s="9">
        <v>2.25177596438214E-10</v>
      </c>
      <c r="O64" s="2">
        <v>6.4223947758751896</v>
      </c>
      <c r="P64" t="s">
        <v>588</v>
      </c>
      <c r="Q64" s="10">
        <f>IF(N64&lt;='[1]statistical criteria'!$B$2,IF(O64&gt;=LOG('[1]statistical criteria'!$B$3,2),1,IF(O64&lt;=-1*LOG('[1]statistical criteria'!$B$3,2),2,"-")),"-")</f>
        <v>1</v>
      </c>
      <c r="R64" t="s">
        <v>590</v>
      </c>
    </row>
    <row r="65" spans="1:21" x14ac:dyDescent="0.35">
      <c r="A65" t="s">
        <v>591</v>
      </c>
      <c r="B65" t="s">
        <v>592</v>
      </c>
      <c r="C65">
        <v>1006</v>
      </c>
      <c r="D65" s="4">
        <v>0</v>
      </c>
      <c r="E65" s="4">
        <v>0</v>
      </c>
      <c r="F65" s="4">
        <v>0</v>
      </c>
      <c r="G65" s="4">
        <v>0</v>
      </c>
      <c r="H65" s="6">
        <v>19.380362999999999</v>
      </c>
      <c r="I65" s="6">
        <v>38.756148000000003</v>
      </c>
      <c r="J65" s="6">
        <v>14.680942</v>
      </c>
      <c r="K65" s="7">
        <f t="shared" si="0"/>
        <v>0</v>
      </c>
      <c r="L65" s="8">
        <f t="shared" si="1"/>
        <v>24.272484333333335</v>
      </c>
      <c r="M65" s="9">
        <v>1.16075129930507E-11</v>
      </c>
      <c r="N65" s="9">
        <v>3.4025289452194002E-10</v>
      </c>
      <c r="O65" s="2">
        <v>6.4072798808924603</v>
      </c>
      <c r="P65" t="s">
        <v>591</v>
      </c>
      <c r="Q65" s="10">
        <f>IF(N65&lt;='[1]statistical criteria'!$B$2,IF(O65&gt;=LOG('[1]statistical criteria'!$B$3,2),1,IF(O65&lt;=-1*LOG('[1]statistical criteria'!$B$3,2),2,"-")),"-")</f>
        <v>1</v>
      </c>
      <c r="R65" t="s">
        <v>64</v>
      </c>
      <c r="S65" t="s">
        <v>65</v>
      </c>
      <c r="T65" s="9">
        <v>3.9999999999999999E-85</v>
      </c>
      <c r="U65" t="s">
        <v>66</v>
      </c>
    </row>
    <row r="66" spans="1:21" x14ac:dyDescent="0.35">
      <c r="A66" t="s">
        <v>593</v>
      </c>
      <c r="B66" t="s">
        <v>594</v>
      </c>
      <c r="C66">
        <v>1014</v>
      </c>
      <c r="D66" s="4">
        <v>0</v>
      </c>
      <c r="E66" s="4">
        <v>0</v>
      </c>
      <c r="F66" s="4">
        <v>0</v>
      </c>
      <c r="G66" s="4">
        <v>0</v>
      </c>
      <c r="H66" s="6">
        <v>21.500796000000001</v>
      </c>
      <c r="I66" s="6">
        <v>32.888486999999998</v>
      </c>
      <c r="J66" s="6">
        <v>31.901382999999999</v>
      </c>
      <c r="K66" s="7">
        <f t="shared" si="0"/>
        <v>0</v>
      </c>
      <c r="L66" s="8">
        <f t="shared" si="1"/>
        <v>28.763555333333333</v>
      </c>
      <c r="M66" s="9">
        <v>4.2778171488312399E-18</v>
      </c>
      <c r="N66" s="9">
        <v>3.30250954735329E-16</v>
      </c>
      <c r="O66" s="2">
        <v>6.3672348647168802</v>
      </c>
      <c r="P66" t="s">
        <v>593</v>
      </c>
      <c r="Q66" s="10">
        <f>IF(N66&lt;='[1]statistical criteria'!$B$2,IF(O66&gt;=LOG('[1]statistical criteria'!$B$3,2),1,IF(O66&lt;=-1*LOG('[1]statistical criteria'!$B$3,2),2,"-")),"-")</f>
        <v>1</v>
      </c>
      <c r="R66" t="s">
        <v>595</v>
      </c>
      <c r="S66" t="s">
        <v>596</v>
      </c>
      <c r="T66" s="9">
        <v>2.9999999999999998E-123</v>
      </c>
      <c r="U66" t="s">
        <v>597</v>
      </c>
    </row>
    <row r="67" spans="1:21" x14ac:dyDescent="0.35">
      <c r="A67" t="s">
        <v>598</v>
      </c>
      <c r="B67" t="s">
        <v>599</v>
      </c>
      <c r="C67">
        <v>1440</v>
      </c>
      <c r="D67" s="4">
        <v>0</v>
      </c>
      <c r="E67" s="4">
        <v>0</v>
      </c>
      <c r="F67" s="4">
        <v>0</v>
      </c>
      <c r="G67" s="4">
        <v>0</v>
      </c>
      <c r="H67" s="6">
        <v>24.977753</v>
      </c>
      <c r="I67" s="6">
        <v>17.303118000000001</v>
      </c>
      <c r="J67" s="6">
        <v>20.724981</v>
      </c>
      <c r="K67" s="7">
        <f t="shared" ref="K67:K130" si="2">AVERAGE(D67:G67)</f>
        <v>0</v>
      </c>
      <c r="L67" s="8">
        <f t="shared" ref="L67:L130" si="3">AVERAGE(H67:J67)</f>
        <v>21.001950666666669</v>
      </c>
      <c r="M67" s="9">
        <v>2.0326266713590499E-14</v>
      </c>
      <c r="N67" s="9">
        <v>8.90239023152192E-13</v>
      </c>
      <c r="O67" s="2">
        <v>6.3637666843509599</v>
      </c>
      <c r="P67" t="s">
        <v>598</v>
      </c>
      <c r="Q67" s="10">
        <f>IF(N67&lt;='[1]statistical criteria'!$B$2,IF(O67&gt;=LOG('[1]statistical criteria'!$B$3,2),1,IF(O67&lt;=-1*LOG('[1]statistical criteria'!$B$3,2),2,"-")),"-")</f>
        <v>1</v>
      </c>
      <c r="R67" t="s">
        <v>600</v>
      </c>
      <c r="S67" t="s">
        <v>601</v>
      </c>
      <c r="T67">
        <v>0</v>
      </c>
      <c r="U67" t="s">
        <v>602</v>
      </c>
    </row>
    <row r="68" spans="1:21" x14ac:dyDescent="0.35">
      <c r="A68" t="s">
        <v>603</v>
      </c>
      <c r="C68">
        <v>831</v>
      </c>
      <c r="D68" s="4">
        <v>0</v>
      </c>
      <c r="E68" s="4">
        <v>0</v>
      </c>
      <c r="F68" s="4">
        <v>0</v>
      </c>
      <c r="G68" s="4">
        <v>0</v>
      </c>
      <c r="H68" s="6">
        <v>41.247295999999999</v>
      </c>
      <c r="I68" s="6">
        <v>16.690662</v>
      </c>
      <c r="J68" s="6">
        <v>57.110073</v>
      </c>
      <c r="K68" s="7">
        <f t="shared" si="2"/>
        <v>0</v>
      </c>
      <c r="L68" s="8">
        <f t="shared" si="3"/>
        <v>38.349343666666663</v>
      </c>
      <c r="M68" s="9">
        <v>7.5821237807141396E-12</v>
      </c>
      <c r="N68" s="9">
        <v>2.27224906373213E-10</v>
      </c>
      <c r="O68" s="2">
        <v>6.3339896737546404</v>
      </c>
      <c r="P68" t="s">
        <v>603</v>
      </c>
      <c r="Q68" s="10">
        <f>IF(N68&lt;='[1]statistical criteria'!$B$2,IF(O68&gt;=LOG('[1]statistical criteria'!$B$3,2),1,IF(O68&lt;=-1*LOG('[1]statistical criteria'!$B$3,2),2,"-")),"-")</f>
        <v>1</v>
      </c>
    </row>
    <row r="69" spans="1:21" x14ac:dyDescent="0.35">
      <c r="A69" t="s">
        <v>604</v>
      </c>
      <c r="B69" t="s">
        <v>605</v>
      </c>
      <c r="C69">
        <v>2613</v>
      </c>
      <c r="D69" s="5">
        <v>1.1223240000000001</v>
      </c>
      <c r="E69" s="4">
        <v>0</v>
      </c>
      <c r="F69" s="4">
        <v>0</v>
      </c>
      <c r="G69" s="5">
        <v>9.3404000000000001E-2</v>
      </c>
      <c r="H69" s="6">
        <v>54.878279999999997</v>
      </c>
      <c r="I69" s="6">
        <v>52.340057999999999</v>
      </c>
      <c r="J69" s="6">
        <v>35.030284999999999</v>
      </c>
      <c r="K69" s="7">
        <f t="shared" si="2"/>
        <v>0.30393200000000004</v>
      </c>
      <c r="L69" s="8">
        <f t="shared" si="3"/>
        <v>47.416207666666658</v>
      </c>
      <c r="M69" s="9">
        <v>4.2009790061384899E-11</v>
      </c>
      <c r="N69" s="9">
        <v>1.1331627283744199E-9</v>
      </c>
      <c r="O69" s="2">
        <v>6.3262385250609796</v>
      </c>
      <c r="P69" t="s">
        <v>604</v>
      </c>
      <c r="Q69" s="10">
        <f>IF(N69&lt;='[1]statistical criteria'!$B$2,IF(O69&gt;=LOG('[1]statistical criteria'!$B$3,2),1,IF(O69&lt;=-1*LOG('[1]statistical criteria'!$B$3,2),2,"-")),"-")</f>
        <v>1</v>
      </c>
      <c r="R69" t="s">
        <v>606</v>
      </c>
      <c r="S69" t="s">
        <v>607</v>
      </c>
      <c r="T69">
        <v>0</v>
      </c>
      <c r="U69" t="s">
        <v>608</v>
      </c>
    </row>
    <row r="70" spans="1:21" x14ac:dyDescent="0.35">
      <c r="A70" t="s">
        <v>20</v>
      </c>
      <c r="B70" t="s">
        <v>21</v>
      </c>
      <c r="C70">
        <v>909</v>
      </c>
      <c r="D70" s="4">
        <v>0</v>
      </c>
      <c r="E70" s="4">
        <v>0</v>
      </c>
      <c r="F70" s="4">
        <v>0</v>
      </c>
      <c r="G70" s="5">
        <v>0.49643500000000002</v>
      </c>
      <c r="H70" s="6">
        <v>63.966569999999997</v>
      </c>
      <c r="I70" s="6">
        <v>33.954695999999998</v>
      </c>
      <c r="J70" s="6">
        <v>64.209030999999996</v>
      </c>
      <c r="K70" s="7">
        <f t="shared" si="2"/>
        <v>0.12410875</v>
      </c>
      <c r="L70" s="8">
        <f t="shared" si="3"/>
        <v>54.043432333333328</v>
      </c>
      <c r="M70" s="9">
        <v>1.5068201887859599E-13</v>
      </c>
      <c r="N70" s="9">
        <v>5.9184289355205104E-12</v>
      </c>
      <c r="O70" s="2">
        <v>6.3223256838612896</v>
      </c>
      <c r="P70" t="s">
        <v>20</v>
      </c>
      <c r="Q70" s="10">
        <f>IF(N70&lt;='[1]statistical criteria'!$B$2,IF(O70&gt;=LOG('[1]statistical criteria'!$B$3,2),1,IF(O70&lt;=-1*LOG('[1]statistical criteria'!$B$3,2),2,"-")),"-")</f>
        <v>1</v>
      </c>
      <c r="R70" t="s">
        <v>22</v>
      </c>
      <c r="S70" t="s">
        <v>23</v>
      </c>
      <c r="T70" s="9">
        <v>4.9999999999999997E-127</v>
      </c>
      <c r="U70" t="s">
        <v>24</v>
      </c>
    </row>
    <row r="71" spans="1:21" x14ac:dyDescent="0.35">
      <c r="A71" t="s">
        <v>39</v>
      </c>
      <c r="B71" t="s">
        <v>40</v>
      </c>
      <c r="C71">
        <v>756</v>
      </c>
      <c r="D71" s="5">
        <v>6.4333669999999996</v>
      </c>
      <c r="E71" s="4">
        <v>0</v>
      </c>
      <c r="F71" s="5">
        <v>2.6713960000000001</v>
      </c>
      <c r="G71" s="5">
        <v>3.970316</v>
      </c>
      <c r="H71" s="6">
        <v>965.76039200000002</v>
      </c>
      <c r="I71" s="6">
        <v>1252.4069059999999</v>
      </c>
      <c r="J71" s="6">
        <v>735.68561899999997</v>
      </c>
      <c r="K71" s="7">
        <f t="shared" si="2"/>
        <v>3.2687697500000001</v>
      </c>
      <c r="L71" s="8">
        <f t="shared" si="3"/>
        <v>984.61763899999994</v>
      </c>
      <c r="M71" s="9">
        <v>8.02594855153189E-11</v>
      </c>
      <c r="N71" s="9">
        <v>2.0611848979170302E-9</v>
      </c>
      <c r="O71" s="2">
        <v>6.3183493344356796</v>
      </c>
      <c r="P71" t="s">
        <v>39</v>
      </c>
      <c r="Q71" s="10">
        <f>IF(N71&lt;='[1]statistical criteria'!$B$2,IF(O71&gt;=LOG('[1]statistical criteria'!$B$3,2),1,IF(O71&lt;=-1*LOG('[1]statistical criteria'!$B$3,2),2,"-")),"-")</f>
        <v>1</v>
      </c>
      <c r="R71" t="s">
        <v>41</v>
      </c>
      <c r="S71" t="s">
        <v>42</v>
      </c>
      <c r="T71" s="9">
        <v>5.9999999999999998E-78</v>
      </c>
      <c r="U71" t="s">
        <v>43</v>
      </c>
    </row>
    <row r="72" spans="1:21" x14ac:dyDescent="0.35">
      <c r="A72" t="s">
        <v>609</v>
      </c>
      <c r="B72" t="s">
        <v>610</v>
      </c>
      <c r="C72">
        <v>1086</v>
      </c>
      <c r="D72" s="5">
        <v>1.9003460000000001</v>
      </c>
      <c r="E72" s="4">
        <v>0</v>
      </c>
      <c r="F72" s="4">
        <v>0</v>
      </c>
      <c r="G72" s="4">
        <v>0</v>
      </c>
      <c r="H72" s="6">
        <v>59.25938</v>
      </c>
      <c r="I72" s="6">
        <v>81.022278</v>
      </c>
      <c r="J72" s="6">
        <v>86.119147999999996</v>
      </c>
      <c r="K72" s="7">
        <f t="shared" si="2"/>
        <v>0.47508650000000002</v>
      </c>
      <c r="L72" s="8">
        <f t="shared" si="3"/>
        <v>75.466935333333325</v>
      </c>
      <c r="M72" s="9">
        <v>4.5955891894462102E-11</v>
      </c>
      <c r="N72" s="9">
        <v>1.2291505590324899E-9</v>
      </c>
      <c r="O72" s="2">
        <v>6.3080787751446303</v>
      </c>
      <c r="P72" t="s">
        <v>609</v>
      </c>
      <c r="Q72" s="10">
        <f>IF(N72&lt;='[1]statistical criteria'!$B$2,IF(O72&gt;=LOG('[1]statistical criteria'!$B$3,2),1,IF(O72&lt;=-1*LOG('[1]statistical criteria'!$B$3,2),2,"-")),"-")</f>
        <v>1</v>
      </c>
      <c r="R72" t="s">
        <v>611</v>
      </c>
      <c r="S72" t="s">
        <v>612</v>
      </c>
      <c r="T72" s="9">
        <v>2.0000000000000001E-115</v>
      </c>
      <c r="U72" t="s">
        <v>613</v>
      </c>
    </row>
    <row r="73" spans="1:21" x14ac:dyDescent="0.35">
      <c r="A73" t="s">
        <v>331</v>
      </c>
      <c r="B73" t="s">
        <v>332</v>
      </c>
      <c r="C73">
        <v>972</v>
      </c>
      <c r="D73" s="4">
        <v>0</v>
      </c>
      <c r="E73" s="4">
        <v>0</v>
      </c>
      <c r="F73" s="4">
        <v>0</v>
      </c>
      <c r="G73" s="4">
        <v>0</v>
      </c>
      <c r="H73" s="6">
        <v>30.066655000000001</v>
      </c>
      <c r="I73" s="6">
        <v>23.042272000000001</v>
      </c>
      <c r="J73" s="6">
        <v>29.554883</v>
      </c>
      <c r="K73" s="7">
        <f t="shared" si="2"/>
        <v>0</v>
      </c>
      <c r="L73" s="8">
        <f t="shared" si="3"/>
        <v>27.554603333333333</v>
      </c>
      <c r="M73" s="9">
        <v>4.9081658151777597E-15</v>
      </c>
      <c r="N73" s="9">
        <v>2.3556720167170902E-13</v>
      </c>
      <c r="O73" s="2">
        <v>6.3023554340993098</v>
      </c>
      <c r="P73" t="s">
        <v>331</v>
      </c>
      <c r="Q73" s="10">
        <f>IF(N73&lt;='[1]statistical criteria'!$B$2,IF(O73&gt;=LOG('[1]statistical criteria'!$B$3,2),1,IF(O73&lt;=-1*LOG('[1]statistical criteria'!$B$3,2),2,"-")),"-")</f>
        <v>1</v>
      </c>
      <c r="R73" t="s">
        <v>314</v>
      </c>
      <c r="S73" t="s">
        <v>333</v>
      </c>
      <c r="T73" s="9">
        <v>2E-91</v>
      </c>
      <c r="U73" t="s">
        <v>316</v>
      </c>
    </row>
    <row r="74" spans="1:21" x14ac:dyDescent="0.35">
      <c r="A74" t="s">
        <v>614</v>
      </c>
      <c r="B74" t="s">
        <v>615</v>
      </c>
      <c r="C74">
        <v>1213</v>
      </c>
      <c r="D74" s="4">
        <v>0</v>
      </c>
      <c r="E74" s="4">
        <v>0</v>
      </c>
      <c r="F74" s="4">
        <v>0</v>
      </c>
      <c r="G74" s="4">
        <v>0</v>
      </c>
      <c r="H74" s="6">
        <v>33.876792999999999</v>
      </c>
      <c r="I74" s="6">
        <v>8.4531740000000006</v>
      </c>
      <c r="J74" s="6">
        <v>21.112500000000001</v>
      </c>
      <c r="K74" s="7">
        <f t="shared" si="2"/>
        <v>0</v>
      </c>
      <c r="L74" s="8">
        <f t="shared" si="3"/>
        <v>21.147488999999997</v>
      </c>
      <c r="M74" s="9">
        <v>2.0368931493339901E-11</v>
      </c>
      <c r="N74" s="9">
        <v>5.73403500470795E-10</v>
      </c>
      <c r="O74" s="2">
        <v>6.2667335651644001</v>
      </c>
      <c r="P74" t="s">
        <v>614</v>
      </c>
      <c r="Q74" s="10">
        <f>IF(N74&lt;='[1]statistical criteria'!$B$2,IF(O74&gt;=LOG('[1]statistical criteria'!$B$3,2),1,IF(O74&lt;=-1*LOG('[1]statistical criteria'!$B$3,2),2,"-")),"-")</f>
        <v>1</v>
      </c>
      <c r="R74" t="s">
        <v>616</v>
      </c>
      <c r="S74" t="s">
        <v>617</v>
      </c>
      <c r="T74">
        <v>0</v>
      </c>
      <c r="U74" t="s">
        <v>618</v>
      </c>
    </row>
    <row r="75" spans="1:21" x14ac:dyDescent="0.35">
      <c r="A75" t="s">
        <v>619</v>
      </c>
      <c r="B75" t="s">
        <v>620</v>
      </c>
      <c r="C75">
        <v>540</v>
      </c>
      <c r="D75" s="4">
        <v>0</v>
      </c>
      <c r="E75" s="4">
        <v>0</v>
      </c>
      <c r="F75" s="4">
        <v>0</v>
      </c>
      <c r="G75" s="4">
        <v>0</v>
      </c>
      <c r="H75" s="6">
        <v>73.924176000000003</v>
      </c>
      <c r="I75" s="6">
        <v>69.939993999999999</v>
      </c>
      <c r="J75" s="6">
        <v>70.543957000000006</v>
      </c>
      <c r="K75" s="7">
        <f t="shared" si="2"/>
        <v>0</v>
      </c>
      <c r="L75" s="8">
        <f t="shared" si="3"/>
        <v>71.469375666666664</v>
      </c>
      <c r="M75" s="9">
        <v>4.1300134844189503E-11</v>
      </c>
      <c r="N75" s="9">
        <v>1.1160079409659799E-9</v>
      </c>
      <c r="O75" s="2">
        <v>6.2587062390970303</v>
      </c>
      <c r="P75" t="s">
        <v>619</v>
      </c>
      <c r="Q75" s="10">
        <f>IF(N75&lt;='[1]statistical criteria'!$B$2,IF(O75&gt;=LOG('[1]statistical criteria'!$B$3,2),1,IF(O75&lt;=-1*LOG('[1]statistical criteria'!$B$3,2),2,"-")),"-")</f>
        <v>1</v>
      </c>
      <c r="R75" t="s">
        <v>310</v>
      </c>
    </row>
    <row r="76" spans="1:21" x14ac:dyDescent="0.35">
      <c r="A76" t="s">
        <v>621</v>
      </c>
      <c r="B76" t="s">
        <v>622</v>
      </c>
      <c r="C76">
        <v>845</v>
      </c>
      <c r="D76" s="4">
        <v>0</v>
      </c>
      <c r="E76" s="4">
        <v>0</v>
      </c>
      <c r="F76" s="4">
        <v>0</v>
      </c>
      <c r="G76" s="4">
        <v>0</v>
      </c>
      <c r="H76" s="6">
        <v>27.866838999999999</v>
      </c>
      <c r="I76" s="6">
        <v>50.106589</v>
      </c>
      <c r="J76" s="6">
        <v>19.065722999999998</v>
      </c>
      <c r="K76" s="7">
        <f t="shared" si="2"/>
        <v>0</v>
      </c>
      <c r="L76" s="8">
        <f t="shared" si="3"/>
        <v>32.346383666666668</v>
      </c>
      <c r="M76" s="9">
        <v>3.6147467511584401E-11</v>
      </c>
      <c r="N76" s="9">
        <v>9.8692439992173806E-10</v>
      </c>
      <c r="O76" s="2">
        <v>6.2528153126350299</v>
      </c>
      <c r="P76" t="s">
        <v>621</v>
      </c>
      <c r="Q76" s="10">
        <f>IF(N76&lt;='[1]statistical criteria'!$B$2,IF(O76&gt;=LOG('[1]statistical criteria'!$B$3,2),1,IF(O76&lt;=-1*LOG('[1]statistical criteria'!$B$3,2),2,"-")),"-")</f>
        <v>1</v>
      </c>
      <c r="R76" t="s">
        <v>623</v>
      </c>
      <c r="S76" t="s">
        <v>624</v>
      </c>
      <c r="T76" s="9">
        <v>4.0000000000000001E-53</v>
      </c>
      <c r="U76" t="s">
        <v>625</v>
      </c>
    </row>
    <row r="77" spans="1:21" x14ac:dyDescent="0.35">
      <c r="A77" t="s">
        <v>225</v>
      </c>
      <c r="B77" t="s">
        <v>226</v>
      </c>
      <c r="C77">
        <v>627</v>
      </c>
      <c r="D77" s="5">
        <v>1.438836</v>
      </c>
      <c r="E77" s="4">
        <v>0</v>
      </c>
      <c r="F77" s="4">
        <v>0</v>
      </c>
      <c r="G77" s="4">
        <v>0</v>
      </c>
      <c r="H77" s="6">
        <v>150.96277000000001</v>
      </c>
      <c r="I77" s="6">
        <v>170.110232</v>
      </c>
      <c r="J77" s="6">
        <v>83.470197999999996</v>
      </c>
      <c r="K77" s="7">
        <f t="shared" si="2"/>
        <v>0.359709</v>
      </c>
      <c r="L77" s="8">
        <f t="shared" si="3"/>
        <v>134.84773333333331</v>
      </c>
      <c r="M77" s="9">
        <v>1.1419697453802501E-12</v>
      </c>
      <c r="N77" s="9">
        <v>3.8876000455431399E-11</v>
      </c>
      <c r="O77" s="2">
        <v>6.2496637228607499</v>
      </c>
      <c r="P77" t="s">
        <v>225</v>
      </c>
      <c r="Q77" s="10">
        <f>IF(N77&lt;='[1]statistical criteria'!$B$2,IF(O77&gt;=LOG('[1]statistical criteria'!$B$3,2),1,IF(O77&lt;=-1*LOG('[1]statistical criteria'!$B$3,2),2,"-")),"-")</f>
        <v>1</v>
      </c>
      <c r="R77" t="s">
        <v>227</v>
      </c>
      <c r="S77" t="s">
        <v>228</v>
      </c>
      <c r="T77" s="9">
        <v>5.9999999999999997E-13</v>
      </c>
      <c r="U77" t="s">
        <v>229</v>
      </c>
    </row>
    <row r="78" spans="1:21" x14ac:dyDescent="0.35">
      <c r="A78" t="s">
        <v>626</v>
      </c>
      <c r="B78" t="s">
        <v>627</v>
      </c>
      <c r="C78">
        <v>2050</v>
      </c>
      <c r="D78" s="4">
        <v>0</v>
      </c>
      <c r="E78" s="4">
        <v>0</v>
      </c>
      <c r="F78" s="4">
        <v>0</v>
      </c>
      <c r="G78" s="4">
        <v>0</v>
      </c>
      <c r="H78" s="6">
        <v>15.785318</v>
      </c>
      <c r="I78" s="6">
        <v>21.834040000000002</v>
      </c>
      <c r="J78" s="6">
        <v>11.206524999999999</v>
      </c>
      <c r="K78" s="7">
        <f t="shared" si="2"/>
        <v>0</v>
      </c>
      <c r="L78" s="8">
        <f t="shared" si="3"/>
        <v>16.275294333333335</v>
      </c>
      <c r="M78" s="9">
        <v>7.1277584457201801E-11</v>
      </c>
      <c r="N78" s="9">
        <v>1.8379572252311001E-9</v>
      </c>
      <c r="O78" s="2">
        <v>6.2219652599822801</v>
      </c>
      <c r="P78" t="s">
        <v>626</v>
      </c>
      <c r="Q78" s="10">
        <f>IF(N78&lt;='[1]statistical criteria'!$B$2,IF(O78&gt;=LOG('[1]statistical criteria'!$B$3,2),1,IF(O78&lt;=-1*LOG('[1]statistical criteria'!$B$3,2),2,"-")),"-")</f>
        <v>1</v>
      </c>
      <c r="R78" t="s">
        <v>628</v>
      </c>
      <c r="S78" t="s">
        <v>629</v>
      </c>
      <c r="T78">
        <v>0</v>
      </c>
      <c r="U78" t="s">
        <v>630</v>
      </c>
    </row>
    <row r="79" spans="1:21" x14ac:dyDescent="0.35">
      <c r="A79" t="s">
        <v>234</v>
      </c>
      <c r="B79" t="s">
        <v>235</v>
      </c>
      <c r="C79">
        <v>933</v>
      </c>
      <c r="D79" s="5">
        <v>0.366313</v>
      </c>
      <c r="E79" s="4">
        <v>0</v>
      </c>
      <c r="F79" s="4">
        <v>0</v>
      </c>
      <c r="G79" s="4">
        <v>0</v>
      </c>
      <c r="H79" s="6">
        <v>43.248376999999998</v>
      </c>
      <c r="I79" s="6">
        <v>47.892527000000001</v>
      </c>
      <c r="J79" s="6">
        <v>39.029043999999999</v>
      </c>
      <c r="K79" s="7">
        <f t="shared" si="2"/>
        <v>9.157825E-2</v>
      </c>
      <c r="L79" s="8">
        <f t="shared" si="3"/>
        <v>43.389982666666668</v>
      </c>
      <c r="M79" s="9">
        <v>1.0305618745872001E-11</v>
      </c>
      <c r="N79" s="9">
        <v>3.0358502280796202E-10</v>
      </c>
      <c r="O79" s="2">
        <v>6.2198611476518604</v>
      </c>
      <c r="P79" t="s">
        <v>234</v>
      </c>
      <c r="Q79" s="10">
        <f>IF(N79&lt;='[1]statistical criteria'!$B$2,IF(O79&gt;=LOG('[1]statistical criteria'!$B$3,2),1,IF(O79&lt;=-1*LOG('[1]statistical criteria'!$B$3,2),2,"-")),"-")</f>
        <v>1</v>
      </c>
      <c r="R79" t="s">
        <v>236</v>
      </c>
      <c r="S79" t="s">
        <v>237</v>
      </c>
      <c r="T79">
        <v>2.3E-2</v>
      </c>
      <c r="U79" t="s">
        <v>238</v>
      </c>
    </row>
    <row r="80" spans="1:21" x14ac:dyDescent="0.35">
      <c r="A80" t="s">
        <v>631</v>
      </c>
      <c r="B80" t="s">
        <v>632</v>
      </c>
      <c r="C80">
        <v>766</v>
      </c>
      <c r="D80" s="5">
        <v>2.765673</v>
      </c>
      <c r="E80" s="4">
        <v>0</v>
      </c>
      <c r="F80" s="5">
        <v>1.114455</v>
      </c>
      <c r="G80" s="5">
        <v>0.38445200000000002</v>
      </c>
      <c r="H80" s="6">
        <v>328.14199100000002</v>
      </c>
      <c r="I80" s="6">
        <v>470.78038800000002</v>
      </c>
      <c r="J80" s="6">
        <v>291.48078199999998</v>
      </c>
      <c r="K80" s="7">
        <f t="shared" si="2"/>
        <v>1.0661450000000001</v>
      </c>
      <c r="L80" s="8">
        <f t="shared" si="3"/>
        <v>363.46772033333338</v>
      </c>
      <c r="M80" s="9">
        <v>3.3060144717427201E-16</v>
      </c>
      <c r="N80" s="9">
        <v>1.9035841269973999E-14</v>
      </c>
      <c r="O80" s="2">
        <v>6.1878000313946897</v>
      </c>
      <c r="P80" t="s">
        <v>631</v>
      </c>
      <c r="Q80" s="10">
        <f>IF(N80&lt;='[1]statistical criteria'!$B$2,IF(O80&gt;=LOG('[1]statistical criteria'!$B$3,2),1,IF(O80&lt;=-1*LOG('[1]statistical criteria'!$B$3,2),2,"-")),"-")</f>
        <v>1</v>
      </c>
      <c r="S80" t="s">
        <v>133</v>
      </c>
      <c r="T80" t="s">
        <v>133</v>
      </c>
      <c r="U80" t="s">
        <v>134</v>
      </c>
    </row>
    <row r="81" spans="1:21" x14ac:dyDescent="0.35">
      <c r="A81" t="s">
        <v>113</v>
      </c>
      <c r="B81" t="s">
        <v>114</v>
      </c>
      <c r="C81">
        <v>933</v>
      </c>
      <c r="D81" s="5">
        <v>0.68664499999999995</v>
      </c>
      <c r="E81" s="4">
        <v>0</v>
      </c>
      <c r="F81" s="4">
        <v>0</v>
      </c>
      <c r="G81" s="4">
        <v>0</v>
      </c>
      <c r="H81" s="6">
        <v>45.587783000000002</v>
      </c>
      <c r="I81" s="6">
        <v>55.379401999999999</v>
      </c>
      <c r="J81" s="6">
        <v>35.039634999999997</v>
      </c>
      <c r="K81" s="7">
        <f t="shared" si="2"/>
        <v>0.17166124999999999</v>
      </c>
      <c r="L81" s="8">
        <f t="shared" si="3"/>
        <v>45.335606666666671</v>
      </c>
      <c r="M81" s="9">
        <v>4.09618929320315E-11</v>
      </c>
      <c r="N81" s="9">
        <v>1.1088262055427601E-9</v>
      </c>
      <c r="O81" s="2">
        <v>6.1572319922275502</v>
      </c>
      <c r="P81" t="s">
        <v>113</v>
      </c>
      <c r="Q81" s="10">
        <f>IF(N81&lt;='[1]statistical criteria'!$B$2,IF(O81&gt;=LOG('[1]statistical criteria'!$B$3,2),1,IF(O81&lt;=-1*LOG('[1]statistical criteria'!$B$3,2),2,"-")),"-")</f>
        <v>1</v>
      </c>
      <c r="R81" t="s">
        <v>64</v>
      </c>
      <c r="S81" t="s">
        <v>65</v>
      </c>
      <c r="T81" s="9">
        <v>6.0000000000000002E-83</v>
      </c>
      <c r="U81" t="s">
        <v>66</v>
      </c>
    </row>
    <row r="82" spans="1:21" x14ac:dyDescent="0.35">
      <c r="A82" t="s">
        <v>633</v>
      </c>
      <c r="B82" t="s">
        <v>634</v>
      </c>
      <c r="C82">
        <v>2562</v>
      </c>
      <c r="D82" s="5">
        <v>0.67954499999999995</v>
      </c>
      <c r="E82" s="4">
        <v>0</v>
      </c>
      <c r="F82" s="4">
        <v>0</v>
      </c>
      <c r="G82" s="4">
        <v>0</v>
      </c>
      <c r="H82" s="6">
        <v>16.015667000000001</v>
      </c>
      <c r="I82" s="6">
        <v>31.346775999999998</v>
      </c>
      <c r="J82" s="6">
        <v>28.155667000000001</v>
      </c>
      <c r="K82" s="7">
        <f t="shared" si="2"/>
        <v>0.16988624999999999</v>
      </c>
      <c r="L82" s="8">
        <f t="shared" si="3"/>
        <v>25.172703333333335</v>
      </c>
      <c r="M82" s="9">
        <v>1.4158745604057101E-12</v>
      </c>
      <c r="N82" s="9">
        <v>4.7646494932839401E-11</v>
      </c>
      <c r="O82" s="2">
        <v>6.15468325853303</v>
      </c>
      <c r="P82" t="s">
        <v>633</v>
      </c>
      <c r="Q82" s="10">
        <f>IF(N82&lt;='[1]statistical criteria'!$B$2,IF(O82&gt;=LOG('[1]statistical criteria'!$B$3,2),1,IF(O82&lt;=-1*LOG('[1]statistical criteria'!$B$3,2),2,"-")),"-")</f>
        <v>1</v>
      </c>
      <c r="R82" t="s">
        <v>453</v>
      </c>
      <c r="S82" t="s">
        <v>454</v>
      </c>
      <c r="T82">
        <v>0</v>
      </c>
      <c r="U82" t="s">
        <v>455</v>
      </c>
    </row>
    <row r="83" spans="1:21" x14ac:dyDescent="0.35">
      <c r="A83" t="s">
        <v>635</v>
      </c>
      <c r="B83" t="s">
        <v>636</v>
      </c>
      <c r="C83">
        <v>1284</v>
      </c>
      <c r="D83" s="4">
        <v>0</v>
      </c>
      <c r="E83" s="4">
        <v>0</v>
      </c>
      <c r="F83" s="4">
        <v>0</v>
      </c>
      <c r="G83" s="4">
        <v>0</v>
      </c>
      <c r="H83" s="6">
        <v>10.495858999999999</v>
      </c>
      <c r="I83" s="6">
        <v>66.479989000000003</v>
      </c>
      <c r="J83" s="6">
        <v>8.3323169999999998</v>
      </c>
      <c r="K83" s="7">
        <f t="shared" si="2"/>
        <v>0</v>
      </c>
      <c r="L83" s="8">
        <f t="shared" si="3"/>
        <v>28.436055</v>
      </c>
      <c r="M83" s="9">
        <v>4.7747979561654899E-11</v>
      </c>
      <c r="N83" s="9">
        <v>1.2735025242582901E-9</v>
      </c>
      <c r="O83" s="2">
        <v>6.1361534505873001</v>
      </c>
      <c r="P83" t="s">
        <v>635</v>
      </c>
      <c r="Q83" s="10">
        <f>IF(N83&lt;='[1]statistical criteria'!$B$2,IF(O83&gt;=LOG('[1]statistical criteria'!$B$3,2),1,IF(O83&lt;=-1*LOG('[1]statistical criteria'!$B$3,2),2,"-")),"-")</f>
        <v>1</v>
      </c>
      <c r="R83" t="s">
        <v>637</v>
      </c>
      <c r="S83" t="s">
        <v>638</v>
      </c>
      <c r="T83" s="9">
        <v>7.0000000000000001E-147</v>
      </c>
      <c r="U83" t="s">
        <v>639</v>
      </c>
    </row>
    <row r="84" spans="1:21" x14ac:dyDescent="0.35">
      <c r="A84" t="s">
        <v>640</v>
      </c>
      <c r="B84" t="s">
        <v>641</v>
      </c>
      <c r="C84">
        <v>869</v>
      </c>
      <c r="D84" s="4">
        <v>0</v>
      </c>
      <c r="E84" s="4">
        <v>0</v>
      </c>
      <c r="F84" s="5">
        <v>2.9569350000000001</v>
      </c>
      <c r="G84" s="4">
        <v>0</v>
      </c>
      <c r="H84" s="6">
        <v>120.502683</v>
      </c>
      <c r="I84" s="6">
        <v>115.03588000000001</v>
      </c>
      <c r="J84" s="6">
        <v>79.137884999999997</v>
      </c>
      <c r="K84" s="7">
        <f t="shared" si="2"/>
        <v>0.73923375000000002</v>
      </c>
      <c r="L84" s="8">
        <f t="shared" si="3"/>
        <v>104.89214933333334</v>
      </c>
      <c r="M84" s="9">
        <v>4.35278821159095E-15</v>
      </c>
      <c r="N84" s="9">
        <v>2.1157997360555701E-13</v>
      </c>
      <c r="O84" s="2">
        <v>6.1322877337120598</v>
      </c>
      <c r="P84" t="s">
        <v>640</v>
      </c>
      <c r="Q84" s="10">
        <f>IF(N84&lt;='[1]statistical criteria'!$B$2,IF(O84&gt;=LOG('[1]statistical criteria'!$B$3,2),1,IF(O84&lt;=-1*LOG('[1]statistical criteria'!$B$3,2),2,"-")),"-")</f>
        <v>1</v>
      </c>
      <c r="R84" t="s">
        <v>642</v>
      </c>
      <c r="S84" t="s">
        <v>643</v>
      </c>
      <c r="T84" s="9">
        <v>8.9999999999999995E-51</v>
      </c>
      <c r="U84" t="s">
        <v>644</v>
      </c>
    </row>
    <row r="85" spans="1:21" x14ac:dyDescent="0.35">
      <c r="A85" t="s">
        <v>645</v>
      </c>
      <c r="B85" t="s">
        <v>646</v>
      </c>
      <c r="C85">
        <v>591</v>
      </c>
      <c r="D85" s="4">
        <v>0</v>
      </c>
      <c r="E85" s="4">
        <v>0</v>
      </c>
      <c r="F85" s="4">
        <v>0</v>
      </c>
      <c r="G85" s="5">
        <v>1.0740909999999999</v>
      </c>
      <c r="H85" s="6">
        <v>121.66951899999999</v>
      </c>
      <c r="I85" s="6">
        <v>40.278616999999997</v>
      </c>
      <c r="J85" s="6">
        <v>126.37669200000001</v>
      </c>
      <c r="K85" s="7">
        <f t="shared" si="2"/>
        <v>0.26852274999999998</v>
      </c>
      <c r="L85" s="8">
        <f t="shared" si="3"/>
        <v>96.108275999999989</v>
      </c>
      <c r="M85" s="9">
        <v>1.20154941456836E-10</v>
      </c>
      <c r="N85" s="9">
        <v>3.0185459220113502E-9</v>
      </c>
      <c r="O85" s="2">
        <v>6.1280790339339504</v>
      </c>
      <c r="P85" t="s">
        <v>645</v>
      </c>
      <c r="Q85" s="10">
        <f>IF(N85&lt;='[1]statistical criteria'!$B$2,IF(O85&gt;=LOG('[1]statistical criteria'!$B$3,2),1,IF(O85&lt;=-1*LOG('[1]statistical criteria'!$B$3,2),2,"-")),"-")</f>
        <v>1</v>
      </c>
      <c r="R85" t="s">
        <v>504</v>
      </c>
      <c r="S85" t="s">
        <v>505</v>
      </c>
      <c r="T85" s="9">
        <v>4E-50</v>
      </c>
      <c r="U85" t="s">
        <v>443</v>
      </c>
    </row>
    <row r="86" spans="1:21" x14ac:dyDescent="0.35">
      <c r="A86" t="s">
        <v>647</v>
      </c>
      <c r="B86" t="s">
        <v>648</v>
      </c>
      <c r="C86">
        <v>1284</v>
      </c>
      <c r="D86" s="4">
        <v>0</v>
      </c>
      <c r="E86" s="4">
        <v>0</v>
      </c>
      <c r="F86" s="4">
        <v>0</v>
      </c>
      <c r="G86" s="5">
        <v>0.105702</v>
      </c>
      <c r="H86" s="6">
        <v>17.824418000000001</v>
      </c>
      <c r="I86" s="6">
        <v>26.084368000000001</v>
      </c>
      <c r="J86" s="6">
        <v>21.890253999999999</v>
      </c>
      <c r="K86" s="7">
        <f t="shared" si="2"/>
        <v>2.6425500000000001E-2</v>
      </c>
      <c r="L86" s="8">
        <f t="shared" si="3"/>
        <v>21.933013333333335</v>
      </c>
      <c r="M86" s="9">
        <v>6.3351803869931898E-13</v>
      </c>
      <c r="N86" s="9">
        <v>2.2513255418203599E-11</v>
      </c>
      <c r="O86" s="2">
        <v>6.1125534131836101</v>
      </c>
      <c r="P86" t="s">
        <v>647</v>
      </c>
      <c r="Q86" s="10">
        <f>IF(N86&lt;='[1]statistical criteria'!$B$2,IF(O86&gt;=LOG('[1]statistical criteria'!$B$3,2),1,IF(O86&lt;=-1*LOG('[1]statistical criteria'!$B$3,2),2,"-")),"-")</f>
        <v>1</v>
      </c>
      <c r="S86" t="s">
        <v>649</v>
      </c>
      <c r="T86" s="9">
        <v>3E-9</v>
      </c>
      <c r="U86" t="s">
        <v>650</v>
      </c>
    </row>
    <row r="87" spans="1:21" x14ac:dyDescent="0.35">
      <c r="A87" t="s">
        <v>651</v>
      </c>
      <c r="B87" t="s">
        <v>652</v>
      </c>
      <c r="C87">
        <v>1464</v>
      </c>
      <c r="D87" s="5">
        <v>0.33705400000000002</v>
      </c>
      <c r="E87" s="4">
        <v>0</v>
      </c>
      <c r="F87" s="4">
        <v>0</v>
      </c>
      <c r="G87" s="4">
        <v>0</v>
      </c>
      <c r="H87" s="6">
        <v>24.590035</v>
      </c>
      <c r="I87" s="6">
        <v>24.959541000000002</v>
      </c>
      <c r="J87" s="6">
        <v>26.359453999999999</v>
      </c>
      <c r="K87" s="7">
        <f t="shared" si="2"/>
        <v>8.4263500000000005E-2</v>
      </c>
      <c r="L87" s="8">
        <f t="shared" si="3"/>
        <v>25.30301</v>
      </c>
      <c r="M87" s="9">
        <v>1.4080298089015499E-10</v>
      </c>
      <c r="N87" s="9">
        <v>3.48210620706906E-9</v>
      </c>
      <c r="O87" s="2">
        <v>6.09539084576598</v>
      </c>
      <c r="P87" t="s">
        <v>651</v>
      </c>
      <c r="Q87" s="10">
        <f>IF(N87&lt;='[1]statistical criteria'!$B$2,IF(O87&gt;=LOG('[1]statistical criteria'!$B$3,2),1,IF(O87&lt;=-1*LOG('[1]statistical criteria'!$B$3,2),2,"-")),"-")</f>
        <v>1</v>
      </c>
      <c r="R87" t="s">
        <v>653</v>
      </c>
    </row>
    <row r="88" spans="1:21" x14ac:dyDescent="0.35">
      <c r="A88" t="s">
        <v>654</v>
      </c>
      <c r="B88" t="s">
        <v>655</v>
      </c>
      <c r="C88">
        <v>1638</v>
      </c>
      <c r="D88" s="4">
        <v>0</v>
      </c>
      <c r="E88" s="4">
        <v>0</v>
      </c>
      <c r="F88" s="4">
        <v>0</v>
      </c>
      <c r="G88" s="4">
        <v>0</v>
      </c>
      <c r="H88" s="6">
        <v>16.460144</v>
      </c>
      <c r="I88" s="6">
        <v>18.147548</v>
      </c>
      <c r="J88" s="6">
        <v>12.100301</v>
      </c>
      <c r="K88" s="7">
        <f t="shared" si="2"/>
        <v>0</v>
      </c>
      <c r="L88" s="8">
        <f t="shared" si="3"/>
        <v>15.569331</v>
      </c>
      <c r="M88" s="9">
        <v>1.39446462925847E-11</v>
      </c>
      <c r="N88" s="9">
        <v>4.0390657374107598E-10</v>
      </c>
      <c r="O88" s="2">
        <v>6.0943953195941196</v>
      </c>
      <c r="P88" t="s">
        <v>654</v>
      </c>
      <c r="Q88" s="10">
        <f>IF(N88&lt;='[1]statistical criteria'!$B$2,IF(O88&gt;=LOG('[1]statistical criteria'!$B$3,2),1,IF(O88&lt;=-1*LOG('[1]statistical criteria'!$B$3,2),2,"-")),"-")</f>
        <v>1</v>
      </c>
      <c r="R88" t="s">
        <v>656</v>
      </c>
    </row>
    <row r="89" spans="1:21" x14ac:dyDescent="0.35">
      <c r="A89" t="s">
        <v>657</v>
      </c>
      <c r="B89" t="s">
        <v>658</v>
      </c>
      <c r="C89">
        <v>2127</v>
      </c>
      <c r="D89" s="5">
        <v>0.18193799999999999</v>
      </c>
      <c r="E89" s="4">
        <v>0</v>
      </c>
      <c r="F89" s="5">
        <v>0.77032100000000003</v>
      </c>
      <c r="G89" s="4">
        <v>0</v>
      </c>
      <c r="H89" s="6">
        <v>47.525756999999999</v>
      </c>
      <c r="I89" s="6">
        <v>70.789866000000004</v>
      </c>
      <c r="J89" s="6">
        <v>36.044004999999999</v>
      </c>
      <c r="K89" s="7">
        <f t="shared" si="2"/>
        <v>0.23806474999999999</v>
      </c>
      <c r="L89" s="8">
        <f t="shared" si="3"/>
        <v>51.453209333333326</v>
      </c>
      <c r="M89" s="9">
        <v>4.2019368109824899E-12</v>
      </c>
      <c r="N89" s="9">
        <v>1.30551604102852E-10</v>
      </c>
      <c r="O89" s="2">
        <v>6.0891776593982501</v>
      </c>
      <c r="P89" t="s">
        <v>657</v>
      </c>
      <c r="Q89" s="10">
        <f>IF(N89&lt;='[1]statistical criteria'!$B$2,IF(O89&gt;=LOG('[1]statistical criteria'!$B$3,2),1,IF(O89&lt;=-1*LOG('[1]statistical criteria'!$B$3,2),2,"-")),"-")</f>
        <v>1</v>
      </c>
      <c r="R89" t="s">
        <v>659</v>
      </c>
      <c r="S89" t="s">
        <v>660</v>
      </c>
      <c r="T89">
        <v>0</v>
      </c>
      <c r="U89" t="s">
        <v>661</v>
      </c>
    </row>
    <row r="90" spans="1:21" x14ac:dyDescent="0.35">
      <c r="A90" t="s">
        <v>187</v>
      </c>
      <c r="B90" t="s">
        <v>188</v>
      </c>
      <c r="C90">
        <v>1044</v>
      </c>
      <c r="D90" s="4">
        <v>0</v>
      </c>
      <c r="E90" s="4">
        <v>0</v>
      </c>
      <c r="F90" s="5">
        <v>0.60717100000000002</v>
      </c>
      <c r="G90" s="4">
        <v>0</v>
      </c>
      <c r="H90" s="6">
        <v>33.719748000000003</v>
      </c>
      <c r="I90" s="6">
        <v>59.701571000000001</v>
      </c>
      <c r="J90" s="6">
        <v>53.116442999999997</v>
      </c>
      <c r="K90" s="7">
        <f t="shared" si="2"/>
        <v>0.15179275</v>
      </c>
      <c r="L90" s="8">
        <f t="shared" si="3"/>
        <v>48.845920666666672</v>
      </c>
      <c r="M90" s="9">
        <v>2.2860973846992602E-18</v>
      </c>
      <c r="N90" s="9">
        <v>1.8164690284270099E-16</v>
      </c>
      <c r="O90" s="2">
        <v>6.0768100513400798</v>
      </c>
      <c r="P90" t="s">
        <v>187</v>
      </c>
      <c r="Q90" s="10">
        <f>IF(N90&lt;='[1]statistical criteria'!$B$2,IF(O90&gt;=LOG('[1]statistical criteria'!$B$3,2),1,IF(O90&lt;=-1*LOG('[1]statistical criteria'!$B$3,2),2,"-")),"-")</f>
        <v>1</v>
      </c>
      <c r="R90" t="s">
        <v>189</v>
      </c>
      <c r="S90" t="s">
        <v>190</v>
      </c>
      <c r="T90" s="9">
        <v>7.9999999999999997E-64</v>
      </c>
      <c r="U90" t="s">
        <v>191</v>
      </c>
    </row>
    <row r="91" spans="1:21" x14ac:dyDescent="0.35">
      <c r="A91" t="s">
        <v>662</v>
      </c>
      <c r="B91" t="s">
        <v>663</v>
      </c>
      <c r="C91">
        <v>573</v>
      </c>
      <c r="D91" s="4">
        <v>0</v>
      </c>
      <c r="E91" s="4">
        <v>0</v>
      </c>
      <c r="F91" s="4">
        <v>0</v>
      </c>
      <c r="G91" s="4">
        <v>0</v>
      </c>
      <c r="H91" s="6">
        <v>64.603138999999999</v>
      </c>
      <c r="I91" s="6">
        <v>31.755210999999999</v>
      </c>
      <c r="J91" s="6">
        <v>40.037517000000001</v>
      </c>
      <c r="K91" s="7">
        <f t="shared" si="2"/>
        <v>0</v>
      </c>
      <c r="L91" s="8">
        <f t="shared" si="3"/>
        <v>45.465289000000006</v>
      </c>
      <c r="M91" s="9">
        <v>9.8928047041661396E-11</v>
      </c>
      <c r="N91" s="9">
        <v>2.5101343136037499E-9</v>
      </c>
      <c r="O91" s="2">
        <v>6.0673444961290803</v>
      </c>
      <c r="P91" t="s">
        <v>662</v>
      </c>
      <c r="Q91" s="10">
        <f>IF(N91&lt;='[1]statistical criteria'!$B$2,IF(O91&gt;=LOG('[1]statistical criteria'!$B$3,2),1,IF(O91&lt;=-1*LOG('[1]statistical criteria'!$B$3,2),2,"-")),"-")</f>
        <v>1</v>
      </c>
      <c r="R91" t="s">
        <v>664</v>
      </c>
      <c r="S91" t="s">
        <v>665</v>
      </c>
      <c r="T91" s="9">
        <v>9.9999999999999998E-46</v>
      </c>
      <c r="U91" t="s">
        <v>666</v>
      </c>
    </row>
    <row r="92" spans="1:21" x14ac:dyDescent="0.35">
      <c r="A92" t="s">
        <v>667</v>
      </c>
      <c r="B92" t="s">
        <v>668</v>
      </c>
      <c r="C92">
        <v>594</v>
      </c>
      <c r="D92" s="4">
        <v>0</v>
      </c>
      <c r="E92" s="4">
        <v>0</v>
      </c>
      <c r="F92" s="4">
        <v>0</v>
      </c>
      <c r="G92" s="4">
        <v>0</v>
      </c>
      <c r="H92" s="6">
        <v>23.368179000000001</v>
      </c>
      <c r="I92" s="6">
        <v>106.71400300000001</v>
      </c>
      <c r="J92" s="6">
        <v>54.787565999999998</v>
      </c>
      <c r="K92" s="7">
        <f t="shared" si="2"/>
        <v>0</v>
      </c>
      <c r="L92" s="8">
        <f t="shared" si="3"/>
        <v>61.623249333333341</v>
      </c>
      <c r="M92" s="9">
        <v>1.90282687390531E-14</v>
      </c>
      <c r="N92" s="9">
        <v>8.3821285672264098E-13</v>
      </c>
      <c r="O92" s="2">
        <v>6.0451443195757602</v>
      </c>
      <c r="P92" t="s">
        <v>667</v>
      </c>
      <c r="Q92" s="10">
        <f>IF(N92&lt;='[1]statistical criteria'!$B$2,IF(O92&gt;=LOG('[1]statistical criteria'!$B$3,2),1,IF(O92&lt;=-1*LOG('[1]statistical criteria'!$B$3,2),2,"-")),"-")</f>
        <v>1</v>
      </c>
      <c r="R92" t="s">
        <v>550</v>
      </c>
      <c r="S92" t="s">
        <v>551</v>
      </c>
      <c r="T92" s="9">
        <v>7.0000000000000004E-46</v>
      </c>
      <c r="U92" t="s">
        <v>61</v>
      </c>
    </row>
    <row r="93" spans="1:21" x14ac:dyDescent="0.35">
      <c r="A93" t="s">
        <v>44</v>
      </c>
      <c r="B93" t="s">
        <v>45</v>
      </c>
      <c r="C93">
        <v>534</v>
      </c>
      <c r="D93" s="4">
        <v>0</v>
      </c>
      <c r="E93" s="4">
        <v>0</v>
      </c>
      <c r="F93" s="4">
        <v>0</v>
      </c>
      <c r="G93" s="4">
        <v>0</v>
      </c>
      <c r="H93" s="6">
        <v>59.418982999999997</v>
      </c>
      <c r="I93" s="6">
        <v>107.628321</v>
      </c>
      <c r="J93" s="6">
        <v>44.410223999999999</v>
      </c>
      <c r="K93" s="7">
        <f t="shared" si="2"/>
        <v>0</v>
      </c>
      <c r="L93" s="8">
        <f t="shared" si="3"/>
        <v>70.48584266666667</v>
      </c>
      <c r="M93" s="9">
        <v>1.16193505194303E-10</v>
      </c>
      <c r="N93" s="9">
        <v>2.9267536781569699E-9</v>
      </c>
      <c r="O93" s="2">
        <v>6.0386756401116299</v>
      </c>
      <c r="P93" t="s">
        <v>44</v>
      </c>
      <c r="Q93" s="10">
        <f>IF(N93&lt;='[1]statistical criteria'!$B$2,IF(O93&gt;=LOG('[1]statistical criteria'!$B$3,2),1,IF(O93&lt;=-1*LOG('[1]statistical criteria'!$B$3,2),2,"-")),"-")</f>
        <v>1</v>
      </c>
      <c r="R93" t="s">
        <v>46</v>
      </c>
    </row>
    <row r="94" spans="1:21" x14ac:dyDescent="0.35">
      <c r="A94" t="s">
        <v>669</v>
      </c>
      <c r="B94" t="s">
        <v>670</v>
      </c>
      <c r="C94">
        <v>498</v>
      </c>
      <c r="D94" s="4">
        <v>0</v>
      </c>
      <c r="E94" s="4">
        <v>0</v>
      </c>
      <c r="F94" s="4">
        <v>0</v>
      </c>
      <c r="G94" s="4">
        <v>0</v>
      </c>
      <c r="H94" s="6">
        <v>44.107039</v>
      </c>
      <c r="I94" s="6">
        <v>109.12728300000001</v>
      </c>
      <c r="J94" s="6">
        <v>53.497903999999998</v>
      </c>
      <c r="K94" s="7">
        <f t="shared" si="2"/>
        <v>0</v>
      </c>
      <c r="L94" s="8">
        <f t="shared" si="3"/>
        <v>68.910742000000013</v>
      </c>
      <c r="M94" s="9">
        <v>3.5879321913426301E-11</v>
      </c>
      <c r="N94" s="9">
        <v>9.8030652693826701E-10</v>
      </c>
      <c r="O94" s="2">
        <v>6.0279112772684202</v>
      </c>
      <c r="P94" t="s">
        <v>669</v>
      </c>
      <c r="Q94" s="10">
        <f>IF(N94&lt;='[1]statistical criteria'!$B$2,IF(O94&gt;=LOG('[1]statistical criteria'!$B$3,2),1,IF(O94&lt;=-1*LOG('[1]statistical criteria'!$B$3,2),2,"-")),"-")</f>
        <v>1</v>
      </c>
      <c r="R94" t="s">
        <v>671</v>
      </c>
    </row>
    <row r="95" spans="1:21" x14ac:dyDescent="0.35">
      <c r="A95" t="s">
        <v>672</v>
      </c>
      <c r="B95" t="s">
        <v>673</v>
      </c>
      <c r="C95">
        <v>1005</v>
      </c>
      <c r="D95" s="4">
        <v>0</v>
      </c>
      <c r="E95" s="4">
        <v>0</v>
      </c>
      <c r="F95" s="5">
        <v>2.0483210000000001</v>
      </c>
      <c r="G95" s="5">
        <v>0.68379999999999996</v>
      </c>
      <c r="H95" s="6">
        <v>90.658370000000005</v>
      </c>
      <c r="I95" s="6">
        <v>139.57210599999999</v>
      </c>
      <c r="J95" s="6">
        <v>85.427413000000001</v>
      </c>
      <c r="K95" s="7">
        <f t="shared" si="2"/>
        <v>0.68303025000000006</v>
      </c>
      <c r="L95" s="8">
        <f t="shared" si="3"/>
        <v>105.21929633333333</v>
      </c>
      <c r="M95" s="9">
        <v>6.1041863432357095E-11</v>
      </c>
      <c r="N95" s="9">
        <v>1.5956410180188899E-9</v>
      </c>
      <c r="O95" s="2">
        <v>6.0169234949398396</v>
      </c>
      <c r="P95" t="s">
        <v>672</v>
      </c>
      <c r="Q95" s="10">
        <f>IF(N95&lt;='[1]statistical criteria'!$B$2,IF(O95&gt;=LOG('[1]statistical criteria'!$B$3,2),1,IF(O95&lt;=-1*LOG('[1]statistical criteria'!$B$3,2),2,"-")),"-")</f>
        <v>1</v>
      </c>
      <c r="R95" t="s">
        <v>674</v>
      </c>
      <c r="S95" t="s">
        <v>675</v>
      </c>
      <c r="T95" s="9">
        <v>1E-155</v>
      </c>
      <c r="U95" t="s">
        <v>676</v>
      </c>
    </row>
    <row r="96" spans="1:21" x14ac:dyDescent="0.35">
      <c r="A96" t="s">
        <v>677</v>
      </c>
      <c r="B96" t="s">
        <v>678</v>
      </c>
      <c r="C96">
        <v>1251</v>
      </c>
      <c r="D96" s="5">
        <v>1.0462130000000001</v>
      </c>
      <c r="E96" s="5">
        <v>2.3052079999999999</v>
      </c>
      <c r="F96" s="4">
        <v>0</v>
      </c>
      <c r="G96" s="4">
        <v>0</v>
      </c>
      <c r="H96" s="6">
        <v>101.98576300000001</v>
      </c>
      <c r="I96" s="6">
        <v>93.800996999999995</v>
      </c>
      <c r="J96" s="6">
        <v>118.910104</v>
      </c>
      <c r="K96" s="7">
        <f t="shared" si="2"/>
        <v>0.83785525000000005</v>
      </c>
      <c r="L96" s="8">
        <f t="shared" si="3"/>
        <v>104.89895466666667</v>
      </c>
      <c r="M96" s="9">
        <v>8.4020951419263802E-8</v>
      </c>
      <c r="N96" s="9">
        <v>1.23420973022662E-6</v>
      </c>
      <c r="O96" s="2">
        <v>6.0113321371142101</v>
      </c>
      <c r="P96" t="s">
        <v>677</v>
      </c>
      <c r="Q96" s="10">
        <f>IF(N96&lt;='[1]statistical criteria'!$B$2,IF(O96&gt;=LOG('[1]statistical criteria'!$B$3,2),1,IF(O96&lt;=-1*LOG('[1]statistical criteria'!$B$3,2),2,"-")),"-")</f>
        <v>1</v>
      </c>
      <c r="R96" t="s">
        <v>527</v>
      </c>
      <c r="S96" t="s">
        <v>528</v>
      </c>
      <c r="T96" s="9">
        <v>8E-41</v>
      </c>
      <c r="U96" t="s">
        <v>529</v>
      </c>
    </row>
    <row r="97" spans="1:21" x14ac:dyDescent="0.35">
      <c r="A97" t="s">
        <v>679</v>
      </c>
      <c r="B97" t="s">
        <v>680</v>
      </c>
      <c r="C97">
        <v>3609</v>
      </c>
      <c r="D97" s="4">
        <v>0</v>
      </c>
      <c r="E97" s="4">
        <v>0</v>
      </c>
      <c r="F97" s="4">
        <v>0</v>
      </c>
      <c r="G97" s="4">
        <v>0</v>
      </c>
      <c r="H97" s="6">
        <v>3.463902</v>
      </c>
      <c r="I97" s="6">
        <v>16.101703000000001</v>
      </c>
      <c r="J97" s="6">
        <v>5.0898820000000002</v>
      </c>
      <c r="K97" s="7">
        <f t="shared" si="2"/>
        <v>0</v>
      </c>
      <c r="L97" s="8">
        <f t="shared" si="3"/>
        <v>8.2184956666666675</v>
      </c>
      <c r="M97" s="9">
        <v>1.31918891508837E-13</v>
      </c>
      <c r="N97" s="9">
        <v>5.2137414442641297E-12</v>
      </c>
      <c r="O97" s="2">
        <v>6.0022532968844304</v>
      </c>
      <c r="P97" t="s">
        <v>679</v>
      </c>
      <c r="Q97" s="10">
        <f>IF(N97&lt;='[1]statistical criteria'!$B$2,IF(O97&gt;=LOG('[1]statistical criteria'!$B$3,2),1,IF(O97&lt;=-1*LOG('[1]statistical criteria'!$B$3,2),2,"-")),"-")</f>
        <v>1</v>
      </c>
      <c r="S97" t="s">
        <v>681</v>
      </c>
      <c r="T97">
        <v>1.8</v>
      </c>
      <c r="U97" t="s">
        <v>682</v>
      </c>
    </row>
    <row r="98" spans="1:21" x14ac:dyDescent="0.35">
      <c r="A98" t="s">
        <v>683</v>
      </c>
      <c r="B98" t="s">
        <v>684</v>
      </c>
      <c r="C98">
        <v>1323</v>
      </c>
      <c r="D98" s="4">
        <v>0</v>
      </c>
      <c r="E98" s="4">
        <v>0</v>
      </c>
      <c r="F98" s="4">
        <v>0</v>
      </c>
      <c r="G98" s="4">
        <v>0</v>
      </c>
      <c r="H98" s="6">
        <v>28.465719</v>
      </c>
      <c r="I98" s="6">
        <v>5.933859</v>
      </c>
      <c r="J98" s="6">
        <v>14.015147000000001</v>
      </c>
      <c r="K98" s="7">
        <f t="shared" si="2"/>
        <v>0</v>
      </c>
      <c r="L98" s="8">
        <f t="shared" si="3"/>
        <v>16.138241666666666</v>
      </c>
      <c r="M98" s="9">
        <v>1.9977099699019201E-11</v>
      </c>
      <c r="N98" s="9">
        <v>5.6487995137048401E-10</v>
      </c>
      <c r="O98" s="2">
        <v>6.0020279209202601</v>
      </c>
      <c r="P98" t="s">
        <v>683</v>
      </c>
      <c r="Q98" s="10">
        <f>IF(N98&lt;='[1]statistical criteria'!$B$2,IF(O98&gt;=LOG('[1]statistical criteria'!$B$3,2),1,IF(O98&lt;=-1*LOG('[1]statistical criteria'!$B$3,2),2,"-")),"-")</f>
        <v>1</v>
      </c>
      <c r="R98" t="s">
        <v>685</v>
      </c>
      <c r="S98" t="s">
        <v>686</v>
      </c>
      <c r="T98" s="9">
        <v>7.9999999999999994E-39</v>
      </c>
      <c r="U98" t="s">
        <v>687</v>
      </c>
    </row>
    <row r="99" spans="1:21" x14ac:dyDescent="0.35">
      <c r="A99" t="s">
        <v>688</v>
      </c>
      <c r="B99" t="s">
        <v>689</v>
      </c>
      <c r="C99">
        <v>420</v>
      </c>
      <c r="D99" s="4">
        <v>0</v>
      </c>
      <c r="E99" s="4">
        <v>0</v>
      </c>
      <c r="F99" s="4">
        <v>0</v>
      </c>
      <c r="G99" s="4">
        <v>0</v>
      </c>
      <c r="H99" s="6">
        <v>48.778475</v>
      </c>
      <c r="I99" s="6">
        <v>101.643833</v>
      </c>
      <c r="J99" s="6">
        <v>57.009667</v>
      </c>
      <c r="K99" s="7">
        <f t="shared" si="2"/>
        <v>0</v>
      </c>
      <c r="L99" s="8">
        <f t="shared" si="3"/>
        <v>69.143991666666665</v>
      </c>
      <c r="M99" s="9">
        <v>1.89091994320129E-10</v>
      </c>
      <c r="N99" s="9">
        <v>4.5636279669144498E-9</v>
      </c>
      <c r="O99" s="2">
        <v>5.9993368390482296</v>
      </c>
      <c r="P99" t="s">
        <v>688</v>
      </c>
      <c r="Q99" s="10">
        <f>IF(N99&lt;='[1]statistical criteria'!$B$2,IF(O99&gt;=LOG('[1]statistical criteria'!$B$3,2),1,IF(O99&lt;=-1*LOG('[1]statistical criteria'!$B$3,2),2,"-")),"-")</f>
        <v>1</v>
      </c>
      <c r="S99" t="s">
        <v>478</v>
      </c>
      <c r="T99">
        <v>5.6</v>
      </c>
      <c r="U99" t="s">
        <v>479</v>
      </c>
    </row>
    <row r="100" spans="1:21" x14ac:dyDescent="0.35">
      <c r="A100" t="s">
        <v>690</v>
      </c>
      <c r="B100" t="s">
        <v>691</v>
      </c>
      <c r="C100">
        <v>2280</v>
      </c>
      <c r="D100" s="4">
        <v>0</v>
      </c>
      <c r="E100" s="4">
        <v>0</v>
      </c>
      <c r="F100" s="4">
        <v>0</v>
      </c>
      <c r="G100" s="4">
        <v>0</v>
      </c>
      <c r="H100" s="6">
        <v>14.317302</v>
      </c>
      <c r="I100" s="6">
        <v>11.136742999999999</v>
      </c>
      <c r="J100" s="6">
        <v>8.5532839999999997</v>
      </c>
      <c r="K100" s="7">
        <f t="shared" si="2"/>
        <v>0</v>
      </c>
      <c r="L100" s="8">
        <f t="shared" si="3"/>
        <v>11.335776333333333</v>
      </c>
      <c r="M100" s="9">
        <v>1.94345184237209E-10</v>
      </c>
      <c r="N100" s="9">
        <v>4.6815048810558198E-9</v>
      </c>
      <c r="O100" s="2">
        <v>5.9969308262413596</v>
      </c>
      <c r="P100" t="s">
        <v>690</v>
      </c>
      <c r="Q100" s="10">
        <f>IF(N100&lt;='[1]statistical criteria'!$B$2,IF(O100&gt;=LOG('[1]statistical criteria'!$B$3,2),1,IF(O100&lt;=-1*LOG('[1]statistical criteria'!$B$3,2),2,"-")),"-")</f>
        <v>1</v>
      </c>
      <c r="R100" t="s">
        <v>692</v>
      </c>
      <c r="S100" t="s">
        <v>693</v>
      </c>
      <c r="T100" s="9">
        <v>7.9999999999999995E-124</v>
      </c>
      <c r="U100" t="s">
        <v>694</v>
      </c>
    </row>
    <row r="101" spans="1:21" x14ac:dyDescent="0.35">
      <c r="A101" t="s">
        <v>695</v>
      </c>
      <c r="B101" t="s">
        <v>696</v>
      </c>
      <c r="C101">
        <v>903</v>
      </c>
      <c r="D101" s="4">
        <v>0</v>
      </c>
      <c r="E101" s="4">
        <v>0</v>
      </c>
      <c r="F101" s="4">
        <v>0</v>
      </c>
      <c r="G101" s="4">
        <v>0</v>
      </c>
      <c r="H101" s="6">
        <v>49.900720999999997</v>
      </c>
      <c r="I101" s="6">
        <v>4.185149</v>
      </c>
      <c r="J101" s="6">
        <v>53.892617000000001</v>
      </c>
      <c r="K101" s="7">
        <f t="shared" si="2"/>
        <v>0</v>
      </c>
      <c r="L101" s="8">
        <f t="shared" si="3"/>
        <v>35.992829</v>
      </c>
      <c r="M101" s="9">
        <v>2.6783950048697598E-10</v>
      </c>
      <c r="N101" s="9">
        <v>6.2925749311940197E-9</v>
      </c>
      <c r="O101" s="2">
        <v>5.9866815791269197</v>
      </c>
      <c r="P101" t="s">
        <v>695</v>
      </c>
      <c r="Q101" s="10">
        <f>IF(N101&lt;='[1]statistical criteria'!$B$2,IF(O101&gt;=LOG('[1]statistical criteria'!$B$3,2),1,IF(O101&lt;=-1*LOG('[1]statistical criteria'!$B$3,2),2,"-")),"-")</f>
        <v>1</v>
      </c>
      <c r="R101" t="s">
        <v>697</v>
      </c>
      <c r="S101" t="s">
        <v>698</v>
      </c>
      <c r="T101" s="9">
        <v>6.9999999999999998E-166</v>
      </c>
      <c r="U101" t="s">
        <v>316</v>
      </c>
    </row>
    <row r="102" spans="1:21" x14ac:dyDescent="0.35">
      <c r="A102" t="s">
        <v>699</v>
      </c>
      <c r="B102" t="s">
        <v>700</v>
      </c>
      <c r="C102">
        <v>807</v>
      </c>
      <c r="D102" s="4">
        <v>0</v>
      </c>
      <c r="E102" s="4">
        <v>0</v>
      </c>
      <c r="F102" s="4">
        <v>0</v>
      </c>
      <c r="G102" s="4">
        <v>0</v>
      </c>
      <c r="H102" s="6">
        <v>33.933472000000002</v>
      </c>
      <c r="I102" s="6">
        <v>25.934066999999999</v>
      </c>
      <c r="J102" s="6">
        <v>31.304341000000001</v>
      </c>
      <c r="K102" s="7">
        <f t="shared" si="2"/>
        <v>0</v>
      </c>
      <c r="L102" s="8">
        <f t="shared" si="3"/>
        <v>30.390626666666666</v>
      </c>
      <c r="M102" s="9">
        <v>2.75181473268773E-10</v>
      </c>
      <c r="N102" s="9">
        <v>6.44914216293688E-9</v>
      </c>
      <c r="O102" s="2">
        <v>5.9857547873993804</v>
      </c>
      <c r="P102" t="s">
        <v>699</v>
      </c>
      <c r="Q102" s="10">
        <f>IF(N102&lt;='[1]statistical criteria'!$B$2,IF(O102&gt;=LOG('[1]statistical criteria'!$B$3,2),1,IF(O102&lt;=-1*LOG('[1]statistical criteria'!$B$3,2),2,"-")),"-")</f>
        <v>1</v>
      </c>
    </row>
    <row r="103" spans="1:21" x14ac:dyDescent="0.35">
      <c r="A103" t="s">
        <v>701</v>
      </c>
      <c r="C103">
        <v>525</v>
      </c>
      <c r="D103" s="4">
        <v>0</v>
      </c>
      <c r="E103" s="4">
        <v>0</v>
      </c>
      <c r="F103" s="4">
        <v>0</v>
      </c>
      <c r="G103" s="4">
        <v>0</v>
      </c>
      <c r="H103" s="6">
        <v>42.878258000000002</v>
      </c>
      <c r="I103" s="6">
        <v>55.868136</v>
      </c>
      <c r="J103" s="6">
        <v>111.02556</v>
      </c>
      <c r="K103" s="7">
        <f t="shared" si="2"/>
        <v>0</v>
      </c>
      <c r="L103" s="8">
        <f t="shared" si="3"/>
        <v>69.923984666666669</v>
      </c>
      <c r="M103" s="9">
        <v>2.0279109281349801E-11</v>
      </c>
      <c r="N103" s="9">
        <v>5.7129748278917499E-10</v>
      </c>
      <c r="O103" s="2">
        <v>5.9847949762507699</v>
      </c>
      <c r="P103" t="s">
        <v>701</v>
      </c>
      <c r="Q103" s="10">
        <f>IF(N103&lt;='[1]statistical criteria'!$B$2,IF(O103&gt;=LOG('[1]statistical criteria'!$B$3,2),1,IF(O103&lt;=-1*LOG('[1]statistical criteria'!$B$3,2),2,"-")),"-")</f>
        <v>1</v>
      </c>
    </row>
    <row r="104" spans="1:21" x14ac:dyDescent="0.35">
      <c r="A104" t="s">
        <v>54</v>
      </c>
      <c r="B104" t="s">
        <v>55</v>
      </c>
      <c r="C104">
        <v>771</v>
      </c>
      <c r="D104" s="5">
        <v>11.237691999999999</v>
      </c>
      <c r="E104" s="5">
        <v>1.0506679999999999</v>
      </c>
      <c r="F104" s="4">
        <v>0</v>
      </c>
      <c r="G104" s="4">
        <v>0</v>
      </c>
      <c r="H104" s="6">
        <v>235.87089599999999</v>
      </c>
      <c r="I104" s="6">
        <v>161.47456099999999</v>
      </c>
      <c r="J104" s="6">
        <v>266.97404299999999</v>
      </c>
      <c r="K104" s="7">
        <f t="shared" si="2"/>
        <v>3.0720899999999998</v>
      </c>
      <c r="L104" s="8">
        <f t="shared" si="3"/>
        <v>221.43983333333335</v>
      </c>
      <c r="M104" s="9">
        <v>2.38338216294607E-7</v>
      </c>
      <c r="N104" s="9">
        <v>3.1595794190779399E-6</v>
      </c>
      <c r="O104" s="2">
        <v>5.9672967191455504</v>
      </c>
      <c r="P104" t="s">
        <v>54</v>
      </c>
      <c r="Q104" s="10">
        <f>IF(N104&lt;='[1]statistical criteria'!$B$2,IF(O104&gt;=LOG('[1]statistical criteria'!$B$3,2),1,IF(O104&lt;=-1*LOG('[1]statistical criteria'!$B$3,2),2,"-")),"-")</f>
        <v>1</v>
      </c>
      <c r="S104" t="s">
        <v>56</v>
      </c>
      <c r="T104">
        <v>2.5</v>
      </c>
      <c r="U104" t="s">
        <v>57</v>
      </c>
    </row>
    <row r="105" spans="1:21" x14ac:dyDescent="0.35">
      <c r="A105" t="s">
        <v>702</v>
      </c>
      <c r="B105" t="s">
        <v>703</v>
      </c>
      <c r="C105">
        <v>760</v>
      </c>
      <c r="D105" s="4">
        <v>0</v>
      </c>
      <c r="E105" s="4">
        <v>0</v>
      </c>
      <c r="F105" s="4">
        <v>0</v>
      </c>
      <c r="G105" s="4">
        <v>0</v>
      </c>
      <c r="H105" s="6">
        <v>28.209987999999999</v>
      </c>
      <c r="I105" s="6">
        <v>28.971710999999999</v>
      </c>
      <c r="J105" s="6">
        <v>27.826786999999999</v>
      </c>
      <c r="K105" s="7">
        <f t="shared" si="2"/>
        <v>0</v>
      </c>
      <c r="L105" s="8">
        <f t="shared" si="3"/>
        <v>28.336161999999998</v>
      </c>
      <c r="M105" s="9">
        <v>3.14029099130947E-12</v>
      </c>
      <c r="N105" s="9">
        <v>1.0010006292230999E-10</v>
      </c>
      <c r="O105" s="2">
        <v>5.9565859481378096</v>
      </c>
      <c r="P105" t="s">
        <v>702</v>
      </c>
      <c r="Q105" s="10">
        <f>IF(N105&lt;='[1]statistical criteria'!$B$2,IF(O105&gt;=LOG('[1]statistical criteria'!$B$3,2),1,IF(O105&lt;=-1*LOG('[1]statistical criteria'!$B$3,2),2,"-")),"-")</f>
        <v>1</v>
      </c>
      <c r="S105" t="s">
        <v>704</v>
      </c>
      <c r="T105">
        <v>0.61</v>
      </c>
      <c r="U105" t="s">
        <v>705</v>
      </c>
    </row>
    <row r="106" spans="1:21" x14ac:dyDescent="0.35">
      <c r="A106" t="s">
        <v>706</v>
      </c>
      <c r="B106" t="s">
        <v>707</v>
      </c>
      <c r="C106">
        <v>2991</v>
      </c>
      <c r="D106" s="4">
        <v>0</v>
      </c>
      <c r="E106" s="4">
        <v>0</v>
      </c>
      <c r="F106" s="4">
        <v>0</v>
      </c>
      <c r="G106" s="4">
        <v>0</v>
      </c>
      <c r="H106" s="6">
        <v>5.0456430000000001</v>
      </c>
      <c r="I106" s="6">
        <v>13.448180000000001</v>
      </c>
      <c r="J106" s="6">
        <v>8.6399249999999999</v>
      </c>
      <c r="K106" s="7">
        <f t="shared" si="2"/>
        <v>0</v>
      </c>
      <c r="L106" s="8">
        <f t="shared" si="3"/>
        <v>9.0445826666666651</v>
      </c>
      <c r="M106" s="9">
        <v>5.7159203356055101E-10</v>
      </c>
      <c r="N106" s="9">
        <v>1.28044689801734E-8</v>
      </c>
      <c r="O106" s="2">
        <v>5.9490370341923402</v>
      </c>
      <c r="P106" t="s">
        <v>706</v>
      </c>
      <c r="Q106" s="10">
        <f>IF(N106&lt;='[1]statistical criteria'!$B$2,IF(O106&gt;=LOG('[1]statistical criteria'!$B$3,2),1,IF(O106&lt;=-1*LOG('[1]statistical criteria'!$B$3,2),2,"-")),"-")</f>
        <v>1</v>
      </c>
      <c r="R106" t="s">
        <v>708</v>
      </c>
      <c r="S106" t="s">
        <v>709</v>
      </c>
      <c r="T106">
        <v>0</v>
      </c>
      <c r="U106" t="s">
        <v>710</v>
      </c>
    </row>
    <row r="107" spans="1:21" x14ac:dyDescent="0.35">
      <c r="A107" t="s">
        <v>711</v>
      </c>
      <c r="B107" t="s">
        <v>712</v>
      </c>
      <c r="C107">
        <v>942</v>
      </c>
      <c r="D107" s="4">
        <v>0</v>
      </c>
      <c r="E107" s="4">
        <v>0</v>
      </c>
      <c r="F107" s="4">
        <v>0</v>
      </c>
      <c r="G107" s="4">
        <v>0</v>
      </c>
      <c r="H107" s="6">
        <v>23.418571</v>
      </c>
      <c r="I107" s="6">
        <v>9.1139480000000006</v>
      </c>
      <c r="J107" s="6">
        <v>33.971972000000001</v>
      </c>
      <c r="K107" s="7">
        <f t="shared" si="2"/>
        <v>0</v>
      </c>
      <c r="L107" s="8">
        <f t="shared" si="3"/>
        <v>22.168163666666668</v>
      </c>
      <c r="M107" s="9">
        <v>2.4815941240607699E-11</v>
      </c>
      <c r="N107" s="9">
        <v>6.91937526459727E-10</v>
      </c>
      <c r="O107" s="2">
        <v>5.9403895566420903</v>
      </c>
      <c r="P107" t="s">
        <v>711</v>
      </c>
      <c r="Q107" s="10">
        <f>IF(N107&lt;='[1]statistical criteria'!$B$2,IF(O107&gt;=LOG('[1]statistical criteria'!$B$3,2),1,IF(O107&lt;=-1*LOG('[1]statistical criteria'!$B$3,2),2,"-")),"-")</f>
        <v>1</v>
      </c>
      <c r="R107" t="s">
        <v>713</v>
      </c>
      <c r="S107" t="s">
        <v>714</v>
      </c>
      <c r="T107" s="9">
        <v>3.0000000000000002E-91</v>
      </c>
      <c r="U107" t="s">
        <v>715</v>
      </c>
    </row>
    <row r="108" spans="1:21" x14ac:dyDescent="0.35">
      <c r="A108" t="s">
        <v>716</v>
      </c>
      <c r="B108" t="s">
        <v>717</v>
      </c>
      <c r="C108">
        <v>936</v>
      </c>
      <c r="D108" s="4">
        <v>0</v>
      </c>
      <c r="E108" s="4">
        <v>0</v>
      </c>
      <c r="F108" s="4">
        <v>0</v>
      </c>
      <c r="G108" s="4">
        <v>0</v>
      </c>
      <c r="H108" s="6">
        <v>21.328485000000001</v>
      </c>
      <c r="I108" s="6">
        <v>8.3513110000000008</v>
      </c>
      <c r="J108" s="6">
        <v>31.848054000000001</v>
      </c>
      <c r="K108" s="7">
        <f t="shared" si="2"/>
        <v>0</v>
      </c>
      <c r="L108" s="8">
        <f t="shared" si="3"/>
        <v>20.509283333333332</v>
      </c>
      <c r="M108" s="9">
        <v>5.8870296930833596E-11</v>
      </c>
      <c r="N108" s="9">
        <v>1.5452437939224299E-9</v>
      </c>
      <c r="O108" s="2">
        <v>5.9388151257534396</v>
      </c>
      <c r="P108" t="s">
        <v>716</v>
      </c>
      <c r="Q108" s="10">
        <f>IF(N108&lt;='[1]statistical criteria'!$B$2,IF(O108&gt;=LOG('[1]statistical criteria'!$B$3,2),1,IF(O108&lt;=-1*LOG('[1]statistical criteria'!$B$3,2),2,"-")),"-")</f>
        <v>1</v>
      </c>
      <c r="S108" t="s">
        <v>718</v>
      </c>
      <c r="T108" s="9">
        <v>3.0000000000000003E-67</v>
      </c>
      <c r="U108" t="s">
        <v>719</v>
      </c>
    </row>
    <row r="109" spans="1:21" x14ac:dyDescent="0.35">
      <c r="A109" t="s">
        <v>720</v>
      </c>
      <c r="B109" t="s">
        <v>721</v>
      </c>
      <c r="C109">
        <v>332</v>
      </c>
      <c r="D109" s="5">
        <v>10.939465</v>
      </c>
      <c r="E109" s="5">
        <v>23.625848999999999</v>
      </c>
      <c r="F109" s="5">
        <v>0.59441900000000003</v>
      </c>
      <c r="G109" s="4">
        <v>0</v>
      </c>
      <c r="H109" s="6">
        <v>1636.524451</v>
      </c>
      <c r="I109" s="6">
        <v>1168.9891620000001</v>
      </c>
      <c r="J109" s="6">
        <v>1314.6820419999999</v>
      </c>
      <c r="K109" s="7">
        <f t="shared" si="2"/>
        <v>8.7899332500000007</v>
      </c>
      <c r="L109" s="8">
        <f t="shared" si="3"/>
        <v>1373.3985516666664</v>
      </c>
      <c r="M109" s="9">
        <v>5.55667156905901E-7</v>
      </c>
      <c r="N109" s="9">
        <v>6.7936691268353904E-6</v>
      </c>
      <c r="O109" s="2">
        <v>5.9368972786584102</v>
      </c>
      <c r="P109" t="s">
        <v>720</v>
      </c>
      <c r="Q109" s="10">
        <f>IF(N109&lt;='[1]statistical criteria'!$B$2,IF(O109&gt;=LOG('[1]statistical criteria'!$B$3,2),1,IF(O109&lt;=-1*LOG('[1]statistical criteria'!$B$3,2),2,"-")),"-")</f>
        <v>1</v>
      </c>
      <c r="S109" t="s">
        <v>722</v>
      </c>
      <c r="T109" s="9">
        <v>1.0000000000000001E-15</v>
      </c>
      <c r="U109" t="s">
        <v>723</v>
      </c>
    </row>
    <row r="110" spans="1:21" x14ac:dyDescent="0.35">
      <c r="A110" t="s">
        <v>724</v>
      </c>
      <c r="B110" t="s">
        <v>725</v>
      </c>
      <c r="C110">
        <v>759</v>
      </c>
      <c r="D110" s="4">
        <v>0</v>
      </c>
      <c r="E110" s="4">
        <v>0</v>
      </c>
      <c r="F110" s="5">
        <v>0.48301899999999998</v>
      </c>
      <c r="G110" s="4">
        <v>0</v>
      </c>
      <c r="H110" s="6">
        <v>57.542104000000002</v>
      </c>
      <c r="I110" s="6">
        <v>41.176943999999999</v>
      </c>
      <c r="J110" s="6">
        <v>38.448529999999998</v>
      </c>
      <c r="K110" s="7">
        <f t="shared" si="2"/>
        <v>0.12075474999999999</v>
      </c>
      <c r="L110" s="8">
        <f t="shared" si="3"/>
        <v>45.722525999999995</v>
      </c>
      <c r="M110" s="9">
        <v>2.4834353833492399E-10</v>
      </c>
      <c r="N110" s="9">
        <v>5.8707795459796401E-9</v>
      </c>
      <c r="O110" s="2">
        <v>5.9047500854076098</v>
      </c>
      <c r="P110" t="s">
        <v>724</v>
      </c>
      <c r="Q110" s="10">
        <f>IF(N110&lt;='[1]statistical criteria'!$B$2,IF(O110&gt;=LOG('[1]statistical criteria'!$B$3,2),1,IF(O110&lt;=-1*LOG('[1]statistical criteria'!$B$3,2),2,"-")),"-")</f>
        <v>1</v>
      </c>
      <c r="S110" t="s">
        <v>561</v>
      </c>
      <c r="T110" s="9">
        <v>1E-59</v>
      </c>
      <c r="U110" t="s">
        <v>311</v>
      </c>
    </row>
    <row r="111" spans="1:21" x14ac:dyDescent="0.35">
      <c r="A111" t="s">
        <v>726</v>
      </c>
      <c r="B111" t="s">
        <v>727</v>
      </c>
      <c r="C111">
        <v>1446</v>
      </c>
      <c r="D111" s="4">
        <v>0</v>
      </c>
      <c r="E111" s="4">
        <v>0</v>
      </c>
      <c r="F111" s="4">
        <v>0</v>
      </c>
      <c r="G111" s="4">
        <v>0</v>
      </c>
      <c r="H111" s="6">
        <v>15.936445000000001</v>
      </c>
      <c r="I111" s="6">
        <v>9.3467389999999995</v>
      </c>
      <c r="J111" s="6">
        <v>9.7305790000000005</v>
      </c>
      <c r="K111" s="7">
        <f t="shared" si="2"/>
        <v>0</v>
      </c>
      <c r="L111" s="8">
        <f t="shared" si="3"/>
        <v>11.671254333333332</v>
      </c>
      <c r="M111" s="9">
        <v>2.26756389970328E-12</v>
      </c>
      <c r="N111" s="9">
        <v>7.3637783295825E-11</v>
      </c>
      <c r="O111" s="2">
        <v>5.89506259963491</v>
      </c>
      <c r="P111" t="s">
        <v>726</v>
      </c>
      <c r="Q111" s="10">
        <f>IF(N111&lt;='[1]statistical criteria'!$B$2,IF(O111&gt;=LOG('[1]statistical criteria'!$B$3,2),1,IF(O111&lt;=-1*LOG('[1]statistical criteria'!$B$3,2),2,"-")),"-")</f>
        <v>1</v>
      </c>
      <c r="R111" t="s">
        <v>728</v>
      </c>
    </row>
    <row r="112" spans="1:21" x14ac:dyDescent="0.35">
      <c r="A112" t="s">
        <v>729</v>
      </c>
      <c r="B112" t="s">
        <v>730</v>
      </c>
      <c r="C112">
        <v>2265</v>
      </c>
      <c r="D112" s="5">
        <v>2.448823</v>
      </c>
      <c r="E112" s="5">
        <v>2.440903</v>
      </c>
      <c r="F112" s="4">
        <v>0</v>
      </c>
      <c r="G112" s="4">
        <v>0</v>
      </c>
      <c r="H112" s="6">
        <v>97.358558000000002</v>
      </c>
      <c r="I112" s="6">
        <v>155.158387</v>
      </c>
      <c r="J112" s="6">
        <v>62.042788000000002</v>
      </c>
      <c r="K112" s="7">
        <f t="shared" si="2"/>
        <v>1.2224314999999999</v>
      </c>
      <c r="L112" s="8">
        <f t="shared" si="3"/>
        <v>104.85324433333335</v>
      </c>
      <c r="M112" s="9">
        <v>4.3339678615443902E-8</v>
      </c>
      <c r="N112" s="9">
        <v>6.8105209252840403E-7</v>
      </c>
      <c r="O112" s="2">
        <v>5.8920795247683904</v>
      </c>
      <c r="P112" t="s">
        <v>729</v>
      </c>
      <c r="Q112" s="10">
        <f>IF(N112&lt;='[1]statistical criteria'!$B$2,IF(O112&gt;=LOG('[1]statistical criteria'!$B$3,2),1,IF(O112&lt;=-1*LOG('[1]statistical criteria'!$B$3,2),2,"-")),"-")</f>
        <v>1</v>
      </c>
      <c r="R112" t="s">
        <v>731</v>
      </c>
      <c r="S112" t="s">
        <v>732</v>
      </c>
      <c r="T112">
        <v>0</v>
      </c>
      <c r="U112" t="s">
        <v>733</v>
      </c>
    </row>
    <row r="113" spans="1:21" x14ac:dyDescent="0.35">
      <c r="A113" t="s">
        <v>734</v>
      </c>
      <c r="B113" t="s">
        <v>735</v>
      </c>
      <c r="C113">
        <v>1467</v>
      </c>
      <c r="D113" s="4">
        <v>0</v>
      </c>
      <c r="E113" s="4">
        <v>0</v>
      </c>
      <c r="F113" s="4">
        <v>0</v>
      </c>
      <c r="G113" s="4">
        <v>0</v>
      </c>
      <c r="H113" s="6">
        <v>12.662718999999999</v>
      </c>
      <c r="I113" s="6">
        <v>8.8373670000000004</v>
      </c>
      <c r="J113" s="6">
        <v>12.934592</v>
      </c>
      <c r="K113" s="7">
        <f t="shared" si="2"/>
        <v>0</v>
      </c>
      <c r="L113" s="8">
        <f t="shared" si="3"/>
        <v>11.478225999999999</v>
      </c>
      <c r="M113" s="9">
        <v>1.2319545740925501E-10</v>
      </c>
      <c r="N113" s="9">
        <v>3.0880977566240998E-9</v>
      </c>
      <c r="O113" s="2">
        <v>5.8890946773027997</v>
      </c>
      <c r="P113" t="s">
        <v>734</v>
      </c>
      <c r="Q113" s="10">
        <f>IF(N113&lt;='[1]statistical criteria'!$B$2,IF(O113&gt;=LOG('[1]statistical criteria'!$B$3,2),1,IF(O113&lt;=-1*LOG('[1]statistical criteria'!$B$3,2),2,"-")),"-")</f>
        <v>1</v>
      </c>
      <c r="R113" t="s">
        <v>486</v>
      </c>
      <c r="S113" t="s">
        <v>487</v>
      </c>
      <c r="T113">
        <v>0</v>
      </c>
      <c r="U113" t="s">
        <v>488</v>
      </c>
    </row>
    <row r="114" spans="1:21" x14ac:dyDescent="0.35">
      <c r="A114" t="s">
        <v>736</v>
      </c>
      <c r="B114" t="s">
        <v>737</v>
      </c>
      <c r="C114">
        <v>1430</v>
      </c>
      <c r="D114" s="5">
        <v>0.63424999999999998</v>
      </c>
      <c r="E114" s="5">
        <v>9.0614E-2</v>
      </c>
      <c r="F114" s="4">
        <v>0</v>
      </c>
      <c r="G114" s="5">
        <v>0.63350200000000001</v>
      </c>
      <c r="H114" s="6">
        <v>64.083791000000005</v>
      </c>
      <c r="I114" s="6">
        <v>94.596598999999998</v>
      </c>
      <c r="J114" s="6">
        <v>62.988416999999998</v>
      </c>
      <c r="K114" s="7">
        <f t="shared" si="2"/>
        <v>0.33959149999999999</v>
      </c>
      <c r="L114" s="8">
        <f t="shared" si="3"/>
        <v>73.889602333333329</v>
      </c>
      <c r="M114" s="9">
        <v>3.32435137885246E-15</v>
      </c>
      <c r="N114" s="9">
        <v>1.6496064338868901E-13</v>
      </c>
      <c r="O114" s="2">
        <v>5.8684964892458202</v>
      </c>
      <c r="P114" t="s">
        <v>736</v>
      </c>
      <c r="Q114" s="10">
        <f>IF(N114&lt;='[1]statistical criteria'!$B$2,IF(O114&gt;=LOG('[1]statistical criteria'!$B$3,2),1,IF(O114&lt;=-1*LOG('[1]statistical criteria'!$B$3,2),2,"-")),"-")</f>
        <v>1</v>
      </c>
      <c r="R114" t="s">
        <v>738</v>
      </c>
      <c r="S114" t="s">
        <v>739</v>
      </c>
      <c r="T114">
        <v>0</v>
      </c>
      <c r="U114" t="s">
        <v>740</v>
      </c>
    </row>
    <row r="115" spans="1:21" x14ac:dyDescent="0.35">
      <c r="A115" t="s">
        <v>741</v>
      </c>
      <c r="B115" t="s">
        <v>742</v>
      </c>
      <c r="C115">
        <v>924</v>
      </c>
      <c r="D115" s="4">
        <v>0</v>
      </c>
      <c r="E115" s="4">
        <v>0</v>
      </c>
      <c r="F115" s="4">
        <v>0</v>
      </c>
      <c r="G115" s="4">
        <v>0</v>
      </c>
      <c r="H115" s="6">
        <v>19.628515</v>
      </c>
      <c r="I115" s="6">
        <v>24.081071999999999</v>
      </c>
      <c r="J115" s="6">
        <v>18.228536999999999</v>
      </c>
      <c r="K115" s="7">
        <f t="shared" si="2"/>
        <v>0</v>
      </c>
      <c r="L115" s="8">
        <f t="shared" si="3"/>
        <v>20.646041333333333</v>
      </c>
      <c r="M115" s="9">
        <v>1.5148687561975101E-11</v>
      </c>
      <c r="N115" s="9">
        <v>4.3546755937218499E-10</v>
      </c>
      <c r="O115" s="2">
        <v>5.8643851067476902</v>
      </c>
      <c r="P115" t="s">
        <v>741</v>
      </c>
      <c r="Q115" s="10">
        <f>IF(N115&lt;='[1]statistical criteria'!$B$2,IF(O115&gt;=LOG('[1]statistical criteria'!$B$3,2),1,IF(O115&lt;=-1*LOG('[1]statistical criteria'!$B$3,2),2,"-")),"-")</f>
        <v>1</v>
      </c>
      <c r="R115" t="s">
        <v>743</v>
      </c>
      <c r="S115" t="s">
        <v>744</v>
      </c>
      <c r="T115" s="9">
        <v>2E-131</v>
      </c>
      <c r="U115" t="s">
        <v>745</v>
      </c>
    </row>
    <row r="116" spans="1:21" x14ac:dyDescent="0.35">
      <c r="A116" t="s">
        <v>196</v>
      </c>
      <c r="B116" t="s">
        <v>197</v>
      </c>
      <c r="C116">
        <v>1941</v>
      </c>
      <c r="D116" s="4">
        <v>0</v>
      </c>
      <c r="E116" s="4">
        <v>0</v>
      </c>
      <c r="F116" s="4">
        <v>0</v>
      </c>
      <c r="G116" s="4">
        <v>0</v>
      </c>
      <c r="H116" s="6">
        <v>21.622691</v>
      </c>
      <c r="I116" s="6">
        <v>9.9735639999999997</v>
      </c>
      <c r="J116" s="6">
        <v>9.3206749999999996</v>
      </c>
      <c r="K116" s="7">
        <f t="shared" si="2"/>
        <v>0</v>
      </c>
      <c r="L116" s="8">
        <f t="shared" si="3"/>
        <v>13.638976666666666</v>
      </c>
      <c r="M116" s="9">
        <v>6.6734415551705705E-10</v>
      </c>
      <c r="N116" s="9">
        <v>1.47583489593139E-8</v>
      </c>
      <c r="O116" s="2">
        <v>5.8638677362183396</v>
      </c>
      <c r="P116" t="s">
        <v>196</v>
      </c>
      <c r="Q116" s="10">
        <f>IF(N116&lt;='[1]statistical criteria'!$B$2,IF(O116&gt;=LOG('[1]statistical criteria'!$B$3,2),1,IF(O116&lt;=-1*LOG('[1]statistical criteria'!$B$3,2),2,"-")),"-")</f>
        <v>1</v>
      </c>
      <c r="R116" t="s">
        <v>198</v>
      </c>
      <c r="S116" t="s">
        <v>199</v>
      </c>
      <c r="T116">
        <v>0</v>
      </c>
      <c r="U116" t="s">
        <v>200</v>
      </c>
    </row>
    <row r="117" spans="1:21" x14ac:dyDescent="0.35">
      <c r="A117" t="s">
        <v>746</v>
      </c>
      <c r="B117" t="s">
        <v>747</v>
      </c>
      <c r="C117">
        <v>7371</v>
      </c>
      <c r="D117" s="4">
        <v>0</v>
      </c>
      <c r="E117" s="4">
        <v>0</v>
      </c>
      <c r="F117" s="4">
        <v>0</v>
      </c>
      <c r="G117" s="4">
        <v>0</v>
      </c>
      <c r="H117" s="6">
        <v>3.4343720000000002</v>
      </c>
      <c r="I117" s="6">
        <v>1.4925569999999999</v>
      </c>
      <c r="J117" s="6">
        <v>2.5895459999999999</v>
      </c>
      <c r="K117" s="7">
        <f t="shared" si="2"/>
        <v>0</v>
      </c>
      <c r="L117" s="8">
        <f t="shared" si="3"/>
        <v>2.5054916666666665</v>
      </c>
      <c r="M117" s="9">
        <v>3.7776686114620298E-10</v>
      </c>
      <c r="N117" s="9">
        <v>8.6927489330256904E-9</v>
      </c>
      <c r="O117" s="2">
        <v>5.8622913930662097</v>
      </c>
      <c r="P117" t="s">
        <v>746</v>
      </c>
      <c r="Q117" s="10">
        <f>IF(N117&lt;='[1]statistical criteria'!$B$2,IF(O117&gt;=LOG('[1]statistical criteria'!$B$3,2),1,IF(O117&lt;=-1*LOG('[1]statistical criteria'!$B$3,2),2,"-")),"-")</f>
        <v>1</v>
      </c>
      <c r="R117" t="s">
        <v>748</v>
      </c>
      <c r="S117" t="s">
        <v>749</v>
      </c>
      <c r="T117">
        <v>0</v>
      </c>
      <c r="U117" t="s">
        <v>750</v>
      </c>
    </row>
    <row r="118" spans="1:21" x14ac:dyDescent="0.35">
      <c r="A118" t="s">
        <v>751</v>
      </c>
      <c r="B118" t="s">
        <v>752</v>
      </c>
      <c r="C118">
        <v>1582</v>
      </c>
      <c r="D118" s="4">
        <v>0</v>
      </c>
      <c r="E118" s="4">
        <v>0</v>
      </c>
      <c r="F118" s="4">
        <v>0</v>
      </c>
      <c r="G118" s="4">
        <v>0</v>
      </c>
      <c r="H118" s="6">
        <v>12.798358</v>
      </c>
      <c r="I118" s="6">
        <v>10.150232000000001</v>
      </c>
      <c r="J118" s="6">
        <v>13.386647999999999</v>
      </c>
      <c r="K118" s="7">
        <f t="shared" si="2"/>
        <v>0</v>
      </c>
      <c r="L118" s="8">
        <f t="shared" si="3"/>
        <v>12.111746000000002</v>
      </c>
      <c r="M118" s="9">
        <v>4.40768789397844E-10</v>
      </c>
      <c r="N118" s="9">
        <v>1.00153194773027E-8</v>
      </c>
      <c r="O118" s="2">
        <v>5.8512078424029603</v>
      </c>
      <c r="P118" t="s">
        <v>751</v>
      </c>
      <c r="Q118" s="10">
        <f>IF(N118&lt;='[1]statistical criteria'!$B$2,IF(O118&gt;=LOG('[1]statistical criteria'!$B$3,2),1,IF(O118&lt;=-1*LOG('[1]statistical criteria'!$B$3,2),2,"-")),"-")</f>
        <v>1</v>
      </c>
      <c r="R118" t="s">
        <v>753</v>
      </c>
      <c r="S118" t="s">
        <v>754</v>
      </c>
      <c r="T118">
        <v>0</v>
      </c>
      <c r="U118" t="s">
        <v>755</v>
      </c>
    </row>
    <row r="119" spans="1:21" x14ac:dyDescent="0.35">
      <c r="A119" t="s">
        <v>756</v>
      </c>
      <c r="C119">
        <v>831</v>
      </c>
      <c r="D119" s="4">
        <v>0</v>
      </c>
      <c r="E119" s="4">
        <v>0</v>
      </c>
      <c r="F119" s="4">
        <v>0</v>
      </c>
      <c r="G119" s="4">
        <v>0</v>
      </c>
      <c r="H119" s="6">
        <v>24.152567000000001</v>
      </c>
      <c r="I119" s="6">
        <v>22.249979</v>
      </c>
      <c r="J119" s="6">
        <v>16.175414</v>
      </c>
      <c r="K119" s="7">
        <f t="shared" si="2"/>
        <v>0</v>
      </c>
      <c r="L119" s="8">
        <f t="shared" si="3"/>
        <v>20.85932</v>
      </c>
      <c r="M119" s="9">
        <v>1.46566508630596E-7</v>
      </c>
      <c r="N119" s="9">
        <v>2.0255342478142699E-6</v>
      </c>
      <c r="O119" s="2">
        <v>5.8442064844997903</v>
      </c>
      <c r="P119" t="s">
        <v>756</v>
      </c>
      <c r="Q119" s="10">
        <f>IF(N119&lt;='[1]statistical criteria'!$B$2,IF(O119&gt;=LOG('[1]statistical criteria'!$B$3,2),1,IF(O119&lt;=-1*LOG('[1]statistical criteria'!$B$3,2),2,"-")),"-")</f>
        <v>1</v>
      </c>
    </row>
    <row r="120" spans="1:21" x14ac:dyDescent="0.35">
      <c r="A120" t="s">
        <v>757</v>
      </c>
      <c r="B120" t="s">
        <v>758</v>
      </c>
      <c r="C120">
        <v>1452</v>
      </c>
      <c r="D120" s="5">
        <v>0.95830700000000002</v>
      </c>
      <c r="E120" s="5">
        <v>1.311909</v>
      </c>
      <c r="F120" s="4">
        <v>0</v>
      </c>
      <c r="G120" s="4">
        <v>0</v>
      </c>
      <c r="H120" s="6">
        <v>109.093245</v>
      </c>
      <c r="I120" s="6">
        <v>24.283936000000001</v>
      </c>
      <c r="J120" s="6">
        <v>117.39437700000001</v>
      </c>
      <c r="K120" s="7">
        <f t="shared" si="2"/>
        <v>0.567554</v>
      </c>
      <c r="L120" s="8">
        <f t="shared" si="3"/>
        <v>83.590519333333347</v>
      </c>
      <c r="M120" s="9">
        <v>6.5984623336797901E-9</v>
      </c>
      <c r="N120" s="9">
        <v>1.2220801772255599E-7</v>
      </c>
      <c r="O120" s="2">
        <v>5.8320448121277702</v>
      </c>
      <c r="P120" t="s">
        <v>757</v>
      </c>
      <c r="Q120" s="10">
        <f>IF(N120&lt;='[1]statistical criteria'!$B$2,IF(O120&gt;=LOG('[1]statistical criteria'!$B$3,2),1,IF(O120&lt;=-1*LOG('[1]statistical criteria'!$B$3,2),2,"-")),"-")</f>
        <v>1</v>
      </c>
      <c r="R120" t="s">
        <v>486</v>
      </c>
      <c r="S120" t="s">
        <v>487</v>
      </c>
      <c r="T120" s="9">
        <v>2E-179</v>
      </c>
      <c r="U120" t="s">
        <v>488</v>
      </c>
    </row>
    <row r="121" spans="1:21" x14ac:dyDescent="0.35">
      <c r="A121" t="s">
        <v>759</v>
      </c>
      <c r="B121" t="s">
        <v>760</v>
      </c>
      <c r="C121">
        <v>573</v>
      </c>
      <c r="D121" s="4">
        <v>0</v>
      </c>
      <c r="E121" s="4">
        <v>0</v>
      </c>
      <c r="F121" s="5">
        <v>1.3983030000000001</v>
      </c>
      <c r="G121" s="4">
        <v>0</v>
      </c>
      <c r="H121" s="6">
        <v>154.15483800000001</v>
      </c>
      <c r="I121" s="6">
        <v>27.22785</v>
      </c>
      <c r="J121" s="6">
        <v>87.827009000000004</v>
      </c>
      <c r="K121" s="7">
        <f t="shared" si="2"/>
        <v>0.34957575000000002</v>
      </c>
      <c r="L121" s="8">
        <f t="shared" si="3"/>
        <v>89.736565666666664</v>
      </c>
      <c r="M121" s="9">
        <v>2.5303875428778702E-10</v>
      </c>
      <c r="N121" s="9">
        <v>5.9780602037201596E-9</v>
      </c>
      <c r="O121" s="2">
        <v>5.8297190154052201</v>
      </c>
      <c r="P121" t="s">
        <v>759</v>
      </c>
      <c r="Q121" s="10">
        <f>IF(N121&lt;='[1]statistical criteria'!$B$2,IF(O121&gt;=LOG('[1]statistical criteria'!$B$3,2),1,IF(O121&lt;=-1*LOG('[1]statistical criteria'!$B$3,2),2,"-")),"-")</f>
        <v>1</v>
      </c>
      <c r="R121" t="s">
        <v>761</v>
      </c>
      <c r="S121" t="s">
        <v>762</v>
      </c>
      <c r="T121" s="9">
        <v>1.0000000000000001E-111</v>
      </c>
      <c r="U121" t="s">
        <v>763</v>
      </c>
    </row>
    <row r="122" spans="1:21" x14ac:dyDescent="0.35">
      <c r="A122" t="s">
        <v>764</v>
      </c>
      <c r="B122" t="s">
        <v>765</v>
      </c>
      <c r="C122">
        <v>1578</v>
      </c>
      <c r="D122" s="4">
        <v>0</v>
      </c>
      <c r="E122" s="4">
        <v>0</v>
      </c>
      <c r="F122" s="4">
        <v>0</v>
      </c>
      <c r="G122" s="4">
        <v>0</v>
      </c>
      <c r="H122" s="6">
        <v>8.3978610000000007</v>
      </c>
      <c r="I122" s="6">
        <v>13.377758</v>
      </c>
      <c r="J122" s="6">
        <v>15.269869999999999</v>
      </c>
      <c r="K122" s="7">
        <f t="shared" si="2"/>
        <v>0</v>
      </c>
      <c r="L122" s="8">
        <f t="shared" si="3"/>
        <v>12.348496333333332</v>
      </c>
      <c r="M122" s="9">
        <v>3.4327225284794802E-11</v>
      </c>
      <c r="N122" s="9">
        <v>9.4127823799660505E-10</v>
      </c>
      <c r="O122" s="2">
        <v>5.8274476125636498</v>
      </c>
      <c r="P122" t="s">
        <v>764</v>
      </c>
      <c r="Q122" s="10">
        <f>IF(N122&lt;='[1]statistical criteria'!$B$2,IF(O122&gt;=LOG('[1]statistical criteria'!$B$3,2),1,IF(O122&lt;=-1*LOG('[1]statistical criteria'!$B$3,2),2,"-")),"-")</f>
        <v>1</v>
      </c>
      <c r="R122" t="s">
        <v>766</v>
      </c>
      <c r="S122" t="s">
        <v>767</v>
      </c>
      <c r="T122">
        <v>0</v>
      </c>
      <c r="U122" t="s">
        <v>768</v>
      </c>
    </row>
    <row r="123" spans="1:21" x14ac:dyDescent="0.35">
      <c r="A123" t="s">
        <v>769</v>
      </c>
      <c r="B123" t="s">
        <v>770</v>
      </c>
      <c r="C123">
        <v>801</v>
      </c>
      <c r="D123" s="5">
        <v>0.55385200000000001</v>
      </c>
      <c r="E123" s="4">
        <v>0</v>
      </c>
      <c r="F123" s="4">
        <v>0</v>
      </c>
      <c r="G123" s="4">
        <v>0</v>
      </c>
      <c r="H123" s="6">
        <v>38.638609000000002</v>
      </c>
      <c r="I123" s="6">
        <v>42.754038000000001</v>
      </c>
      <c r="J123" s="6">
        <v>31.496341000000001</v>
      </c>
      <c r="K123" s="7">
        <f t="shared" si="2"/>
        <v>0.138463</v>
      </c>
      <c r="L123" s="8">
        <f t="shared" si="3"/>
        <v>37.629662666666668</v>
      </c>
      <c r="M123" s="9">
        <v>7.7381732482026999E-10</v>
      </c>
      <c r="N123" s="9">
        <v>1.69456198979629E-8</v>
      </c>
      <c r="O123" s="2">
        <v>5.8215420847562802</v>
      </c>
      <c r="P123" t="s">
        <v>769</v>
      </c>
      <c r="Q123" s="10">
        <f>IF(N123&lt;='[1]statistical criteria'!$B$2,IF(O123&gt;=LOG('[1]statistical criteria'!$B$3,2),1,IF(O123&lt;=-1*LOG('[1]statistical criteria'!$B$3,2),2,"-")),"-")</f>
        <v>1</v>
      </c>
      <c r="R123" t="s">
        <v>439</v>
      </c>
      <c r="S123" t="s">
        <v>194</v>
      </c>
      <c r="T123" s="9">
        <v>3.0000000000000002E-104</v>
      </c>
      <c r="U123" t="s">
        <v>195</v>
      </c>
    </row>
    <row r="124" spans="1:21" x14ac:dyDescent="0.35">
      <c r="A124" t="s">
        <v>771</v>
      </c>
      <c r="B124" t="s">
        <v>772</v>
      </c>
      <c r="C124">
        <v>975</v>
      </c>
      <c r="D124" s="5">
        <v>2.5785749999999998</v>
      </c>
      <c r="E124" s="4">
        <v>0</v>
      </c>
      <c r="F124" s="4">
        <v>0</v>
      </c>
      <c r="G124" s="5">
        <v>1.3286100000000001</v>
      </c>
      <c r="H124" s="6">
        <v>73.655311999999995</v>
      </c>
      <c r="I124" s="6">
        <v>94.926180000000002</v>
      </c>
      <c r="J124" s="6">
        <v>96.146235000000004</v>
      </c>
      <c r="K124" s="7">
        <f t="shared" si="2"/>
        <v>0.97679625000000003</v>
      </c>
      <c r="L124" s="8">
        <f t="shared" si="3"/>
        <v>88.242575666666667</v>
      </c>
      <c r="M124" s="9">
        <v>4.1270520555865499E-9</v>
      </c>
      <c r="N124" s="9">
        <v>7.9371198198900402E-8</v>
      </c>
      <c r="O124" s="2">
        <v>5.8212222649925396</v>
      </c>
      <c r="P124" t="s">
        <v>771</v>
      </c>
      <c r="Q124" s="10">
        <f>IF(N124&lt;='[1]statistical criteria'!$B$2,IF(O124&gt;=LOG('[1]statistical criteria'!$B$3,2),1,IF(O124&lt;=-1*LOG('[1]statistical criteria'!$B$3,2),2,"-")),"-")</f>
        <v>1</v>
      </c>
      <c r="R124" t="s">
        <v>773</v>
      </c>
      <c r="S124" t="s">
        <v>774</v>
      </c>
      <c r="T124" s="9">
        <v>7.0000000000000003E-69</v>
      </c>
      <c r="U124" t="s">
        <v>160</v>
      </c>
    </row>
    <row r="125" spans="1:21" x14ac:dyDescent="0.35">
      <c r="A125" t="s">
        <v>775</v>
      </c>
      <c r="B125" t="s">
        <v>776</v>
      </c>
      <c r="C125">
        <v>444</v>
      </c>
      <c r="D125" s="4">
        <v>0</v>
      </c>
      <c r="E125" s="5">
        <v>14.466942</v>
      </c>
      <c r="F125" s="4">
        <v>0</v>
      </c>
      <c r="G125" s="4">
        <v>0</v>
      </c>
      <c r="H125" s="6">
        <v>200.16711799999999</v>
      </c>
      <c r="I125" s="6">
        <v>67.335330999999996</v>
      </c>
      <c r="J125" s="6">
        <v>203.403505</v>
      </c>
      <c r="K125" s="7">
        <f t="shared" si="2"/>
        <v>3.6167354999999999</v>
      </c>
      <c r="L125" s="8">
        <f t="shared" si="3"/>
        <v>156.96865133333333</v>
      </c>
      <c r="M125" s="9">
        <v>6.5739154810396299E-10</v>
      </c>
      <c r="N125" s="9">
        <v>1.45466990237423E-8</v>
      </c>
      <c r="O125" s="2">
        <v>5.8015815378018099</v>
      </c>
      <c r="P125" t="s">
        <v>775</v>
      </c>
      <c r="Q125" s="10">
        <f>IF(N125&lt;='[1]statistical criteria'!$B$2,IF(O125&gt;=LOG('[1]statistical criteria'!$B$3,2),1,IF(O125&lt;=-1*LOG('[1]statistical criteria'!$B$3,2),2,"-")),"-")</f>
        <v>1</v>
      </c>
      <c r="R125" t="s">
        <v>777</v>
      </c>
    </row>
    <row r="126" spans="1:21" x14ac:dyDescent="0.35">
      <c r="A126" t="s">
        <v>778</v>
      </c>
      <c r="B126" t="s">
        <v>779</v>
      </c>
      <c r="C126">
        <v>426</v>
      </c>
      <c r="D126" s="4">
        <v>0</v>
      </c>
      <c r="E126" s="4">
        <v>0</v>
      </c>
      <c r="F126" s="4">
        <v>0</v>
      </c>
      <c r="G126" s="4">
        <v>0</v>
      </c>
      <c r="H126" s="6">
        <v>72.166667000000004</v>
      </c>
      <c r="I126" s="6">
        <v>39.286698999999999</v>
      </c>
      <c r="J126" s="6">
        <v>50.470852999999998</v>
      </c>
      <c r="K126" s="7">
        <f t="shared" si="2"/>
        <v>0</v>
      </c>
      <c r="L126" s="8">
        <f t="shared" si="3"/>
        <v>53.974739666666665</v>
      </c>
      <c r="M126" s="9">
        <v>1.58545134654555E-13</v>
      </c>
      <c r="N126" s="9">
        <v>6.19530577510508E-12</v>
      </c>
      <c r="O126" s="2">
        <v>5.7861585847160004</v>
      </c>
      <c r="P126" t="s">
        <v>778</v>
      </c>
      <c r="Q126" s="10">
        <f>IF(N126&lt;='[1]statistical criteria'!$B$2,IF(O126&gt;=LOG('[1]statistical criteria'!$B$3,2),1,IF(O126&lt;=-1*LOG('[1]statistical criteria'!$B$3,2),2,"-")),"-")</f>
        <v>1</v>
      </c>
      <c r="R126" t="s">
        <v>436</v>
      </c>
    </row>
    <row r="127" spans="1:21" x14ac:dyDescent="0.35">
      <c r="A127" t="s">
        <v>324</v>
      </c>
      <c r="B127" t="s">
        <v>325</v>
      </c>
      <c r="C127">
        <v>366</v>
      </c>
      <c r="D127" s="4">
        <v>0</v>
      </c>
      <c r="E127" s="4">
        <v>0</v>
      </c>
      <c r="F127" s="4">
        <v>0</v>
      </c>
      <c r="G127" s="4">
        <v>0</v>
      </c>
      <c r="H127" s="6">
        <v>98.369497999999993</v>
      </c>
      <c r="I127" s="6">
        <v>40.101427999999999</v>
      </c>
      <c r="J127" s="6">
        <v>69.489091000000002</v>
      </c>
      <c r="K127" s="7">
        <f t="shared" si="2"/>
        <v>0</v>
      </c>
      <c r="L127" s="8">
        <f t="shared" si="3"/>
        <v>69.32000566666666</v>
      </c>
      <c r="M127" s="9">
        <v>1.1285826667064099E-9</v>
      </c>
      <c r="N127" s="9">
        <v>2.41585243503071E-8</v>
      </c>
      <c r="O127" s="2">
        <v>5.7814276796711299</v>
      </c>
      <c r="P127" t="s">
        <v>324</v>
      </c>
      <c r="Q127" s="10">
        <f>IF(N127&lt;='[1]statistical criteria'!$B$2,IF(O127&gt;=LOG('[1]statistical criteria'!$B$3,2),1,IF(O127&lt;=-1*LOG('[1]statistical criteria'!$B$3,2),2,"-")),"-")</f>
        <v>1</v>
      </c>
    </row>
    <row r="128" spans="1:21" x14ac:dyDescent="0.35">
      <c r="A128" t="s">
        <v>780</v>
      </c>
      <c r="B128" t="s">
        <v>781</v>
      </c>
      <c r="C128">
        <v>1702</v>
      </c>
      <c r="D128" s="5">
        <v>1.748535</v>
      </c>
      <c r="E128" s="4">
        <v>0</v>
      </c>
      <c r="F128" s="5">
        <v>1.5776779999999999</v>
      </c>
      <c r="G128" s="5">
        <v>1.1265270000000001</v>
      </c>
      <c r="H128" s="6">
        <v>120.484306</v>
      </c>
      <c r="I128" s="6">
        <v>91.333166000000006</v>
      </c>
      <c r="J128" s="6">
        <v>193.19260800000001</v>
      </c>
      <c r="K128" s="7">
        <f t="shared" si="2"/>
        <v>1.1131850000000001</v>
      </c>
      <c r="L128" s="8">
        <f t="shared" si="3"/>
        <v>135.00336000000001</v>
      </c>
      <c r="M128" s="9">
        <v>1.2626870073147001E-13</v>
      </c>
      <c r="N128" s="9">
        <v>5.0217207417343296E-12</v>
      </c>
      <c r="O128" s="2">
        <v>5.77745660197054</v>
      </c>
      <c r="P128" t="s">
        <v>780</v>
      </c>
      <c r="Q128" s="10">
        <f>IF(N128&lt;='[1]statistical criteria'!$B$2,IF(O128&gt;=LOG('[1]statistical criteria'!$B$3,2),1,IF(O128&lt;=-1*LOG('[1]statistical criteria'!$B$3,2),2,"-")),"-")</f>
        <v>1</v>
      </c>
      <c r="R128" t="s">
        <v>782</v>
      </c>
      <c r="S128" t="s">
        <v>783</v>
      </c>
      <c r="T128" s="9">
        <v>9.9999999999999996E-39</v>
      </c>
      <c r="U128" t="s">
        <v>784</v>
      </c>
    </row>
    <row r="129" spans="1:21" x14ac:dyDescent="0.35">
      <c r="A129" t="s">
        <v>785</v>
      </c>
      <c r="B129" t="s">
        <v>786</v>
      </c>
      <c r="C129">
        <v>1683</v>
      </c>
      <c r="D129" s="4">
        <v>0</v>
      </c>
      <c r="E129" s="4">
        <v>0</v>
      </c>
      <c r="F129" s="5">
        <v>0.18013399999999999</v>
      </c>
      <c r="G129" s="4">
        <v>0</v>
      </c>
      <c r="H129" s="6">
        <v>28.524414</v>
      </c>
      <c r="I129" s="6">
        <v>19.905450999999999</v>
      </c>
      <c r="J129" s="6">
        <v>14.171735</v>
      </c>
      <c r="K129" s="7">
        <f t="shared" si="2"/>
        <v>4.5033499999999997E-2</v>
      </c>
      <c r="L129" s="8">
        <f t="shared" si="3"/>
        <v>20.8672</v>
      </c>
      <c r="M129" s="9">
        <v>1.4217082407668699E-9</v>
      </c>
      <c r="N129" s="9">
        <v>2.9911672550352198E-8</v>
      </c>
      <c r="O129" s="2">
        <v>5.7708657459371704</v>
      </c>
      <c r="P129" t="s">
        <v>785</v>
      </c>
      <c r="Q129" s="10">
        <f>IF(N129&lt;='[1]statistical criteria'!$B$2,IF(O129&gt;=LOG('[1]statistical criteria'!$B$3,2),1,IF(O129&lt;=-1*LOG('[1]statistical criteria'!$B$3,2),2,"-")),"-")</f>
        <v>1</v>
      </c>
      <c r="R129" t="s">
        <v>787</v>
      </c>
    </row>
    <row r="130" spans="1:21" x14ac:dyDescent="0.35">
      <c r="A130" t="s">
        <v>788</v>
      </c>
      <c r="B130" t="s">
        <v>789</v>
      </c>
      <c r="C130">
        <v>1215</v>
      </c>
      <c r="D130" s="4">
        <v>0</v>
      </c>
      <c r="E130" s="4">
        <v>0</v>
      </c>
      <c r="F130" s="4">
        <v>0</v>
      </c>
      <c r="G130" s="5">
        <v>0.53347800000000001</v>
      </c>
      <c r="H130" s="6">
        <v>39.994177000000001</v>
      </c>
      <c r="I130" s="6">
        <v>33.082433999999999</v>
      </c>
      <c r="J130" s="6">
        <v>16.966028999999999</v>
      </c>
      <c r="K130" s="7">
        <f t="shared" si="2"/>
        <v>0.1333695</v>
      </c>
      <c r="L130" s="8">
        <f t="shared" si="3"/>
        <v>30.014213333333334</v>
      </c>
      <c r="M130" s="9">
        <v>4.5825124831214102E-11</v>
      </c>
      <c r="N130" s="9">
        <v>1.2265149444979001E-9</v>
      </c>
      <c r="O130" s="2">
        <v>5.7698093329766698</v>
      </c>
      <c r="P130" t="s">
        <v>788</v>
      </c>
      <c r="Q130" s="10">
        <f>IF(N130&lt;='[1]statistical criteria'!$B$2,IF(O130&gt;=LOG('[1]statistical criteria'!$B$3,2),1,IF(O130&lt;=-1*LOG('[1]statistical criteria'!$B$3,2),2,"-")),"-")</f>
        <v>1</v>
      </c>
      <c r="R130" t="s">
        <v>790</v>
      </c>
      <c r="S130" t="s">
        <v>791</v>
      </c>
      <c r="T130" s="9">
        <v>4.9999999999999999E-93</v>
      </c>
      <c r="U130" t="s">
        <v>792</v>
      </c>
    </row>
    <row r="131" spans="1:21" x14ac:dyDescent="0.35">
      <c r="A131" t="s">
        <v>793</v>
      </c>
      <c r="B131" t="s">
        <v>794</v>
      </c>
      <c r="C131">
        <v>342</v>
      </c>
      <c r="D131" s="4">
        <v>0</v>
      </c>
      <c r="E131" s="4">
        <v>0</v>
      </c>
      <c r="F131" s="4">
        <v>0</v>
      </c>
      <c r="G131" s="4">
        <v>0</v>
      </c>
      <c r="H131" s="6">
        <v>90.805639999999997</v>
      </c>
      <c r="I131" s="6">
        <v>34.366543</v>
      </c>
      <c r="J131" s="6">
        <v>81.610827999999998</v>
      </c>
      <c r="K131" s="7">
        <f t="shared" ref="K131:K194" si="4">AVERAGE(D131:G131)</f>
        <v>0</v>
      </c>
      <c r="L131" s="8">
        <f t="shared" ref="L131:L194" si="5">AVERAGE(H131:J131)</f>
        <v>68.927670333333324</v>
      </c>
      <c r="M131" s="9">
        <v>5.9197856103958504E-10</v>
      </c>
      <c r="N131" s="9">
        <v>1.32300082402622E-8</v>
      </c>
      <c r="O131" s="2">
        <v>5.7675349401655502</v>
      </c>
      <c r="P131" t="s">
        <v>793</v>
      </c>
      <c r="Q131" s="10">
        <f>IF(N131&lt;='[1]statistical criteria'!$B$2,IF(O131&gt;=LOG('[1]statistical criteria'!$B$3,2),1,IF(O131&lt;=-1*LOG('[1]statistical criteria'!$B$3,2),2,"-")),"-")</f>
        <v>1</v>
      </c>
    </row>
    <row r="132" spans="1:21" x14ac:dyDescent="0.35">
      <c r="A132" t="s">
        <v>795</v>
      </c>
      <c r="B132" t="s">
        <v>796</v>
      </c>
      <c r="C132">
        <v>1683</v>
      </c>
      <c r="D132" s="4">
        <v>0</v>
      </c>
      <c r="E132" s="4">
        <v>0</v>
      </c>
      <c r="F132" s="4">
        <v>0</v>
      </c>
      <c r="G132" s="4">
        <v>0</v>
      </c>
      <c r="H132" s="6">
        <v>6.30389</v>
      </c>
      <c r="I132" s="6">
        <v>10.35441</v>
      </c>
      <c r="J132" s="6">
        <v>21.452213</v>
      </c>
      <c r="K132" s="7">
        <f t="shared" si="4"/>
        <v>0</v>
      </c>
      <c r="L132" s="8">
        <f t="shared" si="5"/>
        <v>12.703504333333333</v>
      </c>
      <c r="M132" s="9">
        <v>1.0562557413311499E-11</v>
      </c>
      <c r="N132" s="9">
        <v>3.1043315455647498E-10</v>
      </c>
      <c r="O132" s="2">
        <v>5.7632176743047401</v>
      </c>
      <c r="P132" t="s">
        <v>795</v>
      </c>
      <c r="Q132" s="10">
        <f>IF(N132&lt;='[1]statistical criteria'!$B$2,IF(O132&gt;=LOG('[1]statistical criteria'!$B$3,2),1,IF(O132&lt;=-1*LOG('[1]statistical criteria'!$B$3,2),2,"-")),"-")</f>
        <v>1</v>
      </c>
      <c r="R132" t="s">
        <v>797</v>
      </c>
      <c r="S132" t="s">
        <v>798</v>
      </c>
      <c r="T132">
        <v>0</v>
      </c>
      <c r="U132" t="s">
        <v>799</v>
      </c>
    </row>
    <row r="133" spans="1:21" x14ac:dyDescent="0.35">
      <c r="A133" t="s">
        <v>800</v>
      </c>
      <c r="B133" t="s">
        <v>801</v>
      </c>
      <c r="C133">
        <v>458</v>
      </c>
      <c r="D133" s="5">
        <v>12.249025</v>
      </c>
      <c r="E133" s="4">
        <v>0</v>
      </c>
      <c r="F133" s="5">
        <v>0.89821799999999996</v>
      </c>
      <c r="G133" s="5">
        <v>25.674947</v>
      </c>
      <c r="H133" s="6">
        <v>1605.232673</v>
      </c>
      <c r="I133" s="6">
        <v>1788.6019470000001</v>
      </c>
      <c r="J133" s="6">
        <v>991.29964199999995</v>
      </c>
      <c r="K133" s="7">
        <f t="shared" si="4"/>
        <v>9.7055474999999998</v>
      </c>
      <c r="L133" s="8">
        <f t="shared" si="5"/>
        <v>1461.7114206666665</v>
      </c>
      <c r="M133" s="9">
        <v>7.0152897122127501E-9</v>
      </c>
      <c r="N133" s="9">
        <v>1.2904878030295701E-7</v>
      </c>
      <c r="O133" s="2">
        <v>5.7593482517033303</v>
      </c>
      <c r="P133" t="s">
        <v>800</v>
      </c>
      <c r="Q133" s="10">
        <f>IF(N133&lt;='[1]statistical criteria'!$B$2,IF(O133&gt;=LOG('[1]statistical criteria'!$B$3,2),1,IF(O133&lt;=-1*LOG('[1]statistical criteria'!$B$3,2),2,"-")),"-")</f>
        <v>1</v>
      </c>
      <c r="R133" t="s">
        <v>802</v>
      </c>
    </row>
    <row r="134" spans="1:21" x14ac:dyDescent="0.35">
      <c r="A134" t="s">
        <v>803</v>
      </c>
      <c r="C134">
        <v>654</v>
      </c>
      <c r="D134" s="4">
        <v>0</v>
      </c>
      <c r="E134" s="4">
        <v>0</v>
      </c>
      <c r="F134" s="4">
        <v>0</v>
      </c>
      <c r="G134" s="4">
        <v>0</v>
      </c>
      <c r="H134" s="6">
        <v>22.960346000000001</v>
      </c>
      <c r="I134" s="6">
        <v>30.825157999999998</v>
      </c>
      <c r="J134" s="6">
        <v>13.207564</v>
      </c>
      <c r="K134" s="7">
        <f t="shared" si="4"/>
        <v>0</v>
      </c>
      <c r="L134" s="8">
        <f t="shared" si="5"/>
        <v>22.331022666666669</v>
      </c>
      <c r="M134" s="9">
        <v>4.6124979256226695E-13</v>
      </c>
      <c r="N134" s="9">
        <v>1.6859622347728999E-11</v>
      </c>
      <c r="O134" s="2">
        <v>5.7422152144283896</v>
      </c>
      <c r="P134" t="s">
        <v>803</v>
      </c>
      <c r="Q134" s="10">
        <f>IF(N134&lt;='[1]statistical criteria'!$B$2,IF(O134&gt;=LOG('[1]statistical criteria'!$B$3,2),1,IF(O134&lt;=-1*LOG('[1]statistical criteria'!$B$3,2),2,"-")),"-")</f>
        <v>1</v>
      </c>
      <c r="S134" t="s">
        <v>804</v>
      </c>
      <c r="T134">
        <v>0.14000000000000001</v>
      </c>
      <c r="U134" t="s">
        <v>805</v>
      </c>
    </row>
    <row r="135" spans="1:21" x14ac:dyDescent="0.35">
      <c r="A135" t="s">
        <v>50</v>
      </c>
      <c r="C135">
        <v>465</v>
      </c>
      <c r="D135" s="5">
        <v>2.4069509999999998</v>
      </c>
      <c r="E135" s="4">
        <v>0</v>
      </c>
      <c r="F135" s="4">
        <v>0</v>
      </c>
      <c r="G135" s="4">
        <v>0</v>
      </c>
      <c r="H135" s="6">
        <v>107.366705</v>
      </c>
      <c r="I135" s="6">
        <v>121.207898</v>
      </c>
      <c r="J135" s="6">
        <v>72.040270000000007</v>
      </c>
      <c r="K135" s="7">
        <f t="shared" si="4"/>
        <v>0.60173774999999996</v>
      </c>
      <c r="L135" s="8">
        <f t="shared" si="5"/>
        <v>100.20495766666666</v>
      </c>
      <c r="M135" s="9">
        <v>2.9119617497676502E-10</v>
      </c>
      <c r="N135" s="9">
        <v>6.8035152974927496E-9</v>
      </c>
      <c r="O135" s="2">
        <v>5.7350518030237696</v>
      </c>
      <c r="P135" t="s">
        <v>50</v>
      </c>
      <c r="Q135" s="10">
        <f>IF(N135&lt;='[1]statistical criteria'!$B$2,IF(O135&gt;=LOG('[1]statistical criteria'!$B$3,2),1,IF(O135&lt;=-1*LOG('[1]statistical criteria'!$B$3,2),2,"-")),"-")</f>
        <v>1</v>
      </c>
    </row>
    <row r="136" spans="1:21" x14ac:dyDescent="0.35">
      <c r="A136" t="s">
        <v>806</v>
      </c>
      <c r="B136" t="s">
        <v>807</v>
      </c>
      <c r="C136">
        <v>1560</v>
      </c>
      <c r="D136" s="5">
        <v>0.24067</v>
      </c>
      <c r="E136" s="4">
        <v>0</v>
      </c>
      <c r="F136" s="4">
        <v>0</v>
      </c>
      <c r="G136" s="4">
        <v>0</v>
      </c>
      <c r="H136" s="6">
        <v>10.026501</v>
      </c>
      <c r="I136" s="6">
        <v>7.0771559999999996</v>
      </c>
      <c r="J136" s="6">
        <v>15.947317999999999</v>
      </c>
      <c r="K136" s="7">
        <f t="shared" si="4"/>
        <v>6.0167499999999999E-2</v>
      </c>
      <c r="L136" s="8">
        <f t="shared" si="5"/>
        <v>11.016991666666664</v>
      </c>
      <c r="M136" s="9">
        <v>1.9500178259943E-9</v>
      </c>
      <c r="N136" s="9">
        <v>4.0052713684480898E-8</v>
      </c>
      <c r="O136" s="2">
        <v>5.7281745932917696</v>
      </c>
      <c r="P136" t="s">
        <v>806</v>
      </c>
      <c r="Q136" s="10">
        <f>IF(N136&lt;='[1]statistical criteria'!$B$2,IF(O136&gt;=LOG('[1]statistical criteria'!$B$3,2),1,IF(O136&lt;=-1*LOG('[1]statistical criteria'!$B$3,2),2,"-")),"-")</f>
        <v>1</v>
      </c>
      <c r="R136" t="s">
        <v>773</v>
      </c>
      <c r="S136" t="s">
        <v>808</v>
      </c>
      <c r="T136" s="9">
        <v>1.0000000000000001E-37</v>
      </c>
      <c r="U136" t="s">
        <v>160</v>
      </c>
    </row>
    <row r="137" spans="1:21" x14ac:dyDescent="0.35">
      <c r="A137" t="s">
        <v>809</v>
      </c>
      <c r="B137" t="s">
        <v>810</v>
      </c>
      <c r="C137">
        <v>2007</v>
      </c>
      <c r="D137" s="4">
        <v>0</v>
      </c>
      <c r="E137" s="5">
        <v>0.29553600000000002</v>
      </c>
      <c r="F137" s="4">
        <v>0</v>
      </c>
      <c r="G137" s="4">
        <v>0</v>
      </c>
      <c r="H137" s="6">
        <v>14.349224</v>
      </c>
      <c r="I137" s="6">
        <v>23.283882999999999</v>
      </c>
      <c r="J137" s="6">
        <v>17.022233</v>
      </c>
      <c r="K137" s="7">
        <f t="shared" si="4"/>
        <v>7.3884000000000005E-2</v>
      </c>
      <c r="L137" s="8">
        <f t="shared" si="5"/>
        <v>18.218446666666665</v>
      </c>
      <c r="M137" s="9">
        <v>1.08888403528131E-13</v>
      </c>
      <c r="N137" s="9">
        <v>4.3624133034533204E-12</v>
      </c>
      <c r="O137" s="2">
        <v>5.7273617585536201</v>
      </c>
      <c r="P137" t="s">
        <v>809</v>
      </c>
      <c r="Q137" s="10">
        <f>IF(N137&lt;='[1]statistical criteria'!$B$2,IF(O137&gt;=LOG('[1]statistical criteria'!$B$3,2),1,IF(O137&lt;=-1*LOG('[1]statistical criteria'!$B$3,2),2,"-")),"-")</f>
        <v>1</v>
      </c>
      <c r="R137" t="s">
        <v>811</v>
      </c>
      <c r="S137" t="s">
        <v>812</v>
      </c>
      <c r="T137">
        <v>0</v>
      </c>
      <c r="U137" t="s">
        <v>813</v>
      </c>
    </row>
    <row r="138" spans="1:21" x14ac:dyDescent="0.35">
      <c r="A138" t="s">
        <v>814</v>
      </c>
      <c r="B138" t="s">
        <v>815</v>
      </c>
      <c r="C138">
        <v>534</v>
      </c>
      <c r="D138" s="5">
        <v>0.98804599999999998</v>
      </c>
      <c r="E138" s="4">
        <v>0</v>
      </c>
      <c r="F138" s="4">
        <v>0</v>
      </c>
      <c r="G138" s="5">
        <v>2.0114649999999998</v>
      </c>
      <c r="H138" s="6">
        <v>168.988563</v>
      </c>
      <c r="I138" s="6">
        <v>197.72100800000001</v>
      </c>
      <c r="J138" s="6">
        <v>134.93618699999999</v>
      </c>
      <c r="K138" s="7">
        <f t="shared" si="4"/>
        <v>0.74987775000000001</v>
      </c>
      <c r="L138" s="8">
        <f t="shared" si="5"/>
        <v>167.21525266666666</v>
      </c>
      <c r="M138" s="9">
        <v>4.1719869590925998E-10</v>
      </c>
      <c r="N138" s="9">
        <v>9.5252443709096901E-9</v>
      </c>
      <c r="O138" s="2">
        <v>5.71910914305146</v>
      </c>
      <c r="P138" t="s">
        <v>814</v>
      </c>
      <c r="Q138" s="10">
        <f>IF(N138&lt;='[1]statistical criteria'!$B$2,IF(O138&gt;=LOG('[1]statistical criteria'!$B$3,2),1,IF(O138&lt;=-1*LOG('[1]statistical criteria'!$B$3,2),2,"-")),"-")</f>
        <v>1</v>
      </c>
      <c r="R138" t="s">
        <v>540</v>
      </c>
      <c r="S138" t="s">
        <v>541</v>
      </c>
      <c r="T138" s="9">
        <v>6.9999999999999997E-93</v>
      </c>
      <c r="U138" t="s">
        <v>542</v>
      </c>
    </row>
    <row r="139" spans="1:21" x14ac:dyDescent="0.35">
      <c r="A139" t="s">
        <v>816</v>
      </c>
      <c r="B139" t="s">
        <v>817</v>
      </c>
      <c r="C139">
        <v>606</v>
      </c>
      <c r="D139" s="5">
        <v>1.4713179999999999</v>
      </c>
      <c r="E139" s="4">
        <v>0</v>
      </c>
      <c r="F139" s="4">
        <v>0</v>
      </c>
      <c r="G139" s="4">
        <v>0</v>
      </c>
      <c r="H139" s="6">
        <v>82.598596999999998</v>
      </c>
      <c r="I139" s="6">
        <v>92.839697000000001</v>
      </c>
      <c r="J139" s="6">
        <v>115.783798</v>
      </c>
      <c r="K139" s="7">
        <f t="shared" si="4"/>
        <v>0.36782949999999998</v>
      </c>
      <c r="L139" s="8">
        <f t="shared" si="5"/>
        <v>97.074030666666658</v>
      </c>
      <c r="M139" s="9">
        <v>8.21132826802595E-10</v>
      </c>
      <c r="N139" s="9">
        <v>1.7909636325562598E-8</v>
      </c>
      <c r="O139" s="2">
        <v>5.7040621394175197</v>
      </c>
      <c r="P139" t="s">
        <v>816</v>
      </c>
      <c r="Q139" s="10">
        <f>IF(N139&lt;='[1]statistical criteria'!$B$2,IF(O139&gt;=LOG('[1]statistical criteria'!$B$3,2),1,IF(O139&lt;=-1*LOG('[1]statistical criteria'!$B$3,2),2,"-")),"-")</f>
        <v>1</v>
      </c>
      <c r="R139" t="s">
        <v>642</v>
      </c>
    </row>
    <row r="140" spans="1:21" x14ac:dyDescent="0.35">
      <c r="A140" t="s">
        <v>818</v>
      </c>
      <c r="B140" t="s">
        <v>819</v>
      </c>
      <c r="C140">
        <v>1440</v>
      </c>
      <c r="D140" s="5">
        <v>0.12762499999999999</v>
      </c>
      <c r="E140" s="4">
        <v>0</v>
      </c>
      <c r="F140" s="4">
        <v>0</v>
      </c>
      <c r="G140" s="5">
        <v>1.4680839999999999</v>
      </c>
      <c r="H140" s="6">
        <v>40.315390000000001</v>
      </c>
      <c r="I140" s="6">
        <v>20.984815999999999</v>
      </c>
      <c r="J140" s="6">
        <v>49.250751000000001</v>
      </c>
      <c r="K140" s="7">
        <f t="shared" si="4"/>
        <v>0.39892724999999996</v>
      </c>
      <c r="L140" s="8">
        <f t="shared" si="5"/>
        <v>36.850319000000006</v>
      </c>
      <c r="M140" s="9">
        <v>1.19353419935449E-9</v>
      </c>
      <c r="N140" s="9">
        <v>2.5462954948112098E-8</v>
      </c>
      <c r="O140" s="2">
        <v>5.7003155122828497</v>
      </c>
      <c r="P140" t="s">
        <v>818</v>
      </c>
      <c r="Q140" s="10">
        <f>IF(N140&lt;='[1]statistical criteria'!$B$2,IF(O140&gt;=LOG('[1]statistical criteria'!$B$3,2),1,IF(O140&lt;=-1*LOG('[1]statistical criteria'!$B$3,2),2,"-")),"-")</f>
        <v>1</v>
      </c>
      <c r="R140" t="s">
        <v>820</v>
      </c>
    </row>
    <row r="141" spans="1:21" x14ac:dyDescent="0.35">
      <c r="A141" t="s">
        <v>253</v>
      </c>
      <c r="B141" t="s">
        <v>254</v>
      </c>
      <c r="C141">
        <v>10568</v>
      </c>
      <c r="D141" s="4">
        <v>0</v>
      </c>
      <c r="E141" s="5">
        <v>0.30362299999999998</v>
      </c>
      <c r="F141" s="5">
        <v>0.127501</v>
      </c>
      <c r="G141" s="4">
        <v>0</v>
      </c>
      <c r="H141" s="6">
        <v>5.4297979999999999</v>
      </c>
      <c r="I141" s="6">
        <v>17.627537</v>
      </c>
      <c r="J141" s="6">
        <v>6.1458890000000004</v>
      </c>
      <c r="K141" s="7">
        <f t="shared" si="4"/>
        <v>0.10778099999999999</v>
      </c>
      <c r="L141" s="8">
        <f t="shared" si="5"/>
        <v>9.7344080000000002</v>
      </c>
      <c r="M141" s="9">
        <v>1.31383064312059E-8</v>
      </c>
      <c r="N141" s="9">
        <v>2.3022280974755899E-7</v>
      </c>
      <c r="O141" s="2">
        <v>5.6955255295335903</v>
      </c>
      <c r="P141" t="s">
        <v>253</v>
      </c>
      <c r="Q141" s="10">
        <f>IF(N141&lt;='[1]statistical criteria'!$B$2,IF(O141&gt;=LOG('[1]statistical criteria'!$B$3,2),1,IF(O141&lt;=-1*LOG('[1]statistical criteria'!$B$3,2),2,"-")),"-")</f>
        <v>1</v>
      </c>
      <c r="R141" t="s">
        <v>255</v>
      </c>
      <c r="S141" t="s">
        <v>256</v>
      </c>
      <c r="T141" s="9">
        <v>5.0000000000000003E-10</v>
      </c>
      <c r="U141" t="s">
        <v>61</v>
      </c>
    </row>
    <row r="142" spans="1:21" x14ac:dyDescent="0.35">
      <c r="A142" t="s">
        <v>821</v>
      </c>
      <c r="B142" t="s">
        <v>822</v>
      </c>
      <c r="C142">
        <v>940</v>
      </c>
      <c r="D142" s="5">
        <v>2.6325020000000001</v>
      </c>
      <c r="E142" s="4">
        <v>0</v>
      </c>
      <c r="F142" s="4">
        <v>0</v>
      </c>
      <c r="G142" s="4">
        <v>0</v>
      </c>
      <c r="H142" s="6">
        <v>38.636879</v>
      </c>
      <c r="I142" s="6">
        <v>44.473956999999999</v>
      </c>
      <c r="J142" s="6">
        <v>37.085461000000002</v>
      </c>
      <c r="K142" s="7">
        <f t="shared" si="4"/>
        <v>0.65812550000000003</v>
      </c>
      <c r="L142" s="8">
        <f t="shared" si="5"/>
        <v>40.065432333333341</v>
      </c>
      <c r="M142" s="9">
        <v>1.4760531005633901E-9</v>
      </c>
      <c r="N142" s="9">
        <v>3.0935341964450797E-8</v>
      </c>
      <c r="O142" s="2">
        <v>5.6942308373873001</v>
      </c>
      <c r="P142" t="s">
        <v>821</v>
      </c>
      <c r="Q142" s="10">
        <f>IF(N142&lt;='[1]statistical criteria'!$B$2,IF(O142&gt;=LOG('[1]statistical criteria'!$B$3,2),1,IF(O142&lt;=-1*LOG('[1]statistical criteria'!$B$3,2),2,"-")),"-")</f>
        <v>1</v>
      </c>
      <c r="R142" t="s">
        <v>823</v>
      </c>
      <c r="S142" t="s">
        <v>824</v>
      </c>
      <c r="T142" s="9">
        <v>6.9999999999999995E-51</v>
      </c>
      <c r="U142" t="s">
        <v>666</v>
      </c>
    </row>
    <row r="143" spans="1:21" x14ac:dyDescent="0.35">
      <c r="A143" t="s">
        <v>825</v>
      </c>
      <c r="B143" t="s">
        <v>826</v>
      </c>
      <c r="C143">
        <v>528</v>
      </c>
      <c r="D143" s="5">
        <v>1.6042350000000001</v>
      </c>
      <c r="E143" s="4">
        <v>0</v>
      </c>
      <c r="F143" s="4">
        <v>0</v>
      </c>
      <c r="G143" s="4">
        <v>0</v>
      </c>
      <c r="H143" s="6">
        <v>94.586388999999997</v>
      </c>
      <c r="I143" s="6">
        <v>46.212192000000002</v>
      </c>
      <c r="J143" s="6">
        <v>81.990724999999998</v>
      </c>
      <c r="K143" s="7">
        <f t="shared" si="4"/>
        <v>0.40105875000000002</v>
      </c>
      <c r="L143" s="8">
        <f t="shared" si="5"/>
        <v>74.263102000000003</v>
      </c>
      <c r="M143" s="9">
        <v>1.3376972349425099E-9</v>
      </c>
      <c r="N143" s="9">
        <v>2.83005874162935E-8</v>
      </c>
      <c r="O143" s="2">
        <v>5.6940026572851501</v>
      </c>
      <c r="P143" t="s">
        <v>825</v>
      </c>
      <c r="Q143" s="10">
        <f>IF(N143&lt;='[1]statistical criteria'!$B$2,IF(O143&gt;=LOG('[1]statistical criteria'!$B$3,2),1,IF(O143&lt;=-1*LOG('[1]statistical criteria'!$B$3,2),2,"-")),"-")</f>
        <v>1</v>
      </c>
      <c r="R143" t="s">
        <v>827</v>
      </c>
    </row>
    <row r="144" spans="1:21" x14ac:dyDescent="0.35">
      <c r="A144" t="s">
        <v>47</v>
      </c>
      <c r="B144" t="s">
        <v>48</v>
      </c>
      <c r="C144">
        <v>447</v>
      </c>
      <c r="D144" s="4">
        <v>0</v>
      </c>
      <c r="E144" s="4">
        <v>0</v>
      </c>
      <c r="F144" s="4">
        <v>0</v>
      </c>
      <c r="G144" s="4">
        <v>0</v>
      </c>
      <c r="H144" s="6">
        <v>62.741394999999997</v>
      </c>
      <c r="I144" s="6">
        <v>41.901102000000002</v>
      </c>
      <c r="J144" s="6">
        <v>43.881531000000003</v>
      </c>
      <c r="K144" s="7">
        <f t="shared" si="4"/>
        <v>0</v>
      </c>
      <c r="L144" s="8">
        <f t="shared" si="5"/>
        <v>49.508009333333327</v>
      </c>
      <c r="M144" s="9">
        <v>6.9211243095778403E-10</v>
      </c>
      <c r="N144" s="9">
        <v>1.52352800013032E-8</v>
      </c>
      <c r="O144" s="2">
        <v>5.6910273916737202</v>
      </c>
      <c r="P144" t="s">
        <v>47</v>
      </c>
      <c r="Q144" s="10">
        <f>IF(N144&lt;='[1]statistical criteria'!$B$2,IF(O144&gt;=LOG('[1]statistical criteria'!$B$3,2),1,IF(O144&lt;=-1*LOG('[1]statistical criteria'!$B$3,2),2,"-")),"-")</f>
        <v>1</v>
      </c>
      <c r="R144" t="s">
        <v>49</v>
      </c>
    </row>
    <row r="145" spans="1:21" x14ac:dyDescent="0.35">
      <c r="A145" t="s">
        <v>246</v>
      </c>
      <c r="B145" t="s">
        <v>247</v>
      </c>
      <c r="C145">
        <v>873</v>
      </c>
      <c r="D145" s="4">
        <v>0</v>
      </c>
      <c r="E145" s="4">
        <v>0</v>
      </c>
      <c r="F145" s="4">
        <v>0</v>
      </c>
      <c r="G145" s="4">
        <v>0</v>
      </c>
      <c r="H145" s="6">
        <v>14.355276999999999</v>
      </c>
      <c r="I145" s="6">
        <v>8.8422800000000006</v>
      </c>
      <c r="J145" s="6">
        <v>29.521291999999999</v>
      </c>
      <c r="K145" s="7">
        <f t="shared" si="4"/>
        <v>0</v>
      </c>
      <c r="L145" s="8">
        <f t="shared" si="5"/>
        <v>17.572949666666666</v>
      </c>
      <c r="M145" s="9">
        <v>3.0545906868569701E-10</v>
      </c>
      <c r="N145" s="9">
        <v>7.1062176981525798E-9</v>
      </c>
      <c r="O145" s="2">
        <v>5.6866360688026001</v>
      </c>
      <c r="P145" t="s">
        <v>246</v>
      </c>
      <c r="Q145" s="10">
        <f>IF(N145&lt;='[1]statistical criteria'!$B$2,IF(O145&gt;=LOG('[1]statistical criteria'!$B$3,2),1,IF(O145&lt;=-1*LOG('[1]statistical criteria'!$B$3,2),2,"-")),"-")</f>
        <v>1</v>
      </c>
      <c r="R145" t="s">
        <v>248</v>
      </c>
      <c r="S145" t="s">
        <v>249</v>
      </c>
      <c r="T145" s="9">
        <v>9.9999999999999993E-125</v>
      </c>
      <c r="U145" t="s">
        <v>250</v>
      </c>
    </row>
    <row r="146" spans="1:21" x14ac:dyDescent="0.35">
      <c r="A146" t="s">
        <v>828</v>
      </c>
      <c r="B146" t="s">
        <v>829</v>
      </c>
      <c r="C146">
        <v>438</v>
      </c>
      <c r="D146" s="4">
        <v>0</v>
      </c>
      <c r="E146" s="4">
        <v>0</v>
      </c>
      <c r="F146" s="4">
        <v>0</v>
      </c>
      <c r="G146" s="4">
        <v>0</v>
      </c>
      <c r="H146" s="6">
        <v>40.211100999999999</v>
      </c>
      <c r="I146" s="6">
        <v>33.685200000000002</v>
      </c>
      <c r="J146" s="6">
        <v>79.832663999999994</v>
      </c>
      <c r="K146" s="7">
        <f t="shared" si="4"/>
        <v>0</v>
      </c>
      <c r="L146" s="8">
        <f t="shared" si="5"/>
        <v>51.242988333333329</v>
      </c>
      <c r="M146" s="9">
        <v>3.6633909923516799E-10</v>
      </c>
      <c r="N146" s="9">
        <v>8.4502218890245499E-9</v>
      </c>
      <c r="O146" s="2">
        <v>5.68441103641553</v>
      </c>
      <c r="P146" t="s">
        <v>828</v>
      </c>
      <c r="Q146" s="10">
        <f>IF(N146&lt;='[1]statistical criteria'!$B$2,IF(O146&gt;=LOG('[1]statistical criteria'!$B$3,2),1,IF(O146&lt;=-1*LOG('[1]statistical criteria'!$B$3,2),2,"-")),"-")</f>
        <v>1</v>
      </c>
      <c r="R146" t="s">
        <v>830</v>
      </c>
      <c r="S146" t="s">
        <v>831</v>
      </c>
      <c r="T146" s="9">
        <v>8.0000000000000003E-84</v>
      </c>
      <c r="U146" t="s">
        <v>832</v>
      </c>
    </row>
    <row r="147" spans="1:21" x14ac:dyDescent="0.35">
      <c r="A147" t="s">
        <v>833</v>
      </c>
      <c r="B147" t="s">
        <v>834</v>
      </c>
      <c r="C147">
        <v>555</v>
      </c>
      <c r="D147" s="4">
        <v>0</v>
      </c>
      <c r="E147" s="4">
        <v>0</v>
      </c>
      <c r="F147" s="4">
        <v>0</v>
      </c>
      <c r="G147" s="4">
        <v>0</v>
      </c>
      <c r="H147" s="6">
        <v>74.377903000000003</v>
      </c>
      <c r="I147" s="6">
        <v>18.964573999999999</v>
      </c>
      <c r="J147" s="6">
        <v>42.234699999999997</v>
      </c>
      <c r="K147" s="7">
        <f t="shared" si="4"/>
        <v>0</v>
      </c>
      <c r="L147" s="8">
        <f t="shared" si="5"/>
        <v>45.192392333333338</v>
      </c>
      <c r="M147" s="9">
        <v>1.30849502123646E-11</v>
      </c>
      <c r="N147" s="9">
        <v>3.8103535201423E-10</v>
      </c>
      <c r="O147" s="2">
        <v>5.6589665422794404</v>
      </c>
      <c r="P147" t="s">
        <v>833</v>
      </c>
      <c r="Q147" s="10">
        <f>IF(N147&lt;='[1]statistical criteria'!$B$2,IF(O147&gt;=LOG('[1]statistical criteria'!$B$3,2),1,IF(O147&lt;=-1*LOG('[1]statistical criteria'!$B$3,2),2,"-")),"-")</f>
        <v>1</v>
      </c>
      <c r="R147" t="s">
        <v>835</v>
      </c>
      <c r="S147" t="s">
        <v>836</v>
      </c>
      <c r="T147" s="9">
        <v>1E-70</v>
      </c>
      <c r="U147" t="s">
        <v>837</v>
      </c>
    </row>
    <row r="148" spans="1:21" x14ac:dyDescent="0.35">
      <c r="A148" t="s">
        <v>838</v>
      </c>
      <c r="B148" t="s">
        <v>839</v>
      </c>
      <c r="C148">
        <v>841</v>
      </c>
      <c r="D148" s="5">
        <v>0.81508999999999998</v>
      </c>
      <c r="E148" s="5">
        <v>2.904004</v>
      </c>
      <c r="F148" s="5">
        <v>0.15446199999999999</v>
      </c>
      <c r="G148" s="4">
        <v>0</v>
      </c>
      <c r="H148" s="6">
        <v>157.988663</v>
      </c>
      <c r="I148" s="6">
        <v>88.227845000000002</v>
      </c>
      <c r="J148" s="6">
        <v>232.76215199999999</v>
      </c>
      <c r="K148" s="7">
        <f t="shared" si="4"/>
        <v>0.96838900000000006</v>
      </c>
      <c r="L148" s="8">
        <f t="shared" si="5"/>
        <v>159.65955333333332</v>
      </c>
      <c r="M148" s="9">
        <v>1.3820854217081999E-11</v>
      </c>
      <c r="N148" s="9">
        <v>4.0093118254736299E-10</v>
      </c>
      <c r="O148" s="2">
        <v>5.6384459883313198</v>
      </c>
      <c r="P148" t="s">
        <v>838</v>
      </c>
      <c r="Q148" s="10">
        <f>IF(N148&lt;='[1]statistical criteria'!$B$2,IF(O148&gt;=LOG('[1]statistical criteria'!$B$3,2),1,IF(O148&lt;=-1*LOG('[1]statistical criteria'!$B$3,2),2,"-")),"-")</f>
        <v>1</v>
      </c>
      <c r="R148" t="s">
        <v>436</v>
      </c>
      <c r="S148" t="s">
        <v>442</v>
      </c>
      <c r="T148" s="9">
        <v>1.9999999999999999E-82</v>
      </c>
      <c r="U148" t="s">
        <v>443</v>
      </c>
    </row>
    <row r="149" spans="1:21" x14ac:dyDescent="0.35">
      <c r="A149" t="s">
        <v>840</v>
      </c>
      <c r="B149" t="s">
        <v>841</v>
      </c>
      <c r="C149">
        <v>2841</v>
      </c>
      <c r="D149" s="5">
        <v>0.79308999999999996</v>
      </c>
      <c r="E149" s="4">
        <v>0</v>
      </c>
      <c r="F149" s="4">
        <v>0</v>
      </c>
      <c r="G149" s="5">
        <v>0.373359</v>
      </c>
      <c r="H149" s="6">
        <v>45.617027</v>
      </c>
      <c r="I149" s="6">
        <v>14.164482</v>
      </c>
      <c r="J149" s="6">
        <v>41.801583000000001</v>
      </c>
      <c r="K149" s="7">
        <f t="shared" si="4"/>
        <v>0.29161225000000002</v>
      </c>
      <c r="L149" s="8">
        <f t="shared" si="5"/>
        <v>33.861030666666665</v>
      </c>
      <c r="M149" s="9">
        <v>3.2340999693874598E-9</v>
      </c>
      <c r="N149" s="9">
        <v>6.3678140111167596E-8</v>
      </c>
      <c r="O149" s="2">
        <v>5.6327293432091903</v>
      </c>
      <c r="P149" t="s">
        <v>840</v>
      </c>
      <c r="Q149" s="10">
        <f>IF(N149&lt;='[1]statistical criteria'!$B$2,IF(O149&gt;=LOG('[1]statistical criteria'!$B$3,2),1,IF(O149&lt;=-1*LOG('[1]statistical criteria'!$B$3,2),2,"-")),"-")</f>
        <v>1</v>
      </c>
      <c r="S149" t="s">
        <v>842</v>
      </c>
      <c r="T149" s="9">
        <v>4E-150</v>
      </c>
      <c r="U149" t="s">
        <v>843</v>
      </c>
    </row>
    <row r="150" spans="1:21" x14ac:dyDescent="0.35">
      <c r="A150" t="s">
        <v>844</v>
      </c>
      <c r="B150" t="s">
        <v>845</v>
      </c>
      <c r="C150">
        <v>798</v>
      </c>
      <c r="D150" s="4">
        <v>0</v>
      </c>
      <c r="E150" s="5">
        <v>0.12268900000000001</v>
      </c>
      <c r="F150" s="5">
        <v>1.567177</v>
      </c>
      <c r="G150" s="5">
        <v>1.2360530000000001</v>
      </c>
      <c r="H150" s="6">
        <v>103.422757</v>
      </c>
      <c r="I150" s="6">
        <v>191.99067400000001</v>
      </c>
      <c r="J150" s="6">
        <v>129.48991100000001</v>
      </c>
      <c r="K150" s="7">
        <f t="shared" si="4"/>
        <v>0.7314797500000001</v>
      </c>
      <c r="L150" s="8">
        <f t="shared" si="5"/>
        <v>141.63444733333333</v>
      </c>
      <c r="M150" s="9">
        <v>9.5747917406962195E-15</v>
      </c>
      <c r="N150" s="9">
        <v>4.4332916502542402E-13</v>
      </c>
      <c r="O150" s="2">
        <v>5.6314237402890699</v>
      </c>
      <c r="P150" t="s">
        <v>844</v>
      </c>
      <c r="Q150" s="10">
        <f>IF(N150&lt;='[1]statistical criteria'!$B$2,IF(O150&gt;=LOG('[1]statistical criteria'!$B$3,2),1,IF(O150&lt;=-1*LOG('[1]statistical criteria'!$B$3,2),2,"-")),"-")</f>
        <v>1</v>
      </c>
      <c r="S150" t="s">
        <v>133</v>
      </c>
      <c r="T150" t="s">
        <v>133</v>
      </c>
      <c r="U150" t="s">
        <v>134</v>
      </c>
    </row>
    <row r="151" spans="1:21" x14ac:dyDescent="0.35">
      <c r="A151" t="s">
        <v>846</v>
      </c>
      <c r="B151" t="s">
        <v>847</v>
      </c>
      <c r="C151">
        <v>1515</v>
      </c>
      <c r="D151" s="5">
        <v>1.2358039999999999</v>
      </c>
      <c r="E151" s="5">
        <v>2.121397</v>
      </c>
      <c r="F151" s="5">
        <v>0.12111</v>
      </c>
      <c r="G151" s="4">
        <v>0</v>
      </c>
      <c r="H151" s="6">
        <v>69.171779999999998</v>
      </c>
      <c r="I151" s="6">
        <v>116.228745</v>
      </c>
      <c r="J151" s="6">
        <v>107.644147</v>
      </c>
      <c r="K151" s="7">
        <f t="shared" si="4"/>
        <v>0.86957774999999993</v>
      </c>
      <c r="L151" s="8">
        <f t="shared" si="5"/>
        <v>97.68155733333333</v>
      </c>
      <c r="M151" s="9">
        <v>2.7354686587448299E-13</v>
      </c>
      <c r="N151" s="9">
        <v>1.03081125892899E-11</v>
      </c>
      <c r="O151" s="2">
        <v>5.6276306402443899</v>
      </c>
      <c r="P151" t="s">
        <v>846</v>
      </c>
      <c r="Q151" s="10">
        <f>IF(N151&lt;='[1]statistical criteria'!$B$2,IF(O151&gt;=LOG('[1]statistical criteria'!$B$3,2),1,IF(O151&lt;=-1*LOG('[1]statistical criteria'!$B$3,2),2,"-")),"-")</f>
        <v>1</v>
      </c>
      <c r="R151" t="s">
        <v>848</v>
      </c>
      <c r="S151" t="s">
        <v>849</v>
      </c>
      <c r="T151">
        <v>0</v>
      </c>
      <c r="U151" t="s">
        <v>850</v>
      </c>
    </row>
    <row r="152" spans="1:21" x14ac:dyDescent="0.35">
      <c r="A152" t="s">
        <v>851</v>
      </c>
      <c r="B152" t="s">
        <v>852</v>
      </c>
      <c r="C152">
        <v>1497</v>
      </c>
      <c r="D152" s="4">
        <v>0</v>
      </c>
      <c r="E152" s="4">
        <v>0</v>
      </c>
      <c r="F152" s="5">
        <v>0.96291800000000005</v>
      </c>
      <c r="G152" s="4">
        <v>0</v>
      </c>
      <c r="H152" s="6">
        <v>26.441731999999998</v>
      </c>
      <c r="I152" s="6">
        <v>13.572146999999999</v>
      </c>
      <c r="J152" s="6">
        <v>26.152450000000002</v>
      </c>
      <c r="K152" s="7">
        <f t="shared" si="4"/>
        <v>0.24072950000000001</v>
      </c>
      <c r="L152" s="8">
        <f t="shared" si="5"/>
        <v>22.055442999999997</v>
      </c>
      <c r="M152" s="9">
        <v>3.2825861157163501E-9</v>
      </c>
      <c r="N152" s="9">
        <v>6.4566009077087598E-8</v>
      </c>
      <c r="O152" s="2">
        <v>5.6183215233687802</v>
      </c>
      <c r="P152" t="s">
        <v>851</v>
      </c>
      <c r="Q152" s="10">
        <f>IF(N152&lt;='[1]statistical criteria'!$B$2,IF(O152&gt;=LOG('[1]statistical criteria'!$B$3,2),1,IF(O152&lt;=-1*LOG('[1]statistical criteria'!$B$3,2),2,"-")),"-")</f>
        <v>1</v>
      </c>
      <c r="R152" t="s">
        <v>853</v>
      </c>
      <c r="S152" t="s">
        <v>854</v>
      </c>
      <c r="T152" s="9">
        <v>9.9999999999999998E-114</v>
      </c>
      <c r="U152" t="s">
        <v>855</v>
      </c>
    </row>
    <row r="153" spans="1:21" x14ac:dyDescent="0.35">
      <c r="A153" t="s">
        <v>856</v>
      </c>
      <c r="B153" t="s">
        <v>857</v>
      </c>
      <c r="C153">
        <v>1218</v>
      </c>
      <c r="D153" s="4">
        <v>0</v>
      </c>
      <c r="E153" s="4">
        <v>0</v>
      </c>
      <c r="F153" s="4">
        <v>0</v>
      </c>
      <c r="G153" s="4">
        <v>0</v>
      </c>
      <c r="H153" s="6">
        <v>9.6348699999999994</v>
      </c>
      <c r="I153" s="6">
        <v>11.685943</v>
      </c>
      <c r="J153" s="6">
        <v>12.662436</v>
      </c>
      <c r="K153" s="7">
        <f t="shared" si="4"/>
        <v>0</v>
      </c>
      <c r="L153" s="8">
        <f t="shared" si="5"/>
        <v>11.327749666666667</v>
      </c>
      <c r="M153" s="9">
        <v>3.2715344262350598E-11</v>
      </c>
      <c r="N153" s="9">
        <v>9.0032248924444297E-10</v>
      </c>
      <c r="O153" s="2">
        <v>5.61805716707567</v>
      </c>
      <c r="P153" t="s">
        <v>856</v>
      </c>
      <c r="Q153" s="10">
        <f>IF(N153&lt;='[1]statistical criteria'!$B$2,IF(O153&gt;=LOG('[1]statistical criteria'!$B$3,2),1,IF(O153&lt;=-1*LOG('[1]statistical criteria'!$B$3,2),2,"-")),"-")</f>
        <v>1</v>
      </c>
      <c r="S153" t="s">
        <v>858</v>
      </c>
      <c r="T153" s="9">
        <v>4.0000000000000003E-31</v>
      </c>
      <c r="U153" t="s">
        <v>61</v>
      </c>
    </row>
    <row r="154" spans="1:21" x14ac:dyDescent="0.35">
      <c r="A154" t="s">
        <v>859</v>
      </c>
      <c r="B154" t="s">
        <v>860</v>
      </c>
      <c r="C154">
        <v>1359</v>
      </c>
      <c r="D154" s="4">
        <v>0</v>
      </c>
      <c r="E154" s="4">
        <v>0</v>
      </c>
      <c r="F154" s="4">
        <v>0</v>
      </c>
      <c r="G154" s="4">
        <v>0</v>
      </c>
      <c r="H154" s="6">
        <v>22.237838</v>
      </c>
      <c r="I154" s="6">
        <v>9.0872919999999997</v>
      </c>
      <c r="J154" s="6">
        <v>11.358969999999999</v>
      </c>
      <c r="K154" s="7">
        <f t="shared" si="4"/>
        <v>0</v>
      </c>
      <c r="L154" s="8">
        <f t="shared" si="5"/>
        <v>14.228033333333334</v>
      </c>
      <c r="M154" s="9">
        <v>2.4074750610610398E-9</v>
      </c>
      <c r="N154" s="9">
        <v>4.8557764082662E-8</v>
      </c>
      <c r="O154" s="2">
        <v>5.6180035181133796</v>
      </c>
      <c r="P154" t="s">
        <v>859</v>
      </c>
      <c r="Q154" s="10">
        <f>IF(N154&lt;='[1]statistical criteria'!$B$2,IF(O154&gt;=LOG('[1]statistical criteria'!$B$3,2),1,IF(O154&lt;=-1*LOG('[1]statistical criteria'!$B$3,2),2,"-")),"-")</f>
        <v>1</v>
      </c>
      <c r="R154" t="s">
        <v>861</v>
      </c>
      <c r="S154" t="s">
        <v>862</v>
      </c>
      <c r="T154" s="9">
        <v>4.0000000000000001E-179</v>
      </c>
      <c r="U154" t="s">
        <v>863</v>
      </c>
    </row>
    <row r="155" spans="1:21" x14ac:dyDescent="0.35">
      <c r="A155" t="s">
        <v>864</v>
      </c>
      <c r="B155" t="s">
        <v>865</v>
      </c>
      <c r="C155">
        <v>1054</v>
      </c>
      <c r="D155" s="4">
        <v>0</v>
      </c>
      <c r="E155" s="4">
        <v>0</v>
      </c>
      <c r="F155" s="4">
        <v>0</v>
      </c>
      <c r="G155" s="5">
        <v>0.14926300000000001</v>
      </c>
      <c r="H155" s="6">
        <v>25.899318000000001</v>
      </c>
      <c r="I155" s="6">
        <v>22.284866999999998</v>
      </c>
      <c r="J155" s="6">
        <v>14.664826</v>
      </c>
      <c r="K155" s="7">
        <f t="shared" si="4"/>
        <v>3.7315750000000002E-2</v>
      </c>
      <c r="L155" s="8">
        <f t="shared" si="5"/>
        <v>20.949670333333334</v>
      </c>
      <c r="M155" s="9">
        <v>4.5947239799139401E-9</v>
      </c>
      <c r="N155" s="9">
        <v>8.7832845140896198E-8</v>
      </c>
      <c r="O155" s="2">
        <v>5.6179478842347201</v>
      </c>
      <c r="P155" t="s">
        <v>864</v>
      </c>
      <c r="Q155" s="10">
        <f>IF(N155&lt;='[1]statistical criteria'!$B$2,IF(O155&gt;=LOG('[1]statistical criteria'!$B$3,2),1,IF(O155&lt;=-1*LOG('[1]statistical criteria'!$B$3,2),2,"-")),"-")</f>
        <v>1</v>
      </c>
      <c r="S155" t="s">
        <v>866</v>
      </c>
      <c r="T155" s="9">
        <v>1.9999999999999999E-38</v>
      </c>
      <c r="U155" t="s">
        <v>61</v>
      </c>
    </row>
    <row r="156" spans="1:21" x14ac:dyDescent="0.35">
      <c r="A156" t="s">
        <v>867</v>
      </c>
      <c r="B156" t="s">
        <v>868</v>
      </c>
      <c r="C156">
        <v>1446</v>
      </c>
      <c r="D156" s="4">
        <v>0</v>
      </c>
      <c r="E156" s="4">
        <v>0</v>
      </c>
      <c r="F156" s="4">
        <v>0</v>
      </c>
      <c r="G156" s="4">
        <v>0</v>
      </c>
      <c r="H156" s="6">
        <v>4.719214</v>
      </c>
      <c r="I156" s="6">
        <v>10.996026000000001</v>
      </c>
      <c r="J156" s="6">
        <v>8.4875299999999996</v>
      </c>
      <c r="K156" s="7">
        <f t="shared" si="4"/>
        <v>0</v>
      </c>
      <c r="L156" s="8">
        <f t="shared" si="5"/>
        <v>8.0675900000000009</v>
      </c>
      <c r="M156" s="9">
        <v>1.1144195445406099E-12</v>
      </c>
      <c r="N156" s="9">
        <v>3.8040186426202403E-11</v>
      </c>
      <c r="O156" s="2">
        <v>5.6159645848778803</v>
      </c>
      <c r="P156" t="s">
        <v>867</v>
      </c>
      <c r="Q156" s="10">
        <f>IF(N156&lt;='[1]statistical criteria'!$B$2,IF(O156&gt;=LOG('[1]statistical criteria'!$B$3,2),1,IF(O156&lt;=-1*LOG('[1]statistical criteria'!$B$3,2),2,"-")),"-")</f>
        <v>1</v>
      </c>
      <c r="R156" t="s">
        <v>869</v>
      </c>
      <c r="S156" t="s">
        <v>870</v>
      </c>
      <c r="T156" s="9">
        <v>1E-150</v>
      </c>
      <c r="U156" t="s">
        <v>871</v>
      </c>
    </row>
    <row r="157" spans="1:21" x14ac:dyDescent="0.35">
      <c r="A157" t="s">
        <v>872</v>
      </c>
      <c r="B157" t="s">
        <v>873</v>
      </c>
      <c r="C157">
        <v>1926</v>
      </c>
      <c r="D157" s="4">
        <v>0</v>
      </c>
      <c r="E157" s="4">
        <v>0</v>
      </c>
      <c r="F157" s="4">
        <v>0</v>
      </c>
      <c r="G157" s="4">
        <v>0</v>
      </c>
      <c r="H157" s="6">
        <v>7.0061720000000003</v>
      </c>
      <c r="I157" s="6">
        <v>7.4943070000000001</v>
      </c>
      <c r="J157" s="6">
        <v>11.626286</v>
      </c>
      <c r="K157" s="7">
        <f t="shared" si="4"/>
        <v>0</v>
      </c>
      <c r="L157" s="8">
        <f t="shared" si="5"/>
        <v>8.7089216666666669</v>
      </c>
      <c r="M157" s="9">
        <v>2.3912832713904401E-9</v>
      </c>
      <c r="N157" s="9">
        <v>4.8359320568076502E-8</v>
      </c>
      <c r="O157" s="2">
        <v>5.5863790475792303</v>
      </c>
      <c r="P157" t="s">
        <v>872</v>
      </c>
      <c r="Q157" s="10">
        <f>IF(N157&lt;='[1]statistical criteria'!$B$2,IF(O157&gt;=LOG('[1]statistical criteria'!$B$3,2),1,IF(O157&lt;=-1*LOG('[1]statistical criteria'!$B$3,2),2,"-")),"-")</f>
        <v>1</v>
      </c>
      <c r="R157" t="s">
        <v>874</v>
      </c>
      <c r="S157" t="s">
        <v>875</v>
      </c>
      <c r="T157">
        <v>0</v>
      </c>
      <c r="U157" t="s">
        <v>61</v>
      </c>
    </row>
    <row r="158" spans="1:21" x14ac:dyDescent="0.35">
      <c r="A158" t="s">
        <v>876</v>
      </c>
      <c r="B158" t="s">
        <v>877</v>
      </c>
      <c r="C158">
        <v>1500</v>
      </c>
      <c r="D158" s="4">
        <v>0</v>
      </c>
      <c r="E158" s="4">
        <v>0</v>
      </c>
      <c r="F158" s="5">
        <v>0.68434099999999998</v>
      </c>
      <c r="G158" s="5">
        <v>0.23294999999999999</v>
      </c>
      <c r="H158" s="6">
        <v>47.365124999999999</v>
      </c>
      <c r="I158" s="6">
        <v>15.063516999999999</v>
      </c>
      <c r="J158" s="6">
        <v>47.116746999999997</v>
      </c>
      <c r="K158" s="7">
        <f t="shared" si="4"/>
        <v>0.22932274999999999</v>
      </c>
      <c r="L158" s="8">
        <f t="shared" si="5"/>
        <v>36.515129666666667</v>
      </c>
      <c r="M158" s="9">
        <v>2.3267975832881E-11</v>
      </c>
      <c r="N158" s="9">
        <v>6.5068270404074297E-10</v>
      </c>
      <c r="O158" s="2">
        <v>5.5453624650326701</v>
      </c>
      <c r="P158" t="s">
        <v>876</v>
      </c>
      <c r="Q158" s="10">
        <f>IF(N158&lt;='[1]statistical criteria'!$B$2,IF(O158&gt;=LOG('[1]statistical criteria'!$B$3,2),1,IF(O158&lt;=-1*LOG('[1]statistical criteria'!$B$3,2),2,"-")),"-")</f>
        <v>1</v>
      </c>
      <c r="R158" t="s">
        <v>878</v>
      </c>
      <c r="S158" t="s">
        <v>879</v>
      </c>
      <c r="T158" s="9">
        <v>1E-26</v>
      </c>
      <c r="U158" t="s">
        <v>880</v>
      </c>
    </row>
    <row r="159" spans="1:21" x14ac:dyDescent="0.35">
      <c r="A159" t="s">
        <v>881</v>
      </c>
      <c r="B159" t="s">
        <v>882</v>
      </c>
      <c r="C159">
        <v>459</v>
      </c>
      <c r="D159" s="4">
        <v>0</v>
      </c>
      <c r="E159" s="4">
        <v>0</v>
      </c>
      <c r="F159" s="4">
        <v>0</v>
      </c>
      <c r="G159" s="4">
        <v>0</v>
      </c>
      <c r="H159" s="6">
        <v>57.414295000000003</v>
      </c>
      <c r="I159" s="6">
        <v>38.614741000000002</v>
      </c>
      <c r="J159" s="6">
        <v>33.082841000000002</v>
      </c>
      <c r="K159" s="7">
        <f t="shared" si="4"/>
        <v>0</v>
      </c>
      <c r="L159" s="8">
        <f t="shared" si="5"/>
        <v>43.037292333333333</v>
      </c>
      <c r="M159" s="9">
        <v>4.9059394316162103E-9</v>
      </c>
      <c r="N159" s="9">
        <v>9.3315315589581204E-8</v>
      </c>
      <c r="O159" s="2">
        <v>5.5406507064002604</v>
      </c>
      <c r="P159" t="s">
        <v>881</v>
      </c>
      <c r="Q159" s="10">
        <f>IF(N159&lt;='[1]statistical criteria'!$B$2,IF(O159&gt;=LOG('[1]statistical criteria'!$B$3,2),1,IF(O159&lt;=-1*LOG('[1]statistical criteria'!$B$3,2),2,"-")),"-")</f>
        <v>1</v>
      </c>
      <c r="R159" t="s">
        <v>883</v>
      </c>
      <c r="S159" t="s">
        <v>884</v>
      </c>
      <c r="T159" s="9">
        <v>2E-52</v>
      </c>
      <c r="U159" t="s">
        <v>885</v>
      </c>
    </row>
    <row r="160" spans="1:21" x14ac:dyDescent="0.35">
      <c r="A160" t="s">
        <v>886</v>
      </c>
      <c r="B160" t="s">
        <v>887</v>
      </c>
      <c r="C160">
        <v>369</v>
      </c>
      <c r="D160" s="5">
        <v>3.644199</v>
      </c>
      <c r="E160" s="4">
        <v>0</v>
      </c>
      <c r="F160" s="4">
        <v>0</v>
      </c>
      <c r="G160" s="4">
        <v>0</v>
      </c>
      <c r="H160" s="6">
        <v>72.782803999999999</v>
      </c>
      <c r="I160" s="6">
        <v>206.598715</v>
      </c>
      <c r="J160" s="6">
        <v>84.488367999999994</v>
      </c>
      <c r="K160" s="7">
        <f t="shared" si="4"/>
        <v>0.91104974999999999</v>
      </c>
      <c r="L160" s="8">
        <f t="shared" si="5"/>
        <v>121.28996233333334</v>
      </c>
      <c r="M160" s="9">
        <v>4.5613777548302303E-12</v>
      </c>
      <c r="N160" s="9">
        <v>1.4148821299823799E-10</v>
      </c>
      <c r="O160" s="2">
        <v>5.5262796946726196</v>
      </c>
      <c r="P160" t="s">
        <v>886</v>
      </c>
      <c r="Q160" s="10">
        <f>IF(N160&lt;='[1]statistical criteria'!$B$2,IF(O160&gt;=LOG('[1]statistical criteria'!$B$3,2),1,IF(O160&lt;=-1*LOG('[1]statistical criteria'!$B$3,2),2,"-")),"-")</f>
        <v>1</v>
      </c>
      <c r="S160" t="s">
        <v>888</v>
      </c>
      <c r="T160">
        <v>0.33</v>
      </c>
      <c r="U160" t="s">
        <v>889</v>
      </c>
    </row>
    <row r="161" spans="1:21" x14ac:dyDescent="0.35">
      <c r="A161" t="s">
        <v>890</v>
      </c>
      <c r="B161" t="s">
        <v>891</v>
      </c>
      <c r="C161">
        <v>998</v>
      </c>
      <c r="D161" s="5">
        <v>1.6396230000000001</v>
      </c>
      <c r="E161" s="5">
        <v>3.478259</v>
      </c>
      <c r="F161" s="4">
        <v>0</v>
      </c>
      <c r="G161" s="4">
        <v>0</v>
      </c>
      <c r="H161" s="6">
        <v>76.694723999999994</v>
      </c>
      <c r="I161" s="6">
        <v>79.541146999999995</v>
      </c>
      <c r="J161" s="6">
        <v>99.004362999999998</v>
      </c>
      <c r="K161" s="7">
        <f t="shared" si="4"/>
        <v>1.2794705</v>
      </c>
      <c r="L161" s="8">
        <f t="shared" si="5"/>
        <v>85.080078</v>
      </c>
      <c r="M161" s="9">
        <v>1.25257981769916E-8</v>
      </c>
      <c r="N161" s="9">
        <v>2.19894777959549E-7</v>
      </c>
      <c r="O161" s="2">
        <v>5.5215470571719196</v>
      </c>
      <c r="P161" t="s">
        <v>890</v>
      </c>
      <c r="Q161" s="10">
        <f>IF(N161&lt;='[1]statistical criteria'!$B$2,IF(O161&gt;=LOG('[1]statistical criteria'!$B$3,2),1,IF(O161&lt;=-1*LOG('[1]statistical criteria'!$B$3,2),2,"-")),"-")</f>
        <v>1</v>
      </c>
      <c r="R161" t="s">
        <v>892</v>
      </c>
      <c r="S161" t="s">
        <v>893</v>
      </c>
      <c r="T161">
        <v>0</v>
      </c>
      <c r="U161" t="s">
        <v>894</v>
      </c>
    </row>
    <row r="162" spans="1:21" x14ac:dyDescent="0.35">
      <c r="A162" t="s">
        <v>895</v>
      </c>
      <c r="B162" t="s">
        <v>896</v>
      </c>
      <c r="C162">
        <v>1599</v>
      </c>
      <c r="D162" s="4">
        <v>0</v>
      </c>
      <c r="E162" s="4">
        <v>0</v>
      </c>
      <c r="F162" s="5">
        <v>3.4707910000000002</v>
      </c>
      <c r="G162" s="4">
        <v>0</v>
      </c>
      <c r="H162" s="6">
        <v>23.867099</v>
      </c>
      <c r="I162" s="6">
        <v>20.334983000000001</v>
      </c>
      <c r="J162" s="6">
        <v>28.750381999999998</v>
      </c>
      <c r="K162" s="7">
        <f t="shared" si="4"/>
        <v>0.86769775000000005</v>
      </c>
      <c r="L162" s="8">
        <f t="shared" si="5"/>
        <v>24.317488000000001</v>
      </c>
      <c r="M162" s="9">
        <v>2.6086424539057299E-9</v>
      </c>
      <c r="N162" s="9">
        <v>5.2282744494814198E-8</v>
      </c>
      <c r="O162" s="2">
        <v>5.5207609586332902</v>
      </c>
      <c r="P162" t="s">
        <v>895</v>
      </c>
      <c r="Q162" s="10">
        <f>IF(N162&lt;='[1]statistical criteria'!$B$2,IF(O162&gt;=LOG('[1]statistical criteria'!$B$3,2),1,IF(O162&lt;=-1*LOG('[1]statistical criteria'!$B$3,2),2,"-")),"-")</f>
        <v>1</v>
      </c>
      <c r="R162" t="s">
        <v>897</v>
      </c>
      <c r="S162" t="s">
        <v>898</v>
      </c>
      <c r="T162" s="9">
        <v>4.9999999999999997E-149</v>
      </c>
      <c r="U162" t="s">
        <v>61</v>
      </c>
    </row>
    <row r="163" spans="1:21" x14ac:dyDescent="0.35">
      <c r="A163" t="s">
        <v>899</v>
      </c>
      <c r="B163" t="s">
        <v>900</v>
      </c>
      <c r="C163">
        <v>819</v>
      </c>
      <c r="D163" s="4">
        <v>0</v>
      </c>
      <c r="E163" s="4">
        <v>0</v>
      </c>
      <c r="F163" s="4">
        <v>0</v>
      </c>
      <c r="G163" s="4">
        <v>0</v>
      </c>
      <c r="H163" s="6">
        <v>18.690750999999999</v>
      </c>
      <c r="I163" s="6">
        <v>6.6292070000000001</v>
      </c>
      <c r="J163" s="6">
        <v>32.690319000000002</v>
      </c>
      <c r="K163" s="7">
        <f t="shared" si="4"/>
        <v>0</v>
      </c>
      <c r="L163" s="8">
        <f t="shared" si="5"/>
        <v>19.336759000000001</v>
      </c>
      <c r="M163" s="9">
        <v>1.5983312566584999E-19</v>
      </c>
      <c r="N163" s="9">
        <v>1.4381202749036101E-17</v>
      </c>
      <c r="O163" s="2">
        <v>5.51912479942178</v>
      </c>
      <c r="P163" t="s">
        <v>899</v>
      </c>
      <c r="Q163" s="10">
        <f>IF(N163&lt;='[1]statistical criteria'!$B$2,IF(O163&gt;=LOG('[1]statistical criteria'!$B$3,2),1,IF(O163&lt;=-1*LOG('[1]statistical criteria'!$B$3,2),2,"-")),"-")</f>
        <v>1</v>
      </c>
      <c r="R163" t="s">
        <v>830</v>
      </c>
      <c r="S163" t="s">
        <v>831</v>
      </c>
      <c r="T163" s="9">
        <v>2E-107</v>
      </c>
      <c r="U163" t="s">
        <v>832</v>
      </c>
    </row>
    <row r="164" spans="1:21" x14ac:dyDescent="0.35">
      <c r="A164" t="s">
        <v>124</v>
      </c>
      <c r="B164" t="s">
        <v>125</v>
      </c>
      <c r="C164">
        <v>630</v>
      </c>
      <c r="D164" s="5">
        <v>1.451454</v>
      </c>
      <c r="E164" s="4">
        <v>0</v>
      </c>
      <c r="F164" s="4">
        <v>0</v>
      </c>
      <c r="G164" s="4">
        <v>0</v>
      </c>
      <c r="H164" s="6">
        <v>92.096027000000007</v>
      </c>
      <c r="I164" s="6">
        <v>66.424436999999998</v>
      </c>
      <c r="J164" s="6">
        <v>40.998308000000002</v>
      </c>
      <c r="K164" s="7">
        <f t="shared" si="4"/>
        <v>0.36286350000000001</v>
      </c>
      <c r="L164" s="8">
        <f t="shared" si="5"/>
        <v>66.506257333333338</v>
      </c>
      <c r="M164" s="9">
        <v>2.8982140158325799E-9</v>
      </c>
      <c r="N164" s="9">
        <v>5.75109621702753E-8</v>
      </c>
      <c r="O164" s="2">
        <v>5.5171033814532597</v>
      </c>
      <c r="P164" t="s">
        <v>124</v>
      </c>
      <c r="Q164" s="10">
        <f>IF(N164&lt;='[1]statistical criteria'!$B$2,IF(O164&gt;=LOG('[1]statistical criteria'!$B$3,2),1,IF(O164&lt;=-1*LOG('[1]statistical criteria'!$B$3,2),2,"-")),"-")</f>
        <v>1</v>
      </c>
      <c r="R164" t="s">
        <v>126</v>
      </c>
    </row>
    <row r="165" spans="1:21" x14ac:dyDescent="0.35">
      <c r="A165" t="s">
        <v>901</v>
      </c>
      <c r="B165" t="s">
        <v>902</v>
      </c>
      <c r="C165">
        <v>745</v>
      </c>
      <c r="D165" s="4">
        <v>0</v>
      </c>
      <c r="E165" s="4">
        <v>0</v>
      </c>
      <c r="F165" s="4">
        <v>0</v>
      </c>
      <c r="G165" s="4">
        <v>0</v>
      </c>
      <c r="H165" s="6">
        <v>19.477816000000001</v>
      </c>
      <c r="I165" s="6">
        <v>8.5464219999999997</v>
      </c>
      <c r="J165" s="6">
        <v>30.645191000000001</v>
      </c>
      <c r="K165" s="7">
        <f t="shared" si="4"/>
        <v>0</v>
      </c>
      <c r="L165" s="8">
        <f t="shared" si="5"/>
        <v>19.556476333333332</v>
      </c>
      <c r="M165" s="9">
        <v>9.5029699902451294E-14</v>
      </c>
      <c r="N165" s="9">
        <v>3.8395226945725002E-12</v>
      </c>
      <c r="O165" s="2">
        <v>5.5169831376592802</v>
      </c>
      <c r="P165" t="s">
        <v>901</v>
      </c>
      <c r="Q165" s="10">
        <f>IF(N165&lt;='[1]statistical criteria'!$B$2,IF(O165&gt;=LOG('[1]statistical criteria'!$B$3,2),1,IF(O165&lt;=-1*LOG('[1]statistical criteria'!$B$3,2),2,"-")),"-")</f>
        <v>1</v>
      </c>
      <c r="R165" t="s">
        <v>540</v>
      </c>
      <c r="S165" t="s">
        <v>541</v>
      </c>
      <c r="T165" s="9">
        <v>1.9999999999999998E-93</v>
      </c>
      <c r="U165" t="s">
        <v>542</v>
      </c>
    </row>
    <row r="166" spans="1:21" x14ac:dyDescent="0.35">
      <c r="A166" t="s">
        <v>903</v>
      </c>
      <c r="B166" t="s">
        <v>904</v>
      </c>
      <c r="C166">
        <v>773</v>
      </c>
      <c r="D166" s="5">
        <v>1.142083</v>
      </c>
      <c r="E166" s="4">
        <v>0</v>
      </c>
      <c r="F166" s="4">
        <v>0</v>
      </c>
      <c r="G166" s="4">
        <v>0</v>
      </c>
      <c r="H166" s="6">
        <v>62.114682000000002</v>
      </c>
      <c r="I166" s="6">
        <v>31.320647000000001</v>
      </c>
      <c r="J166" s="6">
        <v>41.101359000000002</v>
      </c>
      <c r="K166" s="7">
        <f t="shared" si="4"/>
        <v>0.28552074999999999</v>
      </c>
      <c r="L166" s="8">
        <f t="shared" si="5"/>
        <v>44.845562666666666</v>
      </c>
      <c r="M166" s="9">
        <v>4.9670377525583203E-9</v>
      </c>
      <c r="N166" s="9">
        <v>9.4381156696140698E-8</v>
      </c>
      <c r="O166" s="2">
        <v>5.5118268103556796</v>
      </c>
      <c r="P166" t="s">
        <v>903</v>
      </c>
      <c r="Q166" s="10">
        <f>IF(N166&lt;='[1]statistical criteria'!$B$2,IF(O166&gt;=LOG('[1]statistical criteria'!$B$3,2),1,IF(O166&lt;=-1*LOG('[1]statistical criteria'!$B$3,2),2,"-")),"-")</f>
        <v>1</v>
      </c>
      <c r="R166" t="s">
        <v>905</v>
      </c>
      <c r="S166" t="s">
        <v>906</v>
      </c>
      <c r="T166" s="9">
        <v>2E-73</v>
      </c>
      <c r="U166" t="s">
        <v>907</v>
      </c>
    </row>
    <row r="167" spans="1:21" x14ac:dyDescent="0.35">
      <c r="A167" t="s">
        <v>908</v>
      </c>
      <c r="C167">
        <v>1507</v>
      </c>
      <c r="D167" s="4">
        <v>0</v>
      </c>
      <c r="E167" s="4">
        <v>0</v>
      </c>
      <c r="F167" s="4">
        <v>0</v>
      </c>
      <c r="G167" s="4">
        <v>0</v>
      </c>
      <c r="H167" s="6">
        <v>10.285959</v>
      </c>
      <c r="I167" s="6">
        <v>5.6093279999999996</v>
      </c>
      <c r="J167" s="6">
        <v>8.418374</v>
      </c>
      <c r="K167" s="7">
        <f t="shared" si="4"/>
        <v>0</v>
      </c>
      <c r="L167" s="8">
        <f t="shared" si="5"/>
        <v>8.104553666666666</v>
      </c>
      <c r="M167" s="9">
        <v>7.6691187627246201E-11</v>
      </c>
      <c r="N167" s="9">
        <v>1.9742579902798502E-9</v>
      </c>
      <c r="O167" s="2">
        <v>5.50824972467045</v>
      </c>
      <c r="P167" t="s">
        <v>908</v>
      </c>
      <c r="Q167" s="10">
        <f>IF(N167&lt;='[1]statistical criteria'!$B$2,IF(O167&gt;=LOG('[1]statistical criteria'!$B$3,2),1,IF(O167&lt;=-1*LOG('[1]statistical criteria'!$B$3,2),2,"-")),"-")</f>
        <v>1</v>
      </c>
      <c r="R167" t="s">
        <v>861</v>
      </c>
      <c r="S167" t="s">
        <v>909</v>
      </c>
      <c r="T167">
        <v>0</v>
      </c>
      <c r="U167" t="s">
        <v>863</v>
      </c>
    </row>
    <row r="168" spans="1:21" x14ac:dyDescent="0.35">
      <c r="A168" t="s">
        <v>910</v>
      </c>
      <c r="B168" t="s">
        <v>911</v>
      </c>
      <c r="C168">
        <v>894</v>
      </c>
      <c r="D168" s="4">
        <v>0</v>
      </c>
      <c r="E168" s="4">
        <v>0</v>
      </c>
      <c r="F168" s="4">
        <v>0</v>
      </c>
      <c r="G168" s="5">
        <v>9.5769000000000007E-2</v>
      </c>
      <c r="H168" s="6">
        <v>25.710486</v>
      </c>
      <c r="I168" s="6">
        <v>18.691776999999998</v>
      </c>
      <c r="J168" s="6">
        <v>13.235189999999999</v>
      </c>
      <c r="K168" s="7">
        <f t="shared" si="4"/>
        <v>2.3942250000000002E-2</v>
      </c>
      <c r="L168" s="8">
        <f t="shared" si="5"/>
        <v>19.212484333333332</v>
      </c>
      <c r="M168" s="9">
        <v>6.9860008738366002E-10</v>
      </c>
      <c r="N168" s="9">
        <v>1.53692019224405E-8</v>
      </c>
      <c r="O168" s="2">
        <v>5.4836889980108499</v>
      </c>
      <c r="P168" t="s">
        <v>910</v>
      </c>
      <c r="Q168" s="10">
        <f>IF(N168&lt;='[1]statistical criteria'!$B$2,IF(O168&gt;=LOG('[1]statistical criteria'!$B$3,2),1,IF(O168&lt;=-1*LOG('[1]statistical criteria'!$B$3,2),2,"-")),"-")</f>
        <v>1</v>
      </c>
      <c r="R168" t="s">
        <v>158</v>
      </c>
      <c r="S168" t="s">
        <v>159</v>
      </c>
      <c r="T168" s="9">
        <v>5.9999999999999997E-15</v>
      </c>
      <c r="U168" t="s">
        <v>160</v>
      </c>
    </row>
    <row r="169" spans="1:21" x14ac:dyDescent="0.35">
      <c r="A169" t="s">
        <v>167</v>
      </c>
      <c r="B169" t="s">
        <v>168</v>
      </c>
      <c r="C169">
        <v>1749</v>
      </c>
      <c r="D169" s="5">
        <v>4.0615360000000003</v>
      </c>
      <c r="E169" s="4">
        <v>0</v>
      </c>
      <c r="F169" s="4">
        <v>0</v>
      </c>
      <c r="G169" s="4">
        <v>0</v>
      </c>
      <c r="H169" s="6">
        <v>27.482464</v>
      </c>
      <c r="I169" s="6">
        <v>23.352160000000001</v>
      </c>
      <c r="J169" s="6">
        <v>29.769705999999999</v>
      </c>
      <c r="K169" s="7">
        <f t="shared" si="4"/>
        <v>1.0153840000000001</v>
      </c>
      <c r="L169" s="8">
        <f t="shared" si="5"/>
        <v>26.868110000000001</v>
      </c>
      <c r="M169" s="9">
        <v>1.1514110976701501E-8</v>
      </c>
      <c r="N169" s="9">
        <v>2.0382654128988799E-7</v>
      </c>
      <c r="O169" s="2">
        <v>5.4757476796933497</v>
      </c>
      <c r="P169" t="s">
        <v>167</v>
      </c>
      <c r="Q169" s="10">
        <f>IF(N169&lt;='[1]statistical criteria'!$B$2,IF(O169&gt;=LOG('[1]statistical criteria'!$B$3,2),1,IF(O169&lt;=-1*LOG('[1]statistical criteria'!$B$3,2),2,"-")),"-")</f>
        <v>1</v>
      </c>
      <c r="R169" t="s">
        <v>169</v>
      </c>
      <c r="S169" t="s">
        <v>170</v>
      </c>
      <c r="T169" s="9">
        <v>4.0000000000000003E-130</v>
      </c>
      <c r="U169" t="s">
        <v>171</v>
      </c>
    </row>
    <row r="170" spans="1:21" x14ac:dyDescent="0.35">
      <c r="A170" t="s">
        <v>912</v>
      </c>
      <c r="B170" t="s">
        <v>913</v>
      </c>
      <c r="C170">
        <v>1587</v>
      </c>
      <c r="D170" s="4">
        <v>0</v>
      </c>
      <c r="E170" s="4">
        <v>0</v>
      </c>
      <c r="F170" s="4">
        <v>0</v>
      </c>
      <c r="G170" s="5">
        <v>2.888058</v>
      </c>
      <c r="H170" s="6">
        <v>12.493494999999999</v>
      </c>
      <c r="I170" s="6">
        <v>26.308</v>
      </c>
      <c r="J170" s="6">
        <v>27.077749000000001</v>
      </c>
      <c r="K170" s="7">
        <f t="shared" si="4"/>
        <v>0.7220145</v>
      </c>
      <c r="L170" s="8">
        <f t="shared" si="5"/>
        <v>21.959748000000001</v>
      </c>
      <c r="M170" s="9">
        <v>2.4031529460478601E-9</v>
      </c>
      <c r="N170" s="9">
        <v>4.8508526091741697E-8</v>
      </c>
      <c r="O170" s="2">
        <v>5.47297837926022</v>
      </c>
      <c r="P170" t="s">
        <v>912</v>
      </c>
      <c r="Q170" s="10">
        <f>IF(N170&lt;='[1]statistical criteria'!$B$2,IF(O170&gt;=LOG('[1]statistical criteria'!$B$3,2),1,IF(O170&lt;=-1*LOG('[1]statistical criteria'!$B$3,2),2,"-")),"-")</f>
        <v>1</v>
      </c>
      <c r="R170" t="s">
        <v>914</v>
      </c>
      <c r="S170" t="s">
        <v>915</v>
      </c>
      <c r="T170">
        <v>0</v>
      </c>
      <c r="U170" t="s">
        <v>916</v>
      </c>
    </row>
    <row r="171" spans="1:21" x14ac:dyDescent="0.35">
      <c r="A171" t="s">
        <v>917</v>
      </c>
      <c r="B171" t="s">
        <v>918</v>
      </c>
      <c r="C171">
        <v>1602</v>
      </c>
      <c r="D171" s="4">
        <v>0</v>
      </c>
      <c r="E171" s="4">
        <v>0</v>
      </c>
      <c r="F171" s="4">
        <v>0</v>
      </c>
      <c r="G171" s="4">
        <v>0</v>
      </c>
      <c r="H171" s="6">
        <v>6.382638</v>
      </c>
      <c r="I171" s="6">
        <v>10.235673999999999</v>
      </c>
      <c r="J171" s="6">
        <v>5.2462080000000002</v>
      </c>
      <c r="K171" s="7">
        <f t="shared" si="4"/>
        <v>0</v>
      </c>
      <c r="L171" s="8">
        <f t="shared" si="5"/>
        <v>7.2881733333333329</v>
      </c>
      <c r="M171" s="9">
        <v>3.4853634470192198E-9</v>
      </c>
      <c r="N171" s="9">
        <v>6.8096988087038697E-8</v>
      </c>
      <c r="O171" s="2">
        <v>5.4706345300237702</v>
      </c>
      <c r="P171" t="s">
        <v>917</v>
      </c>
      <c r="Q171" s="10">
        <f>IF(N171&lt;='[1]statistical criteria'!$B$2,IF(O171&gt;=LOG('[1]statistical criteria'!$B$3,2),1,IF(O171&lt;=-1*LOG('[1]statistical criteria'!$B$3,2),2,"-")),"-")</f>
        <v>1</v>
      </c>
      <c r="R171" t="s">
        <v>545</v>
      </c>
      <c r="S171" t="s">
        <v>546</v>
      </c>
      <c r="T171">
        <v>0</v>
      </c>
      <c r="U171" t="s">
        <v>547</v>
      </c>
    </row>
    <row r="172" spans="1:21" x14ac:dyDescent="0.35">
      <c r="A172" t="s">
        <v>919</v>
      </c>
      <c r="B172" t="s">
        <v>920</v>
      </c>
      <c r="C172">
        <v>656</v>
      </c>
      <c r="D172" s="5">
        <v>11.928121000000001</v>
      </c>
      <c r="E172" s="5">
        <v>0.68868099999999999</v>
      </c>
      <c r="F172" s="5">
        <v>2.317822</v>
      </c>
      <c r="G172" s="5">
        <v>1.8126709999999999</v>
      </c>
      <c r="H172" s="6">
        <v>592.91707199999996</v>
      </c>
      <c r="I172" s="6">
        <v>1671.2708299999999</v>
      </c>
      <c r="J172" s="6">
        <v>547.83498299999997</v>
      </c>
      <c r="K172" s="7">
        <f t="shared" si="4"/>
        <v>4.1868237500000003</v>
      </c>
      <c r="L172" s="8">
        <f t="shared" si="5"/>
        <v>937.34096166666643</v>
      </c>
      <c r="M172" s="9">
        <v>2.7007368575983202E-22</v>
      </c>
      <c r="N172" s="9">
        <v>3.3482099283450202E-20</v>
      </c>
      <c r="O172" s="2">
        <v>5.4692322724825502</v>
      </c>
      <c r="P172" t="s">
        <v>919</v>
      </c>
      <c r="Q172" s="10">
        <f>IF(N172&lt;='[1]statistical criteria'!$B$2,IF(O172&gt;=LOG('[1]statistical criteria'!$B$3,2),1,IF(O172&lt;=-1*LOG('[1]statistical criteria'!$B$3,2),2,"-")),"-")</f>
        <v>1</v>
      </c>
      <c r="R172" t="s">
        <v>921</v>
      </c>
      <c r="S172" t="s">
        <v>922</v>
      </c>
      <c r="T172" s="9">
        <v>2.0000000000000002E-30</v>
      </c>
      <c r="U172" t="s">
        <v>923</v>
      </c>
    </row>
    <row r="173" spans="1:21" x14ac:dyDescent="0.35">
      <c r="A173" t="s">
        <v>111</v>
      </c>
      <c r="B173" t="s">
        <v>112</v>
      </c>
      <c r="C173">
        <v>2085</v>
      </c>
      <c r="D173" s="4">
        <v>0</v>
      </c>
      <c r="E173" s="4">
        <v>0</v>
      </c>
      <c r="F173" s="4">
        <v>0</v>
      </c>
      <c r="G173" s="4">
        <v>0</v>
      </c>
      <c r="H173" s="6">
        <v>9.4568100000000008</v>
      </c>
      <c r="I173" s="6">
        <v>6.6787390000000002</v>
      </c>
      <c r="J173" s="6">
        <v>7.2246069999999998</v>
      </c>
      <c r="K173" s="7">
        <f t="shared" si="4"/>
        <v>0</v>
      </c>
      <c r="L173" s="8">
        <f t="shared" si="5"/>
        <v>7.7867186666666663</v>
      </c>
      <c r="M173" s="9">
        <v>3.8080576721725501E-9</v>
      </c>
      <c r="N173" s="9">
        <v>7.3720587488752396E-8</v>
      </c>
      <c r="O173" s="2">
        <v>5.4561412513005596</v>
      </c>
      <c r="P173" t="s">
        <v>111</v>
      </c>
      <c r="Q173" s="10">
        <f>IF(N173&lt;='[1]statistical criteria'!$B$2,IF(O173&gt;=LOG('[1]statistical criteria'!$B$3,2),1,IF(O173&lt;=-1*LOG('[1]statistical criteria'!$B$3,2),2,"-")),"-")</f>
        <v>1</v>
      </c>
    </row>
    <row r="174" spans="1:21" x14ac:dyDescent="0.35">
      <c r="A174" t="s">
        <v>192</v>
      </c>
      <c r="B174" t="s">
        <v>193</v>
      </c>
      <c r="C174">
        <v>297</v>
      </c>
      <c r="D174" s="4">
        <v>0</v>
      </c>
      <c r="E174" s="4">
        <v>0</v>
      </c>
      <c r="F174" s="4">
        <v>0</v>
      </c>
      <c r="G174" s="4">
        <v>0</v>
      </c>
      <c r="H174" s="6">
        <v>41.182577999999999</v>
      </c>
      <c r="I174" s="6">
        <v>170.57778300000001</v>
      </c>
      <c r="J174" s="6">
        <v>57.722717000000003</v>
      </c>
      <c r="K174" s="7">
        <f t="shared" si="4"/>
        <v>0</v>
      </c>
      <c r="L174" s="8">
        <f t="shared" si="5"/>
        <v>89.827692666666678</v>
      </c>
      <c r="M174" s="9">
        <v>4.7566220068625802E-9</v>
      </c>
      <c r="N174" s="9">
        <v>9.0790889458971794E-8</v>
      </c>
      <c r="O174" s="2">
        <v>5.43661078149501</v>
      </c>
      <c r="P174" t="s">
        <v>192</v>
      </c>
      <c r="Q174" s="10">
        <f>IF(N174&lt;='[1]statistical criteria'!$B$2,IF(O174&gt;=LOG('[1]statistical criteria'!$B$3,2),1,IF(O174&lt;=-1*LOG('[1]statistical criteria'!$B$3,2),2,"-")),"-")</f>
        <v>1</v>
      </c>
      <c r="S174" t="s">
        <v>60</v>
      </c>
      <c r="T174" s="9">
        <v>3.0000000000000001E-17</v>
      </c>
      <c r="U174" t="s">
        <v>61</v>
      </c>
    </row>
    <row r="175" spans="1:21" x14ac:dyDescent="0.35">
      <c r="A175" t="s">
        <v>924</v>
      </c>
      <c r="B175" t="s">
        <v>925</v>
      </c>
      <c r="C175">
        <v>474</v>
      </c>
      <c r="D175" s="5">
        <v>3.7729620000000001</v>
      </c>
      <c r="E175" s="4">
        <v>0</v>
      </c>
      <c r="F175" s="5">
        <v>3.0364049999999998</v>
      </c>
      <c r="G175" s="5">
        <v>2.5381520000000002</v>
      </c>
      <c r="H175" s="6">
        <v>484.66187600000001</v>
      </c>
      <c r="I175" s="6">
        <v>353.39680099999998</v>
      </c>
      <c r="J175" s="6">
        <v>470.17560800000001</v>
      </c>
      <c r="K175" s="7">
        <f t="shared" si="4"/>
        <v>2.33687975</v>
      </c>
      <c r="L175" s="8">
        <f t="shared" si="5"/>
        <v>436.07809500000002</v>
      </c>
      <c r="M175" s="9">
        <v>3.09676788887985E-9</v>
      </c>
      <c r="N175" s="9">
        <v>6.1068904585889604E-8</v>
      </c>
      <c r="O175" s="2">
        <v>5.4261433209245897</v>
      </c>
      <c r="P175" t="s">
        <v>924</v>
      </c>
      <c r="Q175" s="10">
        <f>IF(N175&lt;='[1]statistical criteria'!$B$2,IF(O175&gt;=LOG('[1]statistical criteria'!$B$3,2),1,IF(O175&lt;=-1*LOG('[1]statistical criteria'!$B$3,2),2,"-")),"-")</f>
        <v>1</v>
      </c>
      <c r="R175" t="s">
        <v>926</v>
      </c>
      <c r="S175" t="s">
        <v>927</v>
      </c>
      <c r="T175" s="9">
        <v>2.0000000000000001E-54</v>
      </c>
      <c r="U175" t="s">
        <v>928</v>
      </c>
    </row>
    <row r="176" spans="1:21" x14ac:dyDescent="0.35">
      <c r="A176" t="s">
        <v>162</v>
      </c>
      <c r="B176" t="s">
        <v>163</v>
      </c>
      <c r="C176">
        <v>2457</v>
      </c>
      <c r="D176" s="4">
        <v>0</v>
      </c>
      <c r="E176" s="4">
        <v>0</v>
      </c>
      <c r="F176" s="4">
        <v>0</v>
      </c>
      <c r="G176" s="4">
        <v>0</v>
      </c>
      <c r="H176" s="6">
        <v>4.8067450000000003</v>
      </c>
      <c r="I176" s="6">
        <v>11.309407999999999</v>
      </c>
      <c r="J176" s="6">
        <v>3.032956</v>
      </c>
      <c r="K176" s="7">
        <f t="shared" si="4"/>
        <v>0</v>
      </c>
      <c r="L176" s="8">
        <f t="shared" si="5"/>
        <v>6.3830363333333331</v>
      </c>
      <c r="M176" s="9">
        <v>1.70156316799787E-8</v>
      </c>
      <c r="N176" s="9">
        <v>2.9119308069938097E-7</v>
      </c>
      <c r="O176" s="2">
        <v>5.4080783123355101</v>
      </c>
      <c r="P176" t="s">
        <v>162</v>
      </c>
      <c r="Q176" s="10">
        <f>IF(N176&lt;='[1]statistical criteria'!$B$2,IF(O176&gt;=LOG('[1]statistical criteria'!$B$3,2),1,IF(O176&lt;=-1*LOG('[1]statistical criteria'!$B$3,2),2,"-")),"-")</f>
        <v>1</v>
      </c>
      <c r="R176" t="s">
        <v>164</v>
      </c>
      <c r="S176" t="s">
        <v>165</v>
      </c>
      <c r="T176">
        <v>0</v>
      </c>
      <c r="U176" t="s">
        <v>166</v>
      </c>
    </row>
    <row r="177" spans="1:21" x14ac:dyDescent="0.35">
      <c r="A177" t="s">
        <v>929</v>
      </c>
      <c r="B177" t="s">
        <v>930</v>
      </c>
      <c r="C177">
        <v>615</v>
      </c>
      <c r="D177" s="4">
        <v>0</v>
      </c>
      <c r="E177" s="4">
        <v>0</v>
      </c>
      <c r="F177" s="4">
        <v>0</v>
      </c>
      <c r="G177" s="4">
        <v>0</v>
      </c>
      <c r="H177" s="6">
        <v>8.981382</v>
      </c>
      <c r="I177" s="6">
        <v>20.860931000000001</v>
      </c>
      <c r="J177" s="6">
        <v>64.574949000000004</v>
      </c>
      <c r="K177" s="7">
        <f t="shared" si="4"/>
        <v>0</v>
      </c>
      <c r="L177" s="8">
        <f t="shared" si="5"/>
        <v>31.472420666666668</v>
      </c>
      <c r="M177" s="9">
        <v>5.4476041533650698E-9</v>
      </c>
      <c r="N177" s="9">
        <v>1.02590704639819E-7</v>
      </c>
      <c r="O177" s="2">
        <v>5.40080632049348</v>
      </c>
      <c r="P177" t="s">
        <v>929</v>
      </c>
      <c r="Q177" s="10">
        <f>IF(N177&lt;='[1]statistical criteria'!$B$2,IF(O177&gt;=LOG('[1]statistical criteria'!$B$3,2),1,IF(O177&lt;=-1*LOG('[1]statistical criteria'!$B$3,2),2,"-")),"-")</f>
        <v>1</v>
      </c>
      <c r="R177" t="s">
        <v>931</v>
      </c>
      <c r="S177" t="s">
        <v>932</v>
      </c>
      <c r="T177" s="9">
        <v>1.9999999999999999E-47</v>
      </c>
      <c r="U177" t="s">
        <v>933</v>
      </c>
    </row>
    <row r="178" spans="1:21" x14ac:dyDescent="0.35">
      <c r="A178" t="s">
        <v>934</v>
      </c>
      <c r="B178" t="s">
        <v>935</v>
      </c>
      <c r="C178">
        <v>817</v>
      </c>
      <c r="D178" s="4">
        <v>0</v>
      </c>
      <c r="E178" s="4">
        <v>0</v>
      </c>
      <c r="F178" s="4">
        <v>0</v>
      </c>
      <c r="G178" s="4">
        <v>0</v>
      </c>
      <c r="H178" s="6">
        <v>17.460896999999999</v>
      </c>
      <c r="I178" s="6">
        <v>9.2872889999999995</v>
      </c>
      <c r="J178" s="6">
        <v>13.157648</v>
      </c>
      <c r="K178" s="7">
        <f t="shared" si="4"/>
        <v>0</v>
      </c>
      <c r="L178" s="8">
        <f t="shared" si="5"/>
        <v>13.301944666666666</v>
      </c>
      <c r="M178" s="9">
        <v>2.6424627718009701E-15</v>
      </c>
      <c r="N178" s="9">
        <v>1.3338479190284501E-13</v>
      </c>
      <c r="O178" s="2">
        <v>5.3880062907318402</v>
      </c>
      <c r="P178" t="s">
        <v>934</v>
      </c>
      <c r="Q178" s="10">
        <f>IF(N178&lt;='[1]statistical criteria'!$B$2,IF(O178&gt;=LOG('[1]statistical criteria'!$B$3,2),1,IF(O178&lt;=-1*LOG('[1]statistical criteria'!$B$3,2),2,"-")),"-")</f>
        <v>1</v>
      </c>
      <c r="R178" t="s">
        <v>936</v>
      </c>
      <c r="S178" t="s">
        <v>937</v>
      </c>
      <c r="T178" s="9">
        <v>2.9999999999999999E-56</v>
      </c>
      <c r="U178" t="s">
        <v>938</v>
      </c>
    </row>
    <row r="179" spans="1:21" x14ac:dyDescent="0.35">
      <c r="A179" t="s">
        <v>280</v>
      </c>
      <c r="B179" t="s">
        <v>281</v>
      </c>
      <c r="C179">
        <v>957</v>
      </c>
      <c r="D179" s="5">
        <v>1.9370179999999999</v>
      </c>
      <c r="E179" s="5">
        <v>5.552975</v>
      </c>
      <c r="F179" s="4">
        <v>0</v>
      </c>
      <c r="G179" s="4">
        <v>0</v>
      </c>
      <c r="H179" s="6">
        <v>105.286841</v>
      </c>
      <c r="I179" s="6">
        <v>93.219013000000004</v>
      </c>
      <c r="J179" s="6">
        <v>86.014474000000007</v>
      </c>
      <c r="K179" s="7">
        <f t="shared" si="4"/>
        <v>1.87249825</v>
      </c>
      <c r="L179" s="8">
        <f t="shared" si="5"/>
        <v>94.840109333333331</v>
      </c>
      <c r="M179" s="9">
        <v>2.7449705298061401E-8</v>
      </c>
      <c r="N179" s="9">
        <v>4.51484781177276E-7</v>
      </c>
      <c r="O179" s="2">
        <v>5.3831020954672999</v>
      </c>
      <c r="P179" t="s">
        <v>280</v>
      </c>
      <c r="Q179" s="10">
        <f>IF(N179&lt;='[1]statistical criteria'!$B$2,IF(O179&gt;=LOG('[1]statistical criteria'!$B$3,2),1,IF(O179&lt;=-1*LOG('[1]statistical criteria'!$B$3,2),2,"-")),"-")</f>
        <v>1</v>
      </c>
      <c r="R179" t="s">
        <v>282</v>
      </c>
      <c r="S179" t="s">
        <v>283</v>
      </c>
      <c r="T179" s="9">
        <v>5.0000000000000001E-147</v>
      </c>
      <c r="U179" t="s">
        <v>284</v>
      </c>
    </row>
    <row r="180" spans="1:21" x14ac:dyDescent="0.35">
      <c r="A180" t="s">
        <v>939</v>
      </c>
      <c r="B180" t="s">
        <v>940</v>
      </c>
      <c r="C180">
        <v>774</v>
      </c>
      <c r="D180" s="4">
        <v>0</v>
      </c>
      <c r="E180" s="4">
        <v>0</v>
      </c>
      <c r="F180" s="4">
        <v>0</v>
      </c>
      <c r="G180" s="5">
        <v>0.11788999999999999</v>
      </c>
      <c r="H180" s="6">
        <v>20.762789999999999</v>
      </c>
      <c r="I180" s="6">
        <v>24.533830999999999</v>
      </c>
      <c r="J180" s="6">
        <v>6.2413590000000001</v>
      </c>
      <c r="K180" s="7">
        <f t="shared" si="4"/>
        <v>2.9472499999999999E-2</v>
      </c>
      <c r="L180" s="8">
        <f t="shared" si="5"/>
        <v>17.179326666666668</v>
      </c>
      <c r="M180" s="9">
        <v>1.02586144575896E-8</v>
      </c>
      <c r="N180" s="9">
        <v>1.8322049096943299E-7</v>
      </c>
      <c r="O180" s="2">
        <v>5.3828102675578</v>
      </c>
      <c r="P180" t="s">
        <v>939</v>
      </c>
      <c r="Q180" s="10">
        <f>IF(N180&lt;='[1]statistical criteria'!$B$2,IF(O180&gt;=LOG('[1]statistical criteria'!$B$3,2),1,IF(O180&lt;=-1*LOG('[1]statistical criteria'!$B$3,2),2,"-")),"-")</f>
        <v>1</v>
      </c>
      <c r="R180" t="s">
        <v>941</v>
      </c>
      <c r="S180" t="s">
        <v>942</v>
      </c>
      <c r="T180" s="9">
        <v>4.9999999999999998E-82</v>
      </c>
      <c r="U180" t="s">
        <v>943</v>
      </c>
    </row>
    <row r="181" spans="1:21" x14ac:dyDescent="0.35">
      <c r="A181" t="s">
        <v>944</v>
      </c>
      <c r="B181" t="s">
        <v>945</v>
      </c>
      <c r="C181">
        <v>897</v>
      </c>
      <c r="D181" s="4">
        <v>0</v>
      </c>
      <c r="E181" s="4">
        <v>0</v>
      </c>
      <c r="F181" s="4">
        <v>0</v>
      </c>
      <c r="G181" s="4">
        <v>0</v>
      </c>
      <c r="H181" s="6">
        <v>4.5843920000000002</v>
      </c>
      <c r="I181" s="6">
        <v>8.8775189999999995</v>
      </c>
      <c r="J181" s="6">
        <v>14.437611</v>
      </c>
      <c r="K181" s="7">
        <f t="shared" si="4"/>
        <v>0</v>
      </c>
      <c r="L181" s="8">
        <f t="shared" si="5"/>
        <v>9.2998406666666664</v>
      </c>
      <c r="M181" s="9">
        <v>3.05206055738231E-12</v>
      </c>
      <c r="N181" s="9">
        <v>9.7614642700815801E-11</v>
      </c>
      <c r="O181" s="2">
        <v>5.3820393041293899</v>
      </c>
      <c r="P181" t="s">
        <v>944</v>
      </c>
      <c r="Q181" s="10">
        <f>IF(N181&lt;='[1]statistical criteria'!$B$2,IF(O181&gt;=LOG('[1]statistical criteria'!$B$3,2),1,IF(O181&lt;=-1*LOG('[1]statistical criteria'!$B$3,2),2,"-")),"-")</f>
        <v>1</v>
      </c>
      <c r="R181" t="s">
        <v>892</v>
      </c>
      <c r="S181" t="s">
        <v>893</v>
      </c>
      <c r="T181">
        <v>0</v>
      </c>
      <c r="U181" t="s">
        <v>894</v>
      </c>
    </row>
    <row r="182" spans="1:21" x14ac:dyDescent="0.35">
      <c r="A182" t="s">
        <v>330</v>
      </c>
      <c r="B182" t="s">
        <v>197</v>
      </c>
      <c r="C182">
        <v>3516</v>
      </c>
      <c r="D182" s="5">
        <v>0.36264800000000003</v>
      </c>
      <c r="E182" s="4">
        <v>0</v>
      </c>
      <c r="F182" s="4">
        <v>0</v>
      </c>
      <c r="G182" s="4">
        <v>0</v>
      </c>
      <c r="H182" s="6">
        <v>11.181526</v>
      </c>
      <c r="I182" s="6">
        <v>4.4421730000000004</v>
      </c>
      <c r="J182" s="6">
        <v>14.658499000000001</v>
      </c>
      <c r="K182" s="7">
        <f t="shared" si="4"/>
        <v>9.0662000000000006E-2</v>
      </c>
      <c r="L182" s="8">
        <f t="shared" si="5"/>
        <v>10.094066</v>
      </c>
      <c r="M182" s="9">
        <v>1.0502134312705499E-8</v>
      </c>
      <c r="N182" s="9">
        <v>1.87393920272655E-7</v>
      </c>
      <c r="O182" s="2">
        <v>5.3676234473641804</v>
      </c>
      <c r="P182" t="s">
        <v>330</v>
      </c>
      <c r="Q182" s="10">
        <f>IF(N182&lt;='[1]statistical criteria'!$B$2,IF(O182&gt;=LOG('[1]statistical criteria'!$B$3,2),1,IF(O182&lt;=-1*LOG('[1]statistical criteria'!$B$3,2),2,"-")),"-")</f>
        <v>1</v>
      </c>
      <c r="R182" t="s">
        <v>198</v>
      </c>
      <c r="S182" t="s">
        <v>199</v>
      </c>
      <c r="T182">
        <v>0</v>
      </c>
      <c r="U182" t="s">
        <v>200</v>
      </c>
    </row>
    <row r="183" spans="1:21" x14ac:dyDescent="0.35">
      <c r="A183" t="s">
        <v>946</v>
      </c>
      <c r="B183" t="s">
        <v>947</v>
      </c>
      <c r="C183">
        <v>1533</v>
      </c>
      <c r="D183" s="5">
        <v>0.74245700000000003</v>
      </c>
      <c r="E183" s="4">
        <v>0</v>
      </c>
      <c r="F183" s="5">
        <v>0.669265</v>
      </c>
      <c r="G183" s="4">
        <v>0</v>
      </c>
      <c r="H183" s="6">
        <v>34.204313999999997</v>
      </c>
      <c r="I183" s="6">
        <v>16.644148000000001</v>
      </c>
      <c r="J183" s="6">
        <v>44.765726000000001</v>
      </c>
      <c r="K183" s="7">
        <f t="shared" si="4"/>
        <v>0.35293050000000004</v>
      </c>
      <c r="L183" s="8">
        <f t="shared" si="5"/>
        <v>31.871396000000001</v>
      </c>
      <c r="M183" s="9">
        <v>1.20559712131271E-8</v>
      </c>
      <c r="N183" s="9">
        <v>2.1272613090941901E-7</v>
      </c>
      <c r="O183" s="2">
        <v>5.3464518747005796</v>
      </c>
      <c r="P183" t="s">
        <v>946</v>
      </c>
      <c r="Q183" s="10">
        <f>IF(N183&lt;='[1]statistical criteria'!$B$2,IF(O183&gt;=LOG('[1]statistical criteria'!$B$3,2),1,IF(O183&lt;=-1*LOG('[1]statistical criteria'!$B$3,2),2,"-")),"-")</f>
        <v>1</v>
      </c>
      <c r="R183" t="s">
        <v>878</v>
      </c>
      <c r="S183" t="s">
        <v>948</v>
      </c>
      <c r="T183">
        <v>0</v>
      </c>
      <c r="U183" t="s">
        <v>880</v>
      </c>
    </row>
    <row r="184" spans="1:21" x14ac:dyDescent="0.35">
      <c r="A184" t="s">
        <v>949</v>
      </c>
      <c r="B184" t="s">
        <v>950</v>
      </c>
      <c r="C184">
        <v>192</v>
      </c>
      <c r="D184" s="4">
        <v>0</v>
      </c>
      <c r="E184" s="4">
        <v>0</v>
      </c>
      <c r="F184" s="4">
        <v>0</v>
      </c>
      <c r="G184" s="4">
        <v>0</v>
      </c>
      <c r="H184" s="6">
        <v>299.48096600000002</v>
      </c>
      <c r="I184" s="6">
        <v>251.95434</v>
      </c>
      <c r="J184" s="6">
        <v>176.51058599999999</v>
      </c>
      <c r="K184" s="7">
        <f t="shared" si="4"/>
        <v>0</v>
      </c>
      <c r="L184" s="8">
        <f t="shared" si="5"/>
        <v>242.64863066666669</v>
      </c>
      <c r="M184" s="9">
        <v>3.7731761991188004E-9</v>
      </c>
      <c r="N184" s="9">
        <v>7.3119697626507901E-8</v>
      </c>
      <c r="O184" s="2">
        <v>5.3442255493906696</v>
      </c>
      <c r="P184" t="s">
        <v>949</v>
      </c>
      <c r="Q184" s="10">
        <f>IF(N184&lt;='[1]statistical criteria'!$B$2,IF(O184&gt;=LOG('[1]statistical criteria'!$B$3,2),1,IF(O184&lt;=-1*LOG('[1]statistical criteria'!$B$3,2),2,"-")),"-")</f>
        <v>1</v>
      </c>
      <c r="R184" t="s">
        <v>951</v>
      </c>
    </row>
    <row r="185" spans="1:21" x14ac:dyDescent="0.35">
      <c r="A185" t="s">
        <v>952</v>
      </c>
      <c r="B185" t="s">
        <v>953</v>
      </c>
      <c r="C185">
        <v>771</v>
      </c>
      <c r="D185" s="4">
        <v>0</v>
      </c>
      <c r="E185" s="4">
        <v>0</v>
      </c>
      <c r="F185" s="5">
        <v>0.31523099999999998</v>
      </c>
      <c r="G185" s="5">
        <v>0.60369499999999998</v>
      </c>
      <c r="H185" s="6">
        <v>44.987749000000001</v>
      </c>
      <c r="I185" s="6">
        <v>63.154584999999997</v>
      </c>
      <c r="J185" s="6">
        <v>29.958553999999999</v>
      </c>
      <c r="K185" s="7">
        <f t="shared" si="4"/>
        <v>0.22973149999999998</v>
      </c>
      <c r="L185" s="8">
        <f t="shared" si="5"/>
        <v>46.03362933333333</v>
      </c>
      <c r="M185" s="9">
        <v>3.3292750055057001E-8</v>
      </c>
      <c r="N185" s="9">
        <v>5.3465066122171797E-7</v>
      </c>
      <c r="O185" s="2">
        <v>5.3370849960599802</v>
      </c>
      <c r="P185" t="s">
        <v>952</v>
      </c>
      <c r="Q185" s="10">
        <f>IF(N185&lt;='[1]statistical criteria'!$B$2,IF(O185&gt;=LOG('[1]statistical criteria'!$B$3,2),1,IF(O185&lt;=-1*LOG('[1]statistical criteria'!$B$3,2),2,"-")),"-")</f>
        <v>1</v>
      </c>
      <c r="R185" t="s">
        <v>954</v>
      </c>
    </row>
    <row r="186" spans="1:21" x14ac:dyDescent="0.35">
      <c r="A186" t="s">
        <v>955</v>
      </c>
      <c r="B186" t="s">
        <v>956</v>
      </c>
      <c r="C186">
        <v>888</v>
      </c>
      <c r="D186" s="5">
        <v>0.44753500000000002</v>
      </c>
      <c r="E186" s="4">
        <v>0</v>
      </c>
      <c r="F186" s="4">
        <v>0</v>
      </c>
      <c r="G186" s="4">
        <v>0</v>
      </c>
      <c r="H186" s="6">
        <v>8.0209340000000005</v>
      </c>
      <c r="I186" s="6">
        <v>21.485257000000001</v>
      </c>
      <c r="J186" s="6">
        <v>10.775732</v>
      </c>
      <c r="K186" s="7">
        <f t="shared" si="4"/>
        <v>0.11188375</v>
      </c>
      <c r="L186" s="8">
        <f t="shared" si="5"/>
        <v>13.427307666666666</v>
      </c>
      <c r="M186" s="9">
        <v>1.0953464352074E-8</v>
      </c>
      <c r="N186" s="9">
        <v>1.94716886146631E-7</v>
      </c>
      <c r="O186" s="2">
        <v>5.3156273503226501</v>
      </c>
      <c r="P186" t="s">
        <v>955</v>
      </c>
      <c r="Q186" s="10">
        <f>IF(N186&lt;='[1]statistical criteria'!$B$2,IF(O186&gt;=LOG('[1]statistical criteria'!$B$3,2),1,IF(O186&lt;=-1*LOG('[1]statistical criteria'!$B$3,2),2,"-")),"-")</f>
        <v>1</v>
      </c>
      <c r="R186" t="s">
        <v>957</v>
      </c>
    </row>
    <row r="187" spans="1:21" x14ac:dyDescent="0.35">
      <c r="A187" t="s">
        <v>958</v>
      </c>
      <c r="B187" t="s">
        <v>959</v>
      </c>
      <c r="C187">
        <v>1182</v>
      </c>
      <c r="D187" s="4">
        <v>0</v>
      </c>
      <c r="E187" s="4">
        <v>0</v>
      </c>
      <c r="F187" s="4">
        <v>0</v>
      </c>
      <c r="G187" s="5">
        <v>0.42028199999999999</v>
      </c>
      <c r="H187" s="6">
        <v>9.6068210000000001</v>
      </c>
      <c r="I187" s="6">
        <v>34.812643000000001</v>
      </c>
      <c r="J187" s="6">
        <v>11.633353</v>
      </c>
      <c r="K187" s="7">
        <f t="shared" si="4"/>
        <v>0.1050705</v>
      </c>
      <c r="L187" s="8">
        <f t="shared" si="5"/>
        <v>18.684272333333336</v>
      </c>
      <c r="M187" s="9">
        <v>1.6585933108541399E-7</v>
      </c>
      <c r="N187" s="9">
        <v>2.26745910241052E-6</v>
      </c>
      <c r="O187" s="2">
        <v>5.3108826631124399</v>
      </c>
      <c r="P187" t="s">
        <v>958</v>
      </c>
      <c r="Q187" s="10">
        <f>IF(N187&lt;='[1]statistical criteria'!$B$2,IF(O187&gt;=LOG('[1]statistical criteria'!$B$3,2),1,IF(O187&lt;=-1*LOG('[1]statistical criteria'!$B$3,2),2,"-")),"-")</f>
        <v>1</v>
      </c>
      <c r="R187" t="s">
        <v>532</v>
      </c>
      <c r="S187" t="s">
        <v>533</v>
      </c>
      <c r="T187">
        <v>0</v>
      </c>
      <c r="U187" t="s">
        <v>534</v>
      </c>
    </row>
    <row r="188" spans="1:21" x14ac:dyDescent="0.35">
      <c r="A188" t="s">
        <v>960</v>
      </c>
      <c r="B188" t="s">
        <v>961</v>
      </c>
      <c r="C188">
        <v>561</v>
      </c>
      <c r="D188" s="4">
        <v>0</v>
      </c>
      <c r="E188" s="4">
        <v>0</v>
      </c>
      <c r="F188" s="4">
        <v>0</v>
      </c>
      <c r="G188" s="4">
        <v>0</v>
      </c>
      <c r="H188" s="6">
        <v>15.851993</v>
      </c>
      <c r="I188" s="6">
        <v>21.396459</v>
      </c>
      <c r="J188" s="6">
        <v>10.895967000000001</v>
      </c>
      <c r="K188" s="7">
        <f t="shared" si="4"/>
        <v>0</v>
      </c>
      <c r="L188" s="8">
        <f t="shared" si="5"/>
        <v>16.048139666666668</v>
      </c>
      <c r="M188" s="9">
        <v>6.8352937752081997E-12</v>
      </c>
      <c r="N188" s="9">
        <v>2.0614206108116001E-10</v>
      </c>
      <c r="O188" s="2">
        <v>5.3051467144676803</v>
      </c>
      <c r="P188" t="s">
        <v>960</v>
      </c>
      <c r="Q188" s="10">
        <f>IF(N188&lt;='[1]statistical criteria'!$B$2,IF(O188&gt;=LOG('[1]statistical criteria'!$B$3,2),1,IF(O188&lt;=-1*LOG('[1]statistical criteria'!$B$3,2),2,"-")),"-")</f>
        <v>1</v>
      </c>
      <c r="R188" t="s">
        <v>962</v>
      </c>
    </row>
    <row r="189" spans="1:21" x14ac:dyDescent="0.35">
      <c r="A189" t="s">
        <v>963</v>
      </c>
      <c r="B189" t="s">
        <v>964</v>
      </c>
      <c r="C189">
        <v>1173</v>
      </c>
      <c r="D189" s="5">
        <v>0.25618299999999999</v>
      </c>
      <c r="E189" s="4">
        <v>0</v>
      </c>
      <c r="F189" s="4">
        <v>0</v>
      </c>
      <c r="G189" s="4">
        <v>0</v>
      </c>
      <c r="H189" s="6">
        <v>24.160077000000001</v>
      </c>
      <c r="I189" s="6">
        <v>5.410202</v>
      </c>
      <c r="J189" s="6">
        <v>25.631905</v>
      </c>
      <c r="K189" s="7">
        <f t="shared" si="4"/>
        <v>6.4045749999999999E-2</v>
      </c>
      <c r="L189" s="8">
        <f t="shared" si="5"/>
        <v>18.400728000000001</v>
      </c>
      <c r="M189" s="9">
        <v>3.6347754710313303E-8</v>
      </c>
      <c r="N189" s="9">
        <v>5.8004006049246295E-7</v>
      </c>
      <c r="O189" s="2">
        <v>5.2996626329592296</v>
      </c>
      <c r="P189" t="s">
        <v>963</v>
      </c>
      <c r="Q189" s="10">
        <f>IF(N189&lt;='[1]statistical criteria'!$B$2,IF(O189&gt;=LOG('[1]statistical criteria'!$B$3,2),1,IF(O189&lt;=-1*LOG('[1]statistical criteria'!$B$3,2),2,"-")),"-")</f>
        <v>1</v>
      </c>
      <c r="R189" t="s">
        <v>773</v>
      </c>
      <c r="S189" t="s">
        <v>965</v>
      </c>
      <c r="T189" s="9">
        <v>9.9999999999999997E-73</v>
      </c>
      <c r="U189" t="s">
        <v>160</v>
      </c>
    </row>
    <row r="190" spans="1:21" x14ac:dyDescent="0.35">
      <c r="A190" t="s">
        <v>30</v>
      </c>
      <c r="B190" t="s">
        <v>31</v>
      </c>
      <c r="C190">
        <v>453</v>
      </c>
      <c r="D190" s="4">
        <v>0</v>
      </c>
      <c r="E190" s="4">
        <v>0</v>
      </c>
      <c r="F190" s="4">
        <v>0</v>
      </c>
      <c r="G190" s="4">
        <v>0</v>
      </c>
      <c r="H190" s="6">
        <v>34.922097000000001</v>
      </c>
      <c r="I190" s="6">
        <v>18.074985000000002</v>
      </c>
      <c r="J190" s="6">
        <v>55.512779999999999</v>
      </c>
      <c r="K190" s="7">
        <f t="shared" si="4"/>
        <v>0</v>
      </c>
      <c r="L190" s="8">
        <f t="shared" si="5"/>
        <v>36.169953999999997</v>
      </c>
      <c r="M190" s="9">
        <v>1.2072033273991701E-8</v>
      </c>
      <c r="N190" s="9">
        <v>2.1291083707512699E-7</v>
      </c>
      <c r="O190" s="2">
        <v>5.2959822224258897</v>
      </c>
      <c r="P190" t="s">
        <v>30</v>
      </c>
      <c r="Q190" s="10">
        <f>IF(N190&lt;='[1]statistical criteria'!$B$2,IF(O190&gt;=LOG('[1]statistical criteria'!$B$3,2),1,IF(O190&lt;=-1*LOG('[1]statistical criteria'!$B$3,2),2,"-")),"-")</f>
        <v>1</v>
      </c>
      <c r="R190" t="s">
        <v>32</v>
      </c>
      <c r="S190" t="s">
        <v>33</v>
      </c>
    </row>
    <row r="191" spans="1:21" x14ac:dyDescent="0.35">
      <c r="A191" t="s">
        <v>966</v>
      </c>
      <c r="B191" t="s">
        <v>967</v>
      </c>
      <c r="C191">
        <v>2259</v>
      </c>
      <c r="D191" s="4">
        <v>0</v>
      </c>
      <c r="E191" s="4">
        <v>0</v>
      </c>
      <c r="F191" s="4">
        <v>0</v>
      </c>
      <c r="G191" s="4">
        <v>0</v>
      </c>
      <c r="H191" s="6">
        <v>4.4265299999999996</v>
      </c>
      <c r="I191" s="6">
        <v>4.4440989999999996</v>
      </c>
      <c r="J191" s="6">
        <v>8.6010159999999996</v>
      </c>
      <c r="K191" s="7">
        <f t="shared" si="4"/>
        <v>0</v>
      </c>
      <c r="L191" s="8">
        <f t="shared" si="5"/>
        <v>5.823881666666666</v>
      </c>
      <c r="M191" s="9">
        <v>1.9988558682589699E-8</v>
      </c>
      <c r="N191" s="9">
        <v>3.3736786849639302E-7</v>
      </c>
      <c r="O191" s="2">
        <v>5.2935348849597803</v>
      </c>
      <c r="P191" t="s">
        <v>966</v>
      </c>
      <c r="Q191" s="10">
        <f>IF(N191&lt;='[1]statistical criteria'!$B$2,IF(O191&gt;=LOG('[1]statistical criteria'!$B$3,2),1,IF(O191&lt;=-1*LOG('[1]statistical criteria'!$B$3,2),2,"-")),"-")</f>
        <v>1</v>
      </c>
      <c r="R191" t="s">
        <v>968</v>
      </c>
      <c r="S191" t="s">
        <v>969</v>
      </c>
      <c r="T191" s="9">
        <v>4.9999999999999997E-50</v>
      </c>
      <c r="U191" t="s">
        <v>970</v>
      </c>
    </row>
    <row r="192" spans="1:21" x14ac:dyDescent="0.35">
      <c r="A192" t="s">
        <v>971</v>
      </c>
      <c r="B192" t="s">
        <v>972</v>
      </c>
      <c r="C192">
        <v>3039</v>
      </c>
      <c r="D192" s="5">
        <v>0.55344499999999996</v>
      </c>
      <c r="E192" s="4">
        <v>0</v>
      </c>
      <c r="F192" s="4">
        <v>0</v>
      </c>
      <c r="G192" s="4">
        <v>0</v>
      </c>
      <c r="H192" s="6">
        <v>16.450897999999999</v>
      </c>
      <c r="I192" s="6">
        <v>4.2331539999999999</v>
      </c>
      <c r="J192" s="6">
        <v>16.319509</v>
      </c>
      <c r="K192" s="7">
        <f t="shared" si="4"/>
        <v>0.13836124999999999</v>
      </c>
      <c r="L192" s="8">
        <f t="shared" si="5"/>
        <v>12.334520333333332</v>
      </c>
      <c r="M192" s="9">
        <v>1.17131616046701E-8</v>
      </c>
      <c r="N192" s="9">
        <v>2.07157495666238E-7</v>
      </c>
      <c r="O192" s="2">
        <v>5.2922756541310898</v>
      </c>
      <c r="P192" t="s">
        <v>971</v>
      </c>
      <c r="Q192" s="10">
        <f>IF(N192&lt;='[1]statistical criteria'!$B$2,IF(O192&gt;=LOG('[1]statistical criteria'!$B$3,2),1,IF(O192&lt;=-1*LOG('[1]statistical criteria'!$B$3,2),2,"-")),"-")</f>
        <v>1</v>
      </c>
    </row>
    <row r="193" spans="1:21" x14ac:dyDescent="0.35">
      <c r="A193" t="s">
        <v>973</v>
      </c>
      <c r="B193" t="s">
        <v>974</v>
      </c>
      <c r="C193">
        <v>519</v>
      </c>
      <c r="D193" s="4">
        <v>0</v>
      </c>
      <c r="E193" s="5">
        <v>5.6256539999999999</v>
      </c>
      <c r="F193" s="4">
        <v>0</v>
      </c>
      <c r="G193" s="4">
        <v>0</v>
      </c>
      <c r="H193" s="6">
        <v>95.186922999999993</v>
      </c>
      <c r="I193" s="6">
        <v>18.492726999999999</v>
      </c>
      <c r="J193" s="6">
        <v>104.794545</v>
      </c>
      <c r="K193" s="7">
        <f t="shared" si="4"/>
        <v>1.4064135</v>
      </c>
      <c r="L193" s="8">
        <f t="shared" si="5"/>
        <v>72.824731666666665</v>
      </c>
      <c r="M193" s="9">
        <v>2.4934499276744201E-7</v>
      </c>
      <c r="N193" s="9">
        <v>3.2894524869077502E-6</v>
      </c>
      <c r="O193" s="2">
        <v>5.2918312654087902</v>
      </c>
      <c r="P193" t="s">
        <v>973</v>
      </c>
      <c r="Q193" s="10">
        <f>IF(N193&lt;='[1]statistical criteria'!$B$2,IF(O193&gt;=LOG('[1]statistical criteria'!$B$3,2),1,IF(O193&lt;=-1*LOG('[1]statistical criteria'!$B$3,2),2,"-")),"-")</f>
        <v>1</v>
      </c>
      <c r="R193" t="s">
        <v>436</v>
      </c>
      <c r="S193" t="s">
        <v>442</v>
      </c>
      <c r="T193" s="9">
        <v>2E-52</v>
      </c>
      <c r="U193" t="s">
        <v>443</v>
      </c>
    </row>
    <row r="194" spans="1:21" x14ac:dyDescent="0.35">
      <c r="A194" t="s">
        <v>975</v>
      </c>
      <c r="B194" t="s">
        <v>976</v>
      </c>
      <c r="C194">
        <v>2783</v>
      </c>
      <c r="D194" s="5">
        <v>0.40561399999999997</v>
      </c>
      <c r="E194" s="5">
        <v>0.42253400000000002</v>
      </c>
      <c r="F194" s="4">
        <v>0</v>
      </c>
      <c r="G194" s="4">
        <v>0</v>
      </c>
      <c r="H194" s="6">
        <v>16.332511</v>
      </c>
      <c r="I194" s="6">
        <v>15.259021000000001</v>
      </c>
      <c r="J194" s="6">
        <v>24.944866000000001</v>
      </c>
      <c r="K194" s="7">
        <f t="shared" si="4"/>
        <v>0.207037</v>
      </c>
      <c r="L194" s="8">
        <f t="shared" si="5"/>
        <v>18.845466000000002</v>
      </c>
      <c r="M194" s="9">
        <v>9.1904506300696295E-9</v>
      </c>
      <c r="N194" s="9">
        <v>1.65306498572992E-7</v>
      </c>
      <c r="O194" s="2">
        <v>5.2780337807569397</v>
      </c>
      <c r="P194" t="s">
        <v>975</v>
      </c>
      <c r="Q194" s="10">
        <f>IF(N194&lt;='[1]statistical criteria'!$B$2,IF(O194&gt;=LOG('[1]statistical criteria'!$B$3,2),1,IF(O194&lt;=-1*LOG('[1]statistical criteria'!$B$3,2),2,"-")),"-")</f>
        <v>1</v>
      </c>
      <c r="S194" t="s">
        <v>977</v>
      </c>
      <c r="T194" s="9">
        <v>1.9999999999999999E-29</v>
      </c>
      <c r="U194" t="s">
        <v>650</v>
      </c>
    </row>
    <row r="195" spans="1:21" x14ac:dyDescent="0.35">
      <c r="A195" t="s">
        <v>978</v>
      </c>
      <c r="B195" t="s">
        <v>979</v>
      </c>
      <c r="C195">
        <v>1607</v>
      </c>
      <c r="D195" s="4">
        <v>0</v>
      </c>
      <c r="E195" s="4">
        <v>0</v>
      </c>
      <c r="F195" s="4">
        <v>0</v>
      </c>
      <c r="G195" s="4">
        <v>0</v>
      </c>
      <c r="H195" s="6">
        <v>8.2171540000000007</v>
      </c>
      <c r="I195" s="6">
        <v>7.4870720000000004</v>
      </c>
      <c r="J195" s="6">
        <v>6.7795420000000002</v>
      </c>
      <c r="K195" s="7">
        <f t="shared" ref="K195:K258" si="6">AVERAGE(D195:G195)</f>
        <v>0</v>
      </c>
      <c r="L195" s="8">
        <f t="shared" ref="L195:L258" si="7">AVERAGE(H195:J195)</f>
        <v>7.4945893333333338</v>
      </c>
      <c r="M195" s="9">
        <v>1.9945228326303899E-8</v>
      </c>
      <c r="N195" s="9">
        <v>3.3678588735542503E-7</v>
      </c>
      <c r="O195" s="2">
        <v>5.2779391290010196</v>
      </c>
      <c r="P195" t="s">
        <v>978</v>
      </c>
      <c r="Q195" s="10">
        <f>IF(N195&lt;='[1]statistical criteria'!$B$2,IF(O195&gt;=LOG('[1]statistical criteria'!$B$3,2),1,IF(O195&lt;=-1*LOG('[1]statistical criteria'!$B$3,2),2,"-")),"-")</f>
        <v>1</v>
      </c>
      <c r="R195" t="s">
        <v>980</v>
      </c>
      <c r="S195" t="s">
        <v>981</v>
      </c>
      <c r="T195" s="9">
        <v>2.9999999999999998E-155</v>
      </c>
      <c r="U195" t="s">
        <v>982</v>
      </c>
    </row>
    <row r="196" spans="1:21" x14ac:dyDescent="0.35">
      <c r="A196" t="s">
        <v>983</v>
      </c>
      <c r="B196" t="s">
        <v>984</v>
      </c>
      <c r="C196">
        <v>1428</v>
      </c>
      <c r="D196" s="5">
        <v>2.5237630000000002</v>
      </c>
      <c r="E196" s="4">
        <v>0</v>
      </c>
      <c r="F196" s="5">
        <v>0.48608200000000001</v>
      </c>
      <c r="G196" s="5">
        <v>0.85275100000000004</v>
      </c>
      <c r="H196" s="6">
        <v>104.543223</v>
      </c>
      <c r="I196" s="6">
        <v>36.742533999999999</v>
      </c>
      <c r="J196" s="6">
        <v>100.222589</v>
      </c>
      <c r="K196" s="7">
        <f t="shared" si="6"/>
        <v>0.96564900000000009</v>
      </c>
      <c r="L196" s="8">
        <f t="shared" si="7"/>
        <v>80.502781999999996</v>
      </c>
      <c r="M196" s="9">
        <v>8.6164072323847499E-12</v>
      </c>
      <c r="N196" s="9">
        <v>2.5700662951768298E-10</v>
      </c>
      <c r="O196" s="2">
        <v>5.2770218514788203</v>
      </c>
      <c r="P196" t="s">
        <v>983</v>
      </c>
      <c r="Q196" s="10">
        <f>IF(N196&lt;='[1]statistical criteria'!$B$2,IF(O196&gt;=LOG('[1]statistical criteria'!$B$3,2),1,IF(O196&lt;=-1*LOG('[1]statistical criteria'!$B$3,2),2,"-")),"-")</f>
        <v>1</v>
      </c>
      <c r="R196" t="s">
        <v>985</v>
      </c>
      <c r="S196" t="s">
        <v>986</v>
      </c>
      <c r="T196">
        <v>0</v>
      </c>
      <c r="U196" t="s">
        <v>987</v>
      </c>
    </row>
    <row r="197" spans="1:21" x14ac:dyDescent="0.35">
      <c r="A197" t="s">
        <v>988</v>
      </c>
      <c r="B197" t="s">
        <v>989</v>
      </c>
      <c r="C197">
        <v>1326</v>
      </c>
      <c r="D197" s="4">
        <v>0</v>
      </c>
      <c r="E197" s="4">
        <v>0</v>
      </c>
      <c r="F197" s="4">
        <v>0</v>
      </c>
      <c r="G197" s="4">
        <v>0</v>
      </c>
      <c r="H197" s="6">
        <v>6.8243</v>
      </c>
      <c r="I197" s="6">
        <v>11.794248</v>
      </c>
      <c r="J197" s="6">
        <v>11.611502</v>
      </c>
      <c r="K197" s="7">
        <f t="shared" si="6"/>
        <v>0</v>
      </c>
      <c r="L197" s="8">
        <f t="shared" si="7"/>
        <v>10.076683333333333</v>
      </c>
      <c r="M197" s="9">
        <v>2.3030487472884799E-9</v>
      </c>
      <c r="N197" s="9">
        <v>4.6748818838293101E-8</v>
      </c>
      <c r="O197" s="2">
        <v>5.2709658558464199</v>
      </c>
      <c r="P197" t="s">
        <v>988</v>
      </c>
      <c r="Q197" s="10">
        <f>IF(N197&lt;='[1]statistical criteria'!$B$2,IF(O197&gt;=LOG('[1]statistical criteria'!$B$3,2),1,IF(O197&lt;=-1*LOG('[1]statistical criteria'!$B$3,2),2,"-")),"-")</f>
        <v>1</v>
      </c>
      <c r="R197" t="s">
        <v>148</v>
      </c>
      <c r="S197" t="s">
        <v>149</v>
      </c>
      <c r="T197">
        <v>0</v>
      </c>
      <c r="U197" t="s">
        <v>150</v>
      </c>
    </row>
    <row r="198" spans="1:21" x14ac:dyDescent="0.35">
      <c r="A198" t="s">
        <v>207</v>
      </c>
      <c r="B198" t="s">
        <v>208</v>
      </c>
      <c r="C198">
        <v>1629</v>
      </c>
      <c r="D198" s="4">
        <v>0</v>
      </c>
      <c r="E198" s="4">
        <v>0</v>
      </c>
      <c r="F198" s="4">
        <v>0</v>
      </c>
      <c r="G198" s="4">
        <v>0</v>
      </c>
      <c r="H198" s="6">
        <v>23.837291</v>
      </c>
      <c r="I198" s="6">
        <v>3.0365989999999998</v>
      </c>
      <c r="J198" s="6">
        <v>11.801406</v>
      </c>
      <c r="K198" s="7">
        <f t="shared" si="6"/>
        <v>0</v>
      </c>
      <c r="L198" s="8">
        <f t="shared" si="7"/>
        <v>12.891765333333334</v>
      </c>
      <c r="M198" s="9">
        <v>2.2041837161357901E-8</v>
      </c>
      <c r="N198" s="9">
        <v>3.68428775740572E-7</v>
      </c>
      <c r="O198" s="2">
        <v>5.2679598440086304</v>
      </c>
      <c r="P198" t="s">
        <v>207</v>
      </c>
      <c r="Q198" s="10">
        <f>IF(N198&lt;='[1]statistical criteria'!$B$2,IF(O198&gt;=LOG('[1]statistical criteria'!$B$3,2),1,IF(O198&lt;=-1*LOG('[1]statistical criteria'!$B$3,2),2,"-")),"-")</f>
        <v>1</v>
      </c>
      <c r="R198" t="s">
        <v>209</v>
      </c>
      <c r="S198" t="s">
        <v>210</v>
      </c>
      <c r="T198" s="9">
        <v>5.9999999999999996E-63</v>
      </c>
      <c r="U198" t="s">
        <v>211</v>
      </c>
    </row>
    <row r="199" spans="1:21" x14ac:dyDescent="0.35">
      <c r="A199" t="s">
        <v>990</v>
      </c>
      <c r="B199" t="s">
        <v>991</v>
      </c>
      <c r="C199">
        <v>2637</v>
      </c>
      <c r="D199" s="4">
        <v>0</v>
      </c>
      <c r="E199" s="4">
        <v>0</v>
      </c>
      <c r="F199" s="4">
        <v>0</v>
      </c>
      <c r="G199" s="4">
        <v>0</v>
      </c>
      <c r="H199" s="6">
        <v>4.9964170000000001</v>
      </c>
      <c r="I199" s="6">
        <v>3.5166569999999999</v>
      </c>
      <c r="J199" s="6">
        <v>4.2535610000000004</v>
      </c>
      <c r="K199" s="7">
        <f t="shared" si="6"/>
        <v>0</v>
      </c>
      <c r="L199" s="8">
        <f t="shared" si="7"/>
        <v>4.2555450000000006</v>
      </c>
      <c r="M199" s="9">
        <v>1.59982040643914E-11</v>
      </c>
      <c r="N199" s="9">
        <v>4.5746930630408299E-10</v>
      </c>
      <c r="O199" s="2">
        <v>5.2633809676189003</v>
      </c>
      <c r="P199" t="s">
        <v>990</v>
      </c>
      <c r="Q199" s="10">
        <f>IF(N199&lt;='[1]statistical criteria'!$B$2,IF(O199&gt;=LOG('[1]statistical criteria'!$B$3,2),1,IF(O199&lt;=-1*LOG('[1]statistical criteria'!$B$3,2),2,"-")),"-")</f>
        <v>1</v>
      </c>
      <c r="S199" t="s">
        <v>977</v>
      </c>
      <c r="T199" s="9">
        <v>2.9999999999999999E-30</v>
      </c>
      <c r="U199" t="s">
        <v>650</v>
      </c>
    </row>
    <row r="200" spans="1:21" x14ac:dyDescent="0.35">
      <c r="A200" t="s">
        <v>992</v>
      </c>
      <c r="B200" t="s">
        <v>993</v>
      </c>
      <c r="C200">
        <v>693</v>
      </c>
      <c r="D200" s="5">
        <v>5.4882289999999996</v>
      </c>
      <c r="E200" s="4">
        <v>0</v>
      </c>
      <c r="F200" s="4">
        <v>0</v>
      </c>
      <c r="G200" s="4">
        <v>0</v>
      </c>
      <c r="H200" s="6">
        <v>61.990845</v>
      </c>
      <c r="I200" s="6">
        <v>30.634014000000001</v>
      </c>
      <c r="J200" s="6">
        <v>77.022695999999996</v>
      </c>
      <c r="K200" s="7">
        <f t="shared" si="6"/>
        <v>1.3720572499999999</v>
      </c>
      <c r="L200" s="8">
        <f t="shared" si="7"/>
        <v>56.549185000000001</v>
      </c>
      <c r="M200" s="9">
        <v>4.4849230314953003E-8</v>
      </c>
      <c r="N200" s="9">
        <v>7.0014836168462303E-7</v>
      </c>
      <c r="O200" s="2">
        <v>5.25059831610983</v>
      </c>
      <c r="P200" t="s">
        <v>992</v>
      </c>
      <c r="Q200" s="10">
        <f>IF(N200&lt;='[1]statistical criteria'!$B$2,IF(O200&gt;=LOG('[1]statistical criteria'!$B$3,2),1,IF(O200&lt;=-1*LOG('[1]statistical criteria'!$B$3,2),2,"-")),"-")</f>
        <v>1</v>
      </c>
      <c r="R200" t="s">
        <v>994</v>
      </c>
      <c r="S200" t="s">
        <v>995</v>
      </c>
      <c r="T200" s="9">
        <v>1.9999999999999998E-71</v>
      </c>
      <c r="U200" t="s">
        <v>996</v>
      </c>
    </row>
    <row r="201" spans="1:21" x14ac:dyDescent="0.35">
      <c r="A201" t="s">
        <v>997</v>
      </c>
      <c r="B201" t="s">
        <v>998</v>
      </c>
      <c r="C201">
        <v>1401</v>
      </c>
      <c r="D201" s="4">
        <v>0</v>
      </c>
      <c r="E201" s="4">
        <v>0</v>
      </c>
      <c r="F201" s="4">
        <v>0</v>
      </c>
      <c r="G201" s="4">
        <v>0</v>
      </c>
      <c r="H201" s="6">
        <v>6.4515700000000002</v>
      </c>
      <c r="I201" s="6">
        <v>5.1505809999999999</v>
      </c>
      <c r="J201" s="6">
        <v>13.422890000000001</v>
      </c>
      <c r="K201" s="7">
        <f t="shared" si="6"/>
        <v>0</v>
      </c>
      <c r="L201" s="8">
        <f t="shared" si="7"/>
        <v>8.3416803333333345</v>
      </c>
      <c r="M201" s="9">
        <v>5.1045171424307E-10</v>
      </c>
      <c r="N201" s="9">
        <v>1.1495735055675299E-8</v>
      </c>
      <c r="O201" s="2">
        <v>5.2433427903344203</v>
      </c>
      <c r="P201" t="s">
        <v>997</v>
      </c>
      <c r="Q201" s="10">
        <f>IF(N201&lt;='[1]statistical criteria'!$B$2,IF(O201&gt;=LOG('[1]statistical criteria'!$B$3,2),1,IF(O201&lt;=-1*LOG('[1]statistical criteria'!$B$3,2),2,"-")),"-")</f>
        <v>1</v>
      </c>
    </row>
    <row r="202" spans="1:21" x14ac:dyDescent="0.35">
      <c r="A202" t="s">
        <v>51</v>
      </c>
      <c r="B202" t="s">
        <v>52</v>
      </c>
      <c r="C202">
        <v>285</v>
      </c>
      <c r="D202" s="5">
        <v>7.9362560000000002</v>
      </c>
      <c r="E202" s="4">
        <v>0</v>
      </c>
      <c r="F202" s="4">
        <v>0</v>
      </c>
      <c r="G202" s="4">
        <v>0</v>
      </c>
      <c r="H202" s="6">
        <v>165.80125200000001</v>
      </c>
      <c r="I202" s="6">
        <v>270.949972</v>
      </c>
      <c r="J202" s="6">
        <v>80.765303000000003</v>
      </c>
      <c r="K202" s="7">
        <f t="shared" si="6"/>
        <v>1.984064</v>
      </c>
      <c r="L202" s="8">
        <f t="shared" si="7"/>
        <v>172.50550899999999</v>
      </c>
      <c r="M202" s="9">
        <v>1.5673099227138899E-8</v>
      </c>
      <c r="N202" s="9">
        <v>2.6943006169146699E-7</v>
      </c>
      <c r="O202" s="2">
        <v>5.2370255478271099</v>
      </c>
      <c r="P202" t="s">
        <v>51</v>
      </c>
      <c r="Q202" s="10">
        <f>IF(N202&lt;='[1]statistical criteria'!$B$2,IF(O202&gt;=LOG('[1]statistical criteria'!$B$3,2),1,IF(O202&lt;=-1*LOG('[1]statistical criteria'!$B$3,2),2,"-")),"-")</f>
        <v>1</v>
      </c>
    </row>
    <row r="203" spans="1:21" x14ac:dyDescent="0.35">
      <c r="A203" t="s">
        <v>999</v>
      </c>
      <c r="B203" t="s">
        <v>1000</v>
      </c>
      <c r="C203">
        <v>990</v>
      </c>
      <c r="D203" s="4">
        <v>0</v>
      </c>
      <c r="E203" s="4">
        <v>0</v>
      </c>
      <c r="F203" s="4">
        <v>0</v>
      </c>
      <c r="G203" s="4">
        <v>0</v>
      </c>
      <c r="H203" s="6">
        <v>13.827018000000001</v>
      </c>
      <c r="I203" s="6">
        <v>3.8724780000000001</v>
      </c>
      <c r="J203" s="6">
        <v>9.9877760000000002</v>
      </c>
      <c r="K203" s="7">
        <f t="shared" si="6"/>
        <v>0</v>
      </c>
      <c r="L203" s="8">
        <f t="shared" si="7"/>
        <v>9.2290906666666661</v>
      </c>
      <c r="M203" s="9">
        <v>9.3139412166387494E-11</v>
      </c>
      <c r="N203" s="9">
        <v>2.3695762212919202E-9</v>
      </c>
      <c r="O203" s="2">
        <v>5.2324402598723898</v>
      </c>
      <c r="P203" t="s">
        <v>999</v>
      </c>
      <c r="Q203" s="10">
        <f>IF(N203&lt;='[1]statistical criteria'!$B$2,IF(O203&gt;=LOG('[1]statistical criteria'!$B$3,2),1,IF(O203&lt;=-1*LOG('[1]statistical criteria'!$B$3,2),2,"-")),"-")</f>
        <v>1</v>
      </c>
      <c r="R203" t="s">
        <v>1001</v>
      </c>
      <c r="S203" t="s">
        <v>718</v>
      </c>
      <c r="T203" s="9">
        <v>3.9999999999999999E-64</v>
      </c>
      <c r="U203" t="s">
        <v>719</v>
      </c>
    </row>
    <row r="204" spans="1:21" x14ac:dyDescent="0.35">
      <c r="A204" t="s">
        <v>1002</v>
      </c>
      <c r="B204" t="s">
        <v>1003</v>
      </c>
      <c r="C204">
        <v>975</v>
      </c>
      <c r="D204" s="4">
        <v>0</v>
      </c>
      <c r="E204" s="4">
        <v>0</v>
      </c>
      <c r="F204" s="4">
        <v>0</v>
      </c>
      <c r="G204" s="4">
        <v>0</v>
      </c>
      <c r="H204" s="6">
        <v>11.7058</v>
      </c>
      <c r="I204" s="6">
        <v>8.8138769999999997</v>
      </c>
      <c r="J204" s="6">
        <v>9.3835840000000008</v>
      </c>
      <c r="K204" s="7">
        <f t="shared" si="6"/>
        <v>0</v>
      </c>
      <c r="L204" s="8">
        <f t="shared" si="7"/>
        <v>9.9677536666666668</v>
      </c>
      <c r="M204" s="9">
        <v>2.2457085280788699E-10</v>
      </c>
      <c r="N204" s="9">
        <v>5.3380879152230402E-9</v>
      </c>
      <c r="O204" s="2">
        <v>5.2319496657633797</v>
      </c>
      <c r="P204" t="s">
        <v>1002</v>
      </c>
      <c r="Q204" s="10">
        <f>IF(N204&lt;='[1]statistical criteria'!$B$2,IF(O204&gt;=LOG('[1]statistical criteria'!$B$3,2),1,IF(O204&lt;=-1*LOG('[1]statistical criteria'!$B$3,2),2,"-")),"-")</f>
        <v>1</v>
      </c>
      <c r="R204" t="s">
        <v>1004</v>
      </c>
      <c r="S204" t="s">
        <v>1005</v>
      </c>
      <c r="T204" s="9">
        <v>2E-150</v>
      </c>
      <c r="U204" t="s">
        <v>1006</v>
      </c>
    </row>
    <row r="205" spans="1:21" x14ac:dyDescent="0.35">
      <c r="A205" t="s">
        <v>1007</v>
      </c>
      <c r="B205" t="s">
        <v>1008</v>
      </c>
      <c r="C205">
        <v>780</v>
      </c>
      <c r="D205" s="4">
        <v>0</v>
      </c>
      <c r="E205" s="4">
        <v>0</v>
      </c>
      <c r="F205" s="4">
        <v>0</v>
      </c>
      <c r="G205" s="4">
        <v>0</v>
      </c>
      <c r="H205" s="6">
        <v>10.924875999999999</v>
      </c>
      <c r="I205" s="6">
        <v>14.093265000000001</v>
      </c>
      <c r="J205" s="6">
        <v>6.3201510000000001</v>
      </c>
      <c r="K205" s="7">
        <f t="shared" si="6"/>
        <v>0</v>
      </c>
      <c r="L205" s="8">
        <f t="shared" si="7"/>
        <v>10.446097333333332</v>
      </c>
      <c r="M205" s="9">
        <v>7.2705823234892504E-9</v>
      </c>
      <c r="N205" s="9">
        <v>1.33165718590953E-7</v>
      </c>
      <c r="O205" s="2">
        <v>5.2292826334321498</v>
      </c>
      <c r="P205" t="s">
        <v>1007</v>
      </c>
      <c r="Q205" s="10">
        <f>IF(N205&lt;='[1]statistical criteria'!$B$2,IF(O205&gt;=LOG('[1]statistical criteria'!$B$3,2),1,IF(O205&lt;=-1*LOG('[1]statistical criteria'!$B$3,2),2,"-")),"-")</f>
        <v>1</v>
      </c>
    </row>
    <row r="206" spans="1:21" x14ac:dyDescent="0.35">
      <c r="A206" t="s">
        <v>108</v>
      </c>
      <c r="B206" t="s">
        <v>109</v>
      </c>
      <c r="C206">
        <v>477</v>
      </c>
      <c r="D206" s="4">
        <v>0</v>
      </c>
      <c r="E206" s="4">
        <v>0</v>
      </c>
      <c r="F206" s="4">
        <v>0</v>
      </c>
      <c r="G206" s="4">
        <v>0</v>
      </c>
      <c r="H206" s="6">
        <v>23.627793</v>
      </c>
      <c r="I206" s="6">
        <v>13.967034</v>
      </c>
      <c r="J206" s="6">
        <v>74.545732999999998</v>
      </c>
      <c r="K206" s="7">
        <f t="shared" si="6"/>
        <v>0</v>
      </c>
      <c r="L206" s="8">
        <f t="shared" si="7"/>
        <v>37.380186666666667</v>
      </c>
      <c r="M206" s="9">
        <v>2.8162990912183601E-10</v>
      </c>
      <c r="N206" s="9">
        <v>6.5880973209447198E-9</v>
      </c>
      <c r="O206" s="2">
        <v>5.2264260756496501</v>
      </c>
      <c r="P206" t="s">
        <v>108</v>
      </c>
      <c r="Q206" s="10">
        <f>IF(N206&lt;='[1]statistical criteria'!$B$2,IF(O206&gt;=LOG('[1]statistical criteria'!$B$3,2),1,IF(O206&lt;=-1*LOG('[1]statistical criteria'!$B$3,2),2,"-")),"-")</f>
        <v>1</v>
      </c>
      <c r="R206" t="s">
        <v>49</v>
      </c>
      <c r="S206" t="s">
        <v>110</v>
      </c>
      <c r="T206" s="9">
        <v>9.9999999999999993E-40</v>
      </c>
      <c r="U206" t="s">
        <v>53</v>
      </c>
    </row>
    <row r="207" spans="1:21" x14ac:dyDescent="0.35">
      <c r="A207" t="s">
        <v>1009</v>
      </c>
      <c r="B207" t="s">
        <v>1010</v>
      </c>
      <c r="C207">
        <v>2586</v>
      </c>
      <c r="D207" s="5">
        <v>0.28216999999999998</v>
      </c>
      <c r="E207" s="4">
        <v>0</v>
      </c>
      <c r="F207" s="4">
        <v>0</v>
      </c>
      <c r="G207" s="4">
        <v>0</v>
      </c>
      <c r="H207" s="6">
        <v>7.5347280000000003</v>
      </c>
      <c r="I207" s="6">
        <v>5.0853169999999999</v>
      </c>
      <c r="J207" s="6">
        <v>14.134523</v>
      </c>
      <c r="K207" s="7">
        <f t="shared" si="6"/>
        <v>7.0542499999999994E-2</v>
      </c>
      <c r="L207" s="8">
        <f t="shared" si="7"/>
        <v>8.9181893333333324</v>
      </c>
      <c r="M207" s="9">
        <v>2.8505102453277399E-8</v>
      </c>
      <c r="N207" s="9">
        <v>4.65620204170218E-7</v>
      </c>
      <c r="O207" s="2">
        <v>5.2208261473767203</v>
      </c>
      <c r="P207" t="s">
        <v>1009</v>
      </c>
      <c r="Q207" s="10">
        <f>IF(N207&lt;='[1]statistical criteria'!$B$2,IF(O207&gt;=LOG('[1]statistical criteria'!$B$3,2),1,IF(O207&lt;=-1*LOG('[1]statistical criteria'!$B$3,2),2,"-")),"-")</f>
        <v>1</v>
      </c>
      <c r="R207" t="s">
        <v>1011</v>
      </c>
      <c r="S207" t="s">
        <v>1012</v>
      </c>
      <c r="T207" s="9">
        <v>9.9999999999999998E-172</v>
      </c>
      <c r="U207" t="s">
        <v>1013</v>
      </c>
    </row>
    <row r="208" spans="1:21" x14ac:dyDescent="0.35">
      <c r="A208" t="s">
        <v>67</v>
      </c>
      <c r="B208" t="s">
        <v>68</v>
      </c>
      <c r="C208">
        <v>522</v>
      </c>
      <c r="D208" s="5">
        <v>7.0140799999999999</v>
      </c>
      <c r="E208" s="4">
        <v>0</v>
      </c>
      <c r="F208" s="4">
        <v>0</v>
      </c>
      <c r="G208" s="4">
        <v>0</v>
      </c>
      <c r="H208" s="6">
        <v>42.680123000000002</v>
      </c>
      <c r="I208" s="6">
        <v>68.907594000000003</v>
      </c>
      <c r="J208" s="6">
        <v>127.794304</v>
      </c>
      <c r="K208" s="7">
        <f t="shared" si="6"/>
        <v>1.75352</v>
      </c>
      <c r="L208" s="8">
        <f t="shared" si="7"/>
        <v>79.794007000000008</v>
      </c>
      <c r="M208" s="9">
        <v>6.32558520218674E-8</v>
      </c>
      <c r="N208" s="9">
        <v>9.5917040954273909E-7</v>
      </c>
      <c r="O208" s="2">
        <v>5.2116899846532396</v>
      </c>
      <c r="P208" t="s">
        <v>67</v>
      </c>
      <c r="Q208" s="10">
        <f>IF(N208&lt;='[1]statistical criteria'!$B$2,IF(O208&gt;=LOG('[1]statistical criteria'!$B$3,2),1,IF(O208&lt;=-1*LOG('[1]statistical criteria'!$B$3,2),2,"-")),"-")</f>
        <v>1</v>
      </c>
      <c r="R208" t="s">
        <v>69</v>
      </c>
      <c r="S208" t="s">
        <v>70</v>
      </c>
      <c r="T208" s="9">
        <v>4.9999999999999996E-72</v>
      </c>
      <c r="U208" t="s">
        <v>71</v>
      </c>
    </row>
    <row r="209" spans="1:21" x14ac:dyDescent="0.35">
      <c r="A209" t="s">
        <v>80</v>
      </c>
      <c r="B209" t="s">
        <v>81</v>
      </c>
      <c r="C209">
        <v>1113</v>
      </c>
      <c r="D209" s="5">
        <v>1.8265439999999999</v>
      </c>
      <c r="E209" s="5">
        <v>6.1728839999999998</v>
      </c>
      <c r="F209" s="5">
        <v>0.55372100000000002</v>
      </c>
      <c r="G209" s="5">
        <v>1.3141320000000001</v>
      </c>
      <c r="H209" s="6">
        <v>313.32690000000002</v>
      </c>
      <c r="I209" s="6">
        <v>453.75561099999999</v>
      </c>
      <c r="J209" s="6">
        <v>219.64712700000001</v>
      </c>
      <c r="K209" s="7">
        <f t="shared" si="6"/>
        <v>2.46682025</v>
      </c>
      <c r="L209" s="8">
        <f t="shared" si="7"/>
        <v>328.90987933333332</v>
      </c>
      <c r="M209" s="9">
        <v>2.2782088910408498E-30</v>
      </c>
      <c r="N209" s="9">
        <v>5.7422934035109102E-28</v>
      </c>
      <c r="O209" s="2">
        <v>5.2031398688993002</v>
      </c>
      <c r="P209" t="s">
        <v>80</v>
      </c>
      <c r="Q209" s="10">
        <f>IF(N209&lt;='[1]statistical criteria'!$B$2,IF(O209&gt;=LOG('[1]statistical criteria'!$B$3,2),1,IF(O209&lt;=-1*LOG('[1]statistical criteria'!$B$3,2),2,"-")),"-")</f>
        <v>1</v>
      </c>
      <c r="R209" t="s">
        <v>82</v>
      </c>
      <c r="S209" t="s">
        <v>83</v>
      </c>
      <c r="T209" s="9">
        <v>3E-131</v>
      </c>
      <c r="U209" t="s">
        <v>84</v>
      </c>
    </row>
    <row r="210" spans="1:21" x14ac:dyDescent="0.35">
      <c r="A210" t="s">
        <v>1014</v>
      </c>
      <c r="C210">
        <v>708</v>
      </c>
      <c r="D210" s="5">
        <v>0.70848900000000004</v>
      </c>
      <c r="E210" s="4">
        <v>0</v>
      </c>
      <c r="F210" s="5">
        <v>1.987134</v>
      </c>
      <c r="G210" s="4">
        <v>0</v>
      </c>
      <c r="H210" s="6">
        <v>74.187302000000003</v>
      </c>
      <c r="I210" s="6">
        <v>56.061892999999998</v>
      </c>
      <c r="J210" s="6">
        <v>81.688045000000002</v>
      </c>
      <c r="K210" s="7">
        <f t="shared" si="6"/>
        <v>0.67390574999999997</v>
      </c>
      <c r="L210" s="8">
        <f t="shared" si="7"/>
        <v>70.645746666666653</v>
      </c>
      <c r="M210" s="9">
        <v>2.0774239569901702E-8</v>
      </c>
      <c r="N210" s="9">
        <v>3.4892654811582399E-7</v>
      </c>
      <c r="O210" s="2">
        <v>5.1866234874405501</v>
      </c>
      <c r="P210" t="s">
        <v>1014</v>
      </c>
      <c r="Q210" s="10">
        <f>IF(N210&lt;='[1]statistical criteria'!$B$2,IF(O210&gt;=LOG('[1]statistical criteria'!$B$3,2),1,IF(O210&lt;=-1*LOG('[1]statistical criteria'!$B$3,2),2,"-")),"-")</f>
        <v>1</v>
      </c>
      <c r="R210" t="s">
        <v>1015</v>
      </c>
    </row>
    <row r="211" spans="1:21" x14ac:dyDescent="0.35">
      <c r="A211" t="s">
        <v>1016</v>
      </c>
      <c r="B211" t="s">
        <v>1017</v>
      </c>
      <c r="C211">
        <v>690</v>
      </c>
      <c r="D211" s="5">
        <v>7.9392120000000004</v>
      </c>
      <c r="E211" s="4">
        <v>0</v>
      </c>
      <c r="F211" s="4">
        <v>0</v>
      </c>
      <c r="G211" s="4">
        <v>0</v>
      </c>
      <c r="H211" s="6">
        <v>66.850689000000003</v>
      </c>
      <c r="I211" s="6">
        <v>54.844617999999997</v>
      </c>
      <c r="J211" s="6">
        <v>103.332618</v>
      </c>
      <c r="K211" s="7">
        <f t="shared" si="6"/>
        <v>1.9848030000000001</v>
      </c>
      <c r="L211" s="8">
        <f t="shared" si="7"/>
        <v>75.009308333333323</v>
      </c>
      <c r="M211" s="9">
        <v>8.3851160301860003E-6</v>
      </c>
      <c r="N211" s="9">
        <v>7.7498182639358697E-5</v>
      </c>
      <c r="O211" s="2">
        <v>5.1762227999365704</v>
      </c>
      <c r="P211" t="s">
        <v>1016</v>
      </c>
      <c r="Q211" s="10">
        <f>IF(N211&lt;='[1]statistical criteria'!$B$2,IF(O211&gt;=LOG('[1]statistical criteria'!$B$3,2),1,IF(O211&lt;=-1*LOG('[1]statistical criteria'!$B$3,2),2,"-")),"-")</f>
        <v>1</v>
      </c>
      <c r="R211" t="s">
        <v>227</v>
      </c>
      <c r="S211" t="s">
        <v>228</v>
      </c>
      <c r="T211" s="9">
        <v>4.9999999999999999E-20</v>
      </c>
      <c r="U211" t="s">
        <v>229</v>
      </c>
    </row>
    <row r="212" spans="1:21" x14ac:dyDescent="0.35">
      <c r="A212" t="s">
        <v>1018</v>
      </c>
      <c r="B212" t="s">
        <v>1019</v>
      </c>
      <c r="C212">
        <v>639</v>
      </c>
      <c r="D212" s="5">
        <v>0.50273999999999996</v>
      </c>
      <c r="E212" s="4">
        <v>0</v>
      </c>
      <c r="F212" s="4">
        <v>0</v>
      </c>
      <c r="G212" s="4">
        <v>0</v>
      </c>
      <c r="H212" s="6">
        <v>80.259866000000002</v>
      </c>
      <c r="I212" s="6">
        <v>10.197620000000001</v>
      </c>
      <c r="J212" s="6">
        <v>30.899404000000001</v>
      </c>
      <c r="K212" s="7">
        <f t="shared" si="6"/>
        <v>0.12568499999999999</v>
      </c>
      <c r="L212" s="8">
        <f t="shared" si="7"/>
        <v>40.452296666666669</v>
      </c>
      <c r="M212" s="9">
        <v>4.8461657373843797E-10</v>
      </c>
      <c r="N212" s="9">
        <v>1.09462948347092E-8</v>
      </c>
      <c r="O212" s="2">
        <v>5.1738296032301001</v>
      </c>
      <c r="P212" t="s">
        <v>1018</v>
      </c>
      <c r="Q212" s="10">
        <f>IF(N212&lt;='[1]statistical criteria'!$B$2,IF(O212&gt;=LOG('[1]statistical criteria'!$B$3,2),1,IF(O212&lt;=-1*LOG('[1]statistical criteria'!$B$3,2),2,"-")),"-")</f>
        <v>1</v>
      </c>
      <c r="R212" t="s">
        <v>994</v>
      </c>
      <c r="S212" t="s">
        <v>995</v>
      </c>
      <c r="T212" s="9">
        <v>1.9999999999999998E-71</v>
      </c>
      <c r="U212" t="s">
        <v>996</v>
      </c>
    </row>
    <row r="213" spans="1:21" x14ac:dyDescent="0.35">
      <c r="A213" t="s">
        <v>1020</v>
      </c>
      <c r="B213" t="s">
        <v>1021</v>
      </c>
      <c r="C213">
        <v>510</v>
      </c>
      <c r="D213" s="5">
        <v>5.7535720000000001</v>
      </c>
      <c r="E213" s="5">
        <v>9.049474</v>
      </c>
      <c r="F213" s="5">
        <v>2.2560449999999999</v>
      </c>
      <c r="G213" s="5">
        <v>0.77101799999999998</v>
      </c>
      <c r="H213" s="6">
        <v>1271.065204</v>
      </c>
      <c r="I213" s="6">
        <v>1407.729556</v>
      </c>
      <c r="J213" s="6">
        <v>933.600863</v>
      </c>
      <c r="K213" s="7">
        <f t="shared" si="6"/>
        <v>4.4575272500000001</v>
      </c>
      <c r="L213" s="8">
        <f t="shared" si="7"/>
        <v>1204.1318743333334</v>
      </c>
      <c r="M213" s="9">
        <v>6.9564560918812702E-23</v>
      </c>
      <c r="N213" s="9">
        <v>9.2899199598947706E-21</v>
      </c>
      <c r="O213" s="2">
        <v>5.1710370410324904</v>
      </c>
      <c r="P213" t="s">
        <v>1020</v>
      </c>
      <c r="Q213" s="10">
        <f>IF(N213&lt;='[1]statistical criteria'!$B$2,IF(O213&gt;=LOG('[1]statistical criteria'!$B$3,2),1,IF(O213&lt;=-1*LOG('[1]statistical criteria'!$B$3,2),2,"-")),"-")</f>
        <v>1</v>
      </c>
      <c r="R213" t="s">
        <v>802</v>
      </c>
    </row>
    <row r="214" spans="1:21" x14ac:dyDescent="0.35">
      <c r="A214" t="s">
        <v>1022</v>
      </c>
      <c r="B214" t="s">
        <v>1023</v>
      </c>
      <c r="C214">
        <v>2103</v>
      </c>
      <c r="D214" s="4">
        <v>0</v>
      </c>
      <c r="E214" s="4">
        <v>0</v>
      </c>
      <c r="F214" s="4">
        <v>0</v>
      </c>
      <c r="G214" s="4">
        <v>0</v>
      </c>
      <c r="H214" s="6">
        <v>3.4376890000000002</v>
      </c>
      <c r="I214" s="6">
        <v>7.776313</v>
      </c>
      <c r="J214" s="6">
        <v>7.7803719999999998</v>
      </c>
      <c r="K214" s="7">
        <f t="shared" si="6"/>
        <v>0</v>
      </c>
      <c r="L214" s="8">
        <f t="shared" si="7"/>
        <v>6.3314580000000005</v>
      </c>
      <c r="M214" s="9">
        <v>3.9029111056889999E-8</v>
      </c>
      <c r="N214" s="9">
        <v>6.1792812776681396E-7</v>
      </c>
      <c r="O214" s="2">
        <v>5.1683521621574604</v>
      </c>
      <c r="P214" t="s">
        <v>1022</v>
      </c>
      <c r="Q214" s="10">
        <f>IF(N214&lt;='[1]statistical criteria'!$B$2,IF(O214&gt;=LOG('[1]statistical criteria'!$B$3,2),1,IF(O214&lt;=-1*LOG('[1]statistical criteria'!$B$3,2),2,"-")),"-")</f>
        <v>1</v>
      </c>
      <c r="R214" t="s">
        <v>1024</v>
      </c>
      <c r="S214" t="s">
        <v>1025</v>
      </c>
      <c r="T214">
        <v>0</v>
      </c>
      <c r="U214" t="s">
        <v>1026</v>
      </c>
    </row>
    <row r="215" spans="1:21" x14ac:dyDescent="0.35">
      <c r="A215" t="s">
        <v>1027</v>
      </c>
      <c r="B215" t="s">
        <v>1028</v>
      </c>
      <c r="C215">
        <v>885</v>
      </c>
      <c r="D215" s="4">
        <v>0</v>
      </c>
      <c r="E215" s="4">
        <v>0</v>
      </c>
      <c r="F215" s="4">
        <v>0</v>
      </c>
      <c r="G215" s="4">
        <v>0</v>
      </c>
      <c r="H215" s="6">
        <v>5.0418050000000001</v>
      </c>
      <c r="I215" s="6">
        <v>4.2898670000000001</v>
      </c>
      <c r="J215" s="6">
        <v>19.629950000000001</v>
      </c>
      <c r="K215" s="7">
        <f t="shared" si="6"/>
        <v>0</v>
      </c>
      <c r="L215" s="8">
        <f t="shared" si="7"/>
        <v>9.6538740000000001</v>
      </c>
      <c r="M215" s="9">
        <v>8.2401770757444008E-9</v>
      </c>
      <c r="N215" s="9">
        <v>1.4934339976325301E-7</v>
      </c>
      <c r="O215" s="2">
        <v>5.1666037859644298</v>
      </c>
      <c r="P215" t="s">
        <v>1027</v>
      </c>
      <c r="Q215" s="10">
        <f>IF(N215&lt;='[1]statistical criteria'!$B$2,IF(O215&gt;=LOG('[1]statistical criteria'!$B$3,2),1,IF(O215&lt;=-1*LOG('[1]statistical criteria'!$B$3,2),2,"-")),"-")</f>
        <v>1</v>
      </c>
      <c r="S215" t="s">
        <v>1029</v>
      </c>
      <c r="T215" s="9">
        <v>7.0000000000000001E-52</v>
      </c>
      <c r="U215" t="s">
        <v>1030</v>
      </c>
    </row>
    <row r="216" spans="1:21" x14ac:dyDescent="0.35">
      <c r="A216" t="s">
        <v>1031</v>
      </c>
      <c r="B216" t="s">
        <v>1032</v>
      </c>
      <c r="C216">
        <v>3081</v>
      </c>
      <c r="D216" s="4">
        <v>0</v>
      </c>
      <c r="E216" s="4">
        <v>0</v>
      </c>
      <c r="F216" s="4">
        <v>0</v>
      </c>
      <c r="G216" s="4">
        <v>0</v>
      </c>
      <c r="H216" s="6">
        <v>4.7857139999999996</v>
      </c>
      <c r="I216" s="6">
        <v>2.1085449999999999</v>
      </c>
      <c r="J216" s="6">
        <v>2.986097</v>
      </c>
      <c r="K216" s="7">
        <f t="shared" si="6"/>
        <v>0</v>
      </c>
      <c r="L216" s="8">
        <f t="shared" si="7"/>
        <v>3.2934519999999998</v>
      </c>
      <c r="M216" s="9">
        <v>1.7235828403385401E-14</v>
      </c>
      <c r="N216" s="9">
        <v>7.65455809839963E-13</v>
      </c>
      <c r="O216" s="2">
        <v>5.1628691313920898</v>
      </c>
      <c r="P216" t="s">
        <v>1031</v>
      </c>
      <c r="Q216" s="10">
        <f>IF(N216&lt;='[1]statistical criteria'!$B$2,IF(O216&gt;=LOG('[1]statistical criteria'!$B$3,2),1,IF(O216&lt;=-1*LOG('[1]statistical criteria'!$B$3,2),2,"-")),"-")</f>
        <v>1</v>
      </c>
      <c r="R216" t="s">
        <v>1033</v>
      </c>
    </row>
    <row r="217" spans="1:21" x14ac:dyDescent="0.35">
      <c r="A217" t="s">
        <v>300</v>
      </c>
      <c r="B217" t="s">
        <v>301</v>
      </c>
      <c r="C217">
        <v>1587</v>
      </c>
      <c r="D217" s="4">
        <v>0</v>
      </c>
      <c r="E217" s="5">
        <v>2.117524</v>
      </c>
      <c r="F217" s="4">
        <v>0</v>
      </c>
      <c r="G217" s="4">
        <v>0</v>
      </c>
      <c r="H217" s="6">
        <v>12.738282</v>
      </c>
      <c r="I217" s="6">
        <v>25.325223000000001</v>
      </c>
      <c r="J217" s="6">
        <v>15.673721</v>
      </c>
      <c r="K217" s="7">
        <f t="shared" si="6"/>
        <v>0.52938099999999999</v>
      </c>
      <c r="L217" s="8">
        <f t="shared" si="7"/>
        <v>17.912408666666668</v>
      </c>
      <c r="M217" s="9">
        <v>3.2928809925114898E-8</v>
      </c>
      <c r="N217" s="9">
        <v>5.2970012922648902E-7</v>
      </c>
      <c r="O217" s="2">
        <v>5.1626750026014996</v>
      </c>
      <c r="P217" t="s">
        <v>300</v>
      </c>
      <c r="Q217" s="10">
        <f>IF(N217&lt;='[1]statistical criteria'!$B$2,IF(O217&gt;=LOG('[1]statistical criteria'!$B$3,2),1,IF(O217&lt;=-1*LOG('[1]statistical criteria'!$B$3,2),2,"-")),"-")</f>
        <v>1</v>
      </c>
      <c r="R217" t="s">
        <v>302</v>
      </c>
      <c r="S217" t="s">
        <v>303</v>
      </c>
      <c r="T217">
        <v>0</v>
      </c>
      <c r="U217" t="s">
        <v>304</v>
      </c>
    </row>
    <row r="218" spans="1:21" x14ac:dyDescent="0.35">
      <c r="A218" t="s">
        <v>1034</v>
      </c>
      <c r="B218" t="s">
        <v>1035</v>
      </c>
      <c r="C218">
        <v>729</v>
      </c>
      <c r="D218" s="5">
        <v>6.3108579999999996</v>
      </c>
      <c r="E218" s="4">
        <v>0</v>
      </c>
      <c r="F218" s="4">
        <v>0</v>
      </c>
      <c r="G218" s="4">
        <v>0</v>
      </c>
      <c r="H218" s="6">
        <v>36.632868999999999</v>
      </c>
      <c r="I218" s="6">
        <v>51.174357999999998</v>
      </c>
      <c r="J218" s="6">
        <v>41.724977000000003</v>
      </c>
      <c r="K218" s="7">
        <f t="shared" si="6"/>
        <v>1.5777144999999999</v>
      </c>
      <c r="L218" s="8">
        <f t="shared" si="7"/>
        <v>43.177401333333336</v>
      </c>
      <c r="M218" s="9">
        <v>2.09627663443393E-7</v>
      </c>
      <c r="N218" s="9">
        <v>2.8073289481546599E-6</v>
      </c>
      <c r="O218" s="2">
        <v>5.1575546856021397</v>
      </c>
      <c r="P218" t="s">
        <v>1034</v>
      </c>
      <c r="Q218" s="10">
        <f>IF(N218&lt;='[1]statistical criteria'!$B$2,IF(O218&gt;=LOG('[1]statistical criteria'!$B$3,2),1,IF(O218&lt;=-1*LOG('[1]statistical criteria'!$B$3,2),2,"-")),"-")</f>
        <v>1</v>
      </c>
      <c r="R218" t="s">
        <v>1036</v>
      </c>
      <c r="S218" t="s">
        <v>1037</v>
      </c>
      <c r="T218" s="9">
        <v>1E-59</v>
      </c>
      <c r="U218" t="s">
        <v>1038</v>
      </c>
    </row>
    <row r="219" spans="1:21" x14ac:dyDescent="0.35">
      <c r="A219" t="s">
        <v>1039</v>
      </c>
      <c r="B219" t="s">
        <v>1040</v>
      </c>
      <c r="C219">
        <v>1536</v>
      </c>
      <c r="D219" s="4">
        <v>0</v>
      </c>
      <c r="E219" s="4">
        <v>0</v>
      </c>
      <c r="F219" s="4">
        <v>0</v>
      </c>
      <c r="G219" s="4">
        <v>0</v>
      </c>
      <c r="H219" s="6">
        <v>4.8577389999999996</v>
      </c>
      <c r="I219" s="6">
        <v>2.619094</v>
      </c>
      <c r="J219" s="6">
        <v>7.6335420000000003</v>
      </c>
      <c r="K219" s="7">
        <f t="shared" si="6"/>
        <v>0</v>
      </c>
      <c r="L219" s="8">
        <f t="shared" si="7"/>
        <v>5.0367916666666668</v>
      </c>
      <c r="M219" s="9">
        <v>2.0634251774912398E-8</v>
      </c>
      <c r="N219" s="9">
        <v>3.4672831017799899E-7</v>
      </c>
      <c r="O219" s="2">
        <v>5.1484869369633097</v>
      </c>
      <c r="P219" t="s">
        <v>1039</v>
      </c>
      <c r="Q219" s="10">
        <f>IF(N219&lt;='[1]statistical criteria'!$B$2,IF(O219&gt;=LOG('[1]statistical criteria'!$B$3,2),1,IF(O219&lt;=-1*LOG('[1]statistical criteria'!$B$3,2),2,"-")),"-")</f>
        <v>1</v>
      </c>
      <c r="R219" t="s">
        <v>761</v>
      </c>
      <c r="S219" t="s">
        <v>1041</v>
      </c>
      <c r="T219" s="9">
        <v>9.9999999999999993E-103</v>
      </c>
      <c r="U219" t="s">
        <v>1042</v>
      </c>
    </row>
    <row r="220" spans="1:21" x14ac:dyDescent="0.35">
      <c r="A220" t="s">
        <v>1043</v>
      </c>
      <c r="B220" t="s">
        <v>1044</v>
      </c>
      <c r="C220">
        <v>1519</v>
      </c>
      <c r="D220" s="4">
        <v>0</v>
      </c>
      <c r="E220" s="4">
        <v>0</v>
      </c>
      <c r="F220" s="4">
        <v>0</v>
      </c>
      <c r="G220" s="5">
        <v>0.61132500000000001</v>
      </c>
      <c r="H220" s="6">
        <v>9.2917109999999994</v>
      </c>
      <c r="I220" s="6">
        <v>13.962375</v>
      </c>
      <c r="J220" s="6">
        <v>11.291121</v>
      </c>
      <c r="K220" s="7">
        <f t="shared" si="6"/>
        <v>0.15283125</v>
      </c>
      <c r="L220" s="8">
        <f t="shared" si="7"/>
        <v>11.515069000000002</v>
      </c>
      <c r="M220" s="9">
        <v>1.31293087331475E-8</v>
      </c>
      <c r="N220" s="9">
        <v>2.30171114870379E-7</v>
      </c>
      <c r="O220" s="2">
        <v>5.1443436626552197</v>
      </c>
      <c r="P220" t="s">
        <v>1043</v>
      </c>
      <c r="Q220" s="10">
        <f>IF(N220&lt;='[1]statistical criteria'!$B$2,IF(O220&gt;=LOG('[1]statistical criteria'!$B$3,2),1,IF(O220&lt;=-1*LOG('[1]statistical criteria'!$B$3,2),2,"-")),"-")</f>
        <v>1</v>
      </c>
      <c r="R220" t="s">
        <v>1045</v>
      </c>
      <c r="S220" t="s">
        <v>1046</v>
      </c>
      <c r="T220">
        <v>0</v>
      </c>
      <c r="U220" t="s">
        <v>1047</v>
      </c>
    </row>
    <row r="221" spans="1:21" x14ac:dyDescent="0.35">
      <c r="A221" t="s">
        <v>290</v>
      </c>
      <c r="B221" t="s">
        <v>291</v>
      </c>
      <c r="C221">
        <v>993</v>
      </c>
      <c r="D221" s="5">
        <v>0.57917399999999997</v>
      </c>
      <c r="E221" s="4">
        <v>0</v>
      </c>
      <c r="F221" s="4">
        <v>0</v>
      </c>
      <c r="G221" s="4">
        <v>0</v>
      </c>
      <c r="H221" s="6">
        <v>18.799882</v>
      </c>
      <c r="I221" s="6">
        <v>12.571662</v>
      </c>
      <c r="J221" s="6">
        <v>9.1086010000000002</v>
      </c>
      <c r="K221" s="7">
        <f t="shared" si="6"/>
        <v>0.14479349999999999</v>
      </c>
      <c r="L221" s="8">
        <f t="shared" si="7"/>
        <v>13.493381666666666</v>
      </c>
      <c r="M221" s="9">
        <v>5.0848538526927198E-8</v>
      </c>
      <c r="N221" s="9">
        <v>7.8766600583429E-7</v>
      </c>
      <c r="O221" s="2">
        <v>5.1362193189122101</v>
      </c>
      <c r="P221" t="s">
        <v>290</v>
      </c>
      <c r="Q221" s="10">
        <f>IF(N221&lt;='[1]statistical criteria'!$B$2,IF(O221&gt;=LOG('[1]statistical criteria'!$B$3,2),1,IF(O221&lt;=-1*LOG('[1]statistical criteria'!$B$3,2),2,"-")),"-")</f>
        <v>1</v>
      </c>
      <c r="S221" t="s">
        <v>292</v>
      </c>
      <c r="T221" s="9">
        <v>1.9999999999999999E-60</v>
      </c>
      <c r="U221" t="s">
        <v>293</v>
      </c>
    </row>
    <row r="222" spans="1:21" x14ac:dyDescent="0.35">
      <c r="A222" t="s">
        <v>1048</v>
      </c>
      <c r="B222" t="s">
        <v>1049</v>
      </c>
      <c r="C222">
        <v>804</v>
      </c>
      <c r="D222" s="4">
        <v>0</v>
      </c>
      <c r="E222" s="4">
        <v>0</v>
      </c>
      <c r="F222" s="4">
        <v>0</v>
      </c>
      <c r="G222" s="4">
        <v>0</v>
      </c>
      <c r="H222" s="6">
        <v>9.3765680000000007</v>
      </c>
      <c r="I222" s="6">
        <v>3.7913329999999998</v>
      </c>
      <c r="J222" s="6">
        <v>12.356116</v>
      </c>
      <c r="K222" s="7">
        <f t="shared" si="6"/>
        <v>0</v>
      </c>
      <c r="L222" s="8">
        <f t="shared" si="7"/>
        <v>8.5080056666666675</v>
      </c>
      <c r="M222" s="9">
        <v>8.6880028028603794E-11</v>
      </c>
      <c r="N222" s="9">
        <v>2.2222136201402302E-9</v>
      </c>
      <c r="O222" s="2">
        <v>5.1337049743225203</v>
      </c>
      <c r="P222" t="s">
        <v>1048</v>
      </c>
      <c r="Q222" s="10">
        <f>IF(N222&lt;='[1]statistical criteria'!$B$2,IF(O222&gt;=LOG('[1]statistical criteria'!$B$3,2),1,IF(O222&lt;=-1*LOG('[1]statistical criteria'!$B$3,2),2,"-")),"-")</f>
        <v>1</v>
      </c>
    </row>
    <row r="223" spans="1:21" x14ac:dyDescent="0.35">
      <c r="A223" t="s">
        <v>1050</v>
      </c>
      <c r="B223" t="s">
        <v>1051</v>
      </c>
      <c r="C223">
        <v>822</v>
      </c>
      <c r="D223" s="5">
        <v>2.5535030000000001</v>
      </c>
      <c r="E223" s="4">
        <v>0</v>
      </c>
      <c r="F223" s="4">
        <v>0</v>
      </c>
      <c r="G223" s="4">
        <v>0</v>
      </c>
      <c r="H223" s="6">
        <v>56.827691999999999</v>
      </c>
      <c r="I223" s="6">
        <v>13.520528000000001</v>
      </c>
      <c r="J223" s="6">
        <v>36.523992999999997</v>
      </c>
      <c r="K223" s="7">
        <f t="shared" si="6"/>
        <v>0.63837575000000002</v>
      </c>
      <c r="L223" s="8">
        <f t="shared" si="7"/>
        <v>35.624070999999994</v>
      </c>
      <c r="M223" s="9">
        <v>1.5415593747462999E-10</v>
      </c>
      <c r="N223" s="9">
        <v>3.7852741808286502E-9</v>
      </c>
      <c r="O223" s="2">
        <v>5.1331943561366602</v>
      </c>
      <c r="P223" t="s">
        <v>1050</v>
      </c>
      <c r="Q223" s="10">
        <f>IF(N223&lt;='[1]statistical criteria'!$B$2,IF(O223&gt;=LOG('[1]statistical criteria'!$B$3,2),1,IF(O223&lt;=-1*LOG('[1]statistical criteria'!$B$3,2),2,"-")),"-")</f>
        <v>1</v>
      </c>
      <c r="R223" t="s">
        <v>1052</v>
      </c>
      <c r="S223" t="s">
        <v>1053</v>
      </c>
      <c r="T223" s="9">
        <v>6.9999999999999994E-95</v>
      </c>
      <c r="U223" t="s">
        <v>1054</v>
      </c>
    </row>
    <row r="224" spans="1:21" x14ac:dyDescent="0.35">
      <c r="A224" t="s">
        <v>1055</v>
      </c>
      <c r="B224" t="s">
        <v>1056</v>
      </c>
      <c r="C224">
        <v>2004</v>
      </c>
      <c r="D224" s="5">
        <v>0.29758699999999999</v>
      </c>
      <c r="E224" s="4">
        <v>0</v>
      </c>
      <c r="F224" s="4">
        <v>0</v>
      </c>
      <c r="G224" s="4">
        <v>0</v>
      </c>
      <c r="H224" s="6">
        <v>14.361488</v>
      </c>
      <c r="I224" s="6">
        <v>2.119173</v>
      </c>
      <c r="J224" s="6">
        <v>15.087464000000001</v>
      </c>
      <c r="K224" s="7">
        <f t="shared" si="6"/>
        <v>7.4396749999999998E-2</v>
      </c>
      <c r="L224" s="8">
        <f t="shared" si="7"/>
        <v>10.522708333333332</v>
      </c>
      <c r="M224" s="9">
        <v>5.3260279981158697E-8</v>
      </c>
      <c r="N224" s="9">
        <v>8.2234736555087203E-7</v>
      </c>
      <c r="O224" s="2">
        <v>5.1283826222118103</v>
      </c>
      <c r="P224" t="s">
        <v>1055</v>
      </c>
      <c r="Q224" s="10">
        <f>IF(N224&lt;='[1]statistical criteria'!$B$2,IF(O224&gt;=LOG('[1]statistical criteria'!$B$3,2),1,IF(O224&lt;=-1*LOG('[1]statistical criteria'!$B$3,2),2,"-")),"-")</f>
        <v>1</v>
      </c>
      <c r="R224" t="s">
        <v>556</v>
      </c>
      <c r="S224" t="s">
        <v>557</v>
      </c>
      <c r="T224">
        <v>0</v>
      </c>
      <c r="U224" t="s">
        <v>558</v>
      </c>
    </row>
    <row r="225" spans="1:21" x14ac:dyDescent="0.35">
      <c r="A225" t="s">
        <v>1057</v>
      </c>
      <c r="B225" t="s">
        <v>1058</v>
      </c>
      <c r="C225">
        <v>330</v>
      </c>
      <c r="D225" s="5">
        <v>7.7891279999999998</v>
      </c>
      <c r="E225" s="4">
        <v>0</v>
      </c>
      <c r="F225" s="4">
        <v>0</v>
      </c>
      <c r="G225" s="5">
        <v>9.1383569999999992</v>
      </c>
      <c r="H225" s="6">
        <v>441.261415</v>
      </c>
      <c r="I225" s="6">
        <v>121.39915499999999</v>
      </c>
      <c r="J225" s="6">
        <v>383.29843</v>
      </c>
      <c r="K225" s="7">
        <f t="shared" si="6"/>
        <v>4.2318712499999993</v>
      </c>
      <c r="L225" s="8">
        <f t="shared" si="7"/>
        <v>315.31966666666671</v>
      </c>
      <c r="M225" s="9">
        <v>4.6500015791287202E-9</v>
      </c>
      <c r="N225" s="9">
        <v>8.88449096895779E-8</v>
      </c>
      <c r="O225" s="2">
        <v>5.1262627607354201</v>
      </c>
      <c r="P225" t="s">
        <v>1057</v>
      </c>
      <c r="Q225" s="10">
        <f>IF(N225&lt;='[1]statistical criteria'!$B$2,IF(O225&gt;=LOG('[1]statistical criteria'!$B$3,2),1,IF(O225&lt;=-1*LOG('[1]statistical criteria'!$B$3,2),2,"-")),"-")</f>
        <v>1</v>
      </c>
      <c r="R225" t="s">
        <v>664</v>
      </c>
      <c r="S225" t="s">
        <v>1059</v>
      </c>
      <c r="T225" s="9">
        <v>3E-49</v>
      </c>
      <c r="U225" t="s">
        <v>666</v>
      </c>
    </row>
    <row r="226" spans="1:21" x14ac:dyDescent="0.35">
      <c r="A226" t="s">
        <v>1060</v>
      </c>
      <c r="B226" t="s">
        <v>1061</v>
      </c>
      <c r="C226">
        <v>465</v>
      </c>
      <c r="D226" s="4">
        <v>0</v>
      </c>
      <c r="E226" s="4">
        <v>0</v>
      </c>
      <c r="F226" s="4">
        <v>0</v>
      </c>
      <c r="G226" s="4">
        <v>0</v>
      </c>
      <c r="H226" s="6">
        <v>40.249197000000002</v>
      </c>
      <c r="I226" s="6">
        <v>19.718166</v>
      </c>
      <c r="J226" s="6">
        <v>26.434657000000001</v>
      </c>
      <c r="K226" s="7">
        <f t="shared" si="6"/>
        <v>0</v>
      </c>
      <c r="L226" s="8">
        <f t="shared" si="7"/>
        <v>28.800673333333336</v>
      </c>
      <c r="M226" s="9">
        <v>2.2197570159210901E-11</v>
      </c>
      <c r="N226" s="9">
        <v>6.2212041256227196E-10</v>
      </c>
      <c r="O226" s="2">
        <v>5.1255649110765997</v>
      </c>
      <c r="P226" t="s">
        <v>1060</v>
      </c>
      <c r="Q226" s="10">
        <f>IF(N226&lt;='[1]statistical criteria'!$B$2,IF(O226&gt;=LOG('[1]statistical criteria'!$B$3,2),1,IF(O226&lt;=-1*LOG('[1]statistical criteria'!$B$3,2),2,"-")),"-")</f>
        <v>1</v>
      </c>
      <c r="R226" t="s">
        <v>664</v>
      </c>
    </row>
    <row r="227" spans="1:21" x14ac:dyDescent="0.35">
      <c r="A227" t="s">
        <v>1062</v>
      </c>
      <c r="B227" t="s">
        <v>1063</v>
      </c>
      <c r="C227">
        <v>1212</v>
      </c>
      <c r="D227" s="4">
        <v>0</v>
      </c>
      <c r="E227" s="4">
        <v>0</v>
      </c>
      <c r="F227" s="4">
        <v>0</v>
      </c>
      <c r="G227" s="4">
        <v>0</v>
      </c>
      <c r="H227" s="6">
        <v>7.7711670000000002</v>
      </c>
      <c r="I227" s="6">
        <v>2.6871350000000001</v>
      </c>
      <c r="J227" s="6">
        <v>12.726267</v>
      </c>
      <c r="K227" s="7">
        <f t="shared" si="6"/>
        <v>0</v>
      </c>
      <c r="L227" s="8">
        <f t="shared" si="7"/>
        <v>7.7281896666666663</v>
      </c>
      <c r="M227" s="9">
        <v>6.3795830966922298E-8</v>
      </c>
      <c r="N227" s="9">
        <v>9.6658810772335295E-7</v>
      </c>
      <c r="O227" s="2">
        <v>5.1237232703220101</v>
      </c>
      <c r="P227" t="s">
        <v>1062</v>
      </c>
      <c r="Q227" s="10">
        <f>IF(N227&lt;='[1]statistical criteria'!$B$2,IF(O227&gt;=LOG('[1]statistical criteria'!$B$3,2),1,IF(O227&lt;=-1*LOG('[1]statistical criteria'!$B$3,2),2,"-")),"-")</f>
        <v>1</v>
      </c>
      <c r="R227" t="s">
        <v>1064</v>
      </c>
      <c r="S227" t="s">
        <v>1065</v>
      </c>
      <c r="T227" s="9">
        <v>1.9999999999999999E-104</v>
      </c>
      <c r="U227" t="s">
        <v>1066</v>
      </c>
    </row>
    <row r="228" spans="1:21" x14ac:dyDescent="0.35">
      <c r="A228" t="s">
        <v>34</v>
      </c>
      <c r="B228" t="s">
        <v>35</v>
      </c>
      <c r="C228">
        <v>2645</v>
      </c>
      <c r="D228" s="5">
        <v>0.181312</v>
      </c>
      <c r="E228" s="5">
        <v>1.208402</v>
      </c>
      <c r="F228" s="5">
        <v>0.25873499999999999</v>
      </c>
      <c r="G228" s="4">
        <v>0</v>
      </c>
      <c r="H228" s="6">
        <v>21.599803999999999</v>
      </c>
      <c r="I228" s="6">
        <v>39.851782</v>
      </c>
      <c r="J228" s="6">
        <v>38.619472999999999</v>
      </c>
      <c r="K228" s="7">
        <f t="shared" si="6"/>
        <v>0.41211224999999996</v>
      </c>
      <c r="L228" s="8">
        <f t="shared" si="7"/>
        <v>33.357019666666666</v>
      </c>
      <c r="M228" s="9">
        <v>2.9640252865005302E-9</v>
      </c>
      <c r="N228" s="9">
        <v>5.8603014235953299E-8</v>
      </c>
      <c r="O228" s="2">
        <v>5.1222689616171397</v>
      </c>
      <c r="P228" t="s">
        <v>34</v>
      </c>
      <c r="Q228" s="10">
        <f>IF(N228&lt;='[1]statistical criteria'!$B$2,IF(O228&gt;=LOG('[1]statistical criteria'!$B$3,2),1,IF(O228&lt;=-1*LOG('[1]statistical criteria'!$B$3,2),2,"-")),"-")</f>
        <v>1</v>
      </c>
      <c r="R228" t="s">
        <v>36</v>
      </c>
      <c r="S228" t="s">
        <v>37</v>
      </c>
      <c r="T228">
        <v>0</v>
      </c>
      <c r="U228" t="s">
        <v>38</v>
      </c>
    </row>
    <row r="229" spans="1:21" x14ac:dyDescent="0.35">
      <c r="A229" t="s">
        <v>1067</v>
      </c>
      <c r="B229" t="s">
        <v>1068</v>
      </c>
      <c r="C229">
        <v>911</v>
      </c>
      <c r="D229" s="5">
        <v>0.29105900000000001</v>
      </c>
      <c r="E229" s="4">
        <v>0</v>
      </c>
      <c r="F229" s="4">
        <v>0</v>
      </c>
      <c r="G229" s="4">
        <v>0</v>
      </c>
      <c r="H229" s="6">
        <v>19.931736999999998</v>
      </c>
      <c r="I229" s="6">
        <v>11.979887</v>
      </c>
      <c r="J229" s="6">
        <v>20.517313000000001</v>
      </c>
      <c r="K229" s="7">
        <f t="shared" si="6"/>
        <v>7.2764750000000003E-2</v>
      </c>
      <c r="L229" s="8">
        <f t="shared" si="7"/>
        <v>17.476312333333333</v>
      </c>
      <c r="M229" s="9">
        <v>8.5795599683864898E-8</v>
      </c>
      <c r="N229" s="9">
        <v>1.25688241877132E-6</v>
      </c>
      <c r="O229" s="2">
        <v>5.1186365232595197</v>
      </c>
      <c r="P229" t="s">
        <v>1067</v>
      </c>
      <c r="Q229" s="10">
        <f>IF(N229&lt;='[1]statistical criteria'!$B$2,IF(O229&gt;=LOG('[1]statistical criteria'!$B$3,2),1,IF(O229&lt;=-1*LOG('[1]statistical criteria'!$B$3,2),2,"-")),"-")</f>
        <v>1</v>
      </c>
      <c r="R229" t="s">
        <v>1069</v>
      </c>
      <c r="S229" t="s">
        <v>1070</v>
      </c>
      <c r="T229" s="9">
        <v>2E-66</v>
      </c>
      <c r="U229" t="s">
        <v>1071</v>
      </c>
    </row>
    <row r="230" spans="1:21" x14ac:dyDescent="0.35">
      <c r="A230" t="s">
        <v>1072</v>
      </c>
      <c r="B230" t="s">
        <v>1073</v>
      </c>
      <c r="C230">
        <v>1514</v>
      </c>
      <c r="D230" s="4">
        <v>0</v>
      </c>
      <c r="E230" s="4">
        <v>0</v>
      </c>
      <c r="F230" s="4">
        <v>0</v>
      </c>
      <c r="G230" s="5">
        <v>1.17334</v>
      </c>
      <c r="H230" s="6">
        <v>19.066198</v>
      </c>
      <c r="I230" s="6">
        <v>7.4697880000000003</v>
      </c>
      <c r="J230" s="6">
        <v>15.470159000000001</v>
      </c>
      <c r="K230" s="7">
        <f t="shared" si="6"/>
        <v>0.29333500000000001</v>
      </c>
      <c r="L230" s="8">
        <f t="shared" si="7"/>
        <v>14.002048333333335</v>
      </c>
      <c r="M230" s="9">
        <v>6.1453357182817502E-8</v>
      </c>
      <c r="N230" s="9">
        <v>9.3481805530696801E-7</v>
      </c>
      <c r="O230" s="2">
        <v>5.1077801239578502</v>
      </c>
      <c r="P230" t="s">
        <v>1072</v>
      </c>
      <c r="Q230" s="10">
        <f>IF(N230&lt;='[1]statistical criteria'!$B$2,IF(O230&gt;=LOG('[1]statistical criteria'!$B$3,2),1,IF(O230&lt;=-1*LOG('[1]statistical criteria'!$B$3,2),2,"-")),"-")</f>
        <v>1</v>
      </c>
      <c r="R230" t="s">
        <v>486</v>
      </c>
      <c r="S230" t="s">
        <v>487</v>
      </c>
      <c r="T230">
        <v>0</v>
      </c>
      <c r="U230" t="s">
        <v>488</v>
      </c>
    </row>
    <row r="231" spans="1:21" x14ac:dyDescent="0.35">
      <c r="A231" t="s">
        <v>1074</v>
      </c>
      <c r="B231" t="s">
        <v>1075</v>
      </c>
      <c r="C231">
        <v>396</v>
      </c>
      <c r="D231" s="4">
        <v>0</v>
      </c>
      <c r="E231" s="4">
        <v>0</v>
      </c>
      <c r="F231" s="4">
        <v>0</v>
      </c>
      <c r="G231" s="5">
        <v>4.1220949999999998</v>
      </c>
      <c r="H231" s="6">
        <v>53.317712</v>
      </c>
      <c r="I231" s="6">
        <v>46.732593000000001</v>
      </c>
      <c r="J231" s="6">
        <v>67.134013999999993</v>
      </c>
      <c r="K231" s="7">
        <f t="shared" si="6"/>
        <v>1.03052375</v>
      </c>
      <c r="L231" s="8">
        <f t="shared" si="7"/>
        <v>55.728106333333336</v>
      </c>
      <c r="M231" s="9">
        <v>1.3432567233313E-9</v>
      </c>
      <c r="N231" s="9">
        <v>2.8402417161105199E-8</v>
      </c>
      <c r="O231" s="2">
        <v>5.1058713289262299</v>
      </c>
      <c r="P231" t="s">
        <v>1074</v>
      </c>
      <c r="Q231" s="10">
        <f>IF(N231&lt;='[1]statistical criteria'!$B$2,IF(O231&gt;=LOG('[1]statistical criteria'!$B$3,2),1,IF(O231&lt;=-1*LOG('[1]statistical criteria'!$B$3,2),2,"-")),"-")</f>
        <v>1</v>
      </c>
      <c r="R231" t="s">
        <v>436</v>
      </c>
    </row>
    <row r="232" spans="1:21" x14ac:dyDescent="0.35">
      <c r="A232" t="s">
        <v>1076</v>
      </c>
      <c r="B232" t="s">
        <v>1077</v>
      </c>
      <c r="C232">
        <v>1161</v>
      </c>
      <c r="D232" s="5">
        <v>2.8204189999999998</v>
      </c>
      <c r="E232" s="4">
        <v>0</v>
      </c>
      <c r="F232" s="4">
        <v>0</v>
      </c>
      <c r="G232" s="4">
        <v>0</v>
      </c>
      <c r="H232" s="6">
        <v>18.915666000000002</v>
      </c>
      <c r="I232" s="6">
        <v>33.306778000000001</v>
      </c>
      <c r="J232" s="6">
        <v>14.866387</v>
      </c>
      <c r="K232" s="7">
        <f t="shared" si="6"/>
        <v>0.70510474999999995</v>
      </c>
      <c r="L232" s="8">
        <f t="shared" si="7"/>
        <v>22.362943666666666</v>
      </c>
      <c r="M232" s="9">
        <v>7.0312593616941098E-9</v>
      </c>
      <c r="N232" s="9">
        <v>1.2928006343288799E-7</v>
      </c>
      <c r="O232" s="2">
        <v>5.1048208589120003</v>
      </c>
      <c r="P232" t="s">
        <v>1076</v>
      </c>
      <c r="Q232" s="10">
        <f>IF(N232&lt;='[1]statistical criteria'!$B$2,IF(O232&gt;=LOG('[1]statistical criteria'!$B$3,2),1,IF(O232&lt;=-1*LOG('[1]statistical criteria'!$B$3,2),2,"-")),"-")</f>
        <v>1</v>
      </c>
      <c r="R232" t="s">
        <v>177</v>
      </c>
      <c r="S232" t="s">
        <v>178</v>
      </c>
      <c r="T232" s="9">
        <v>2E-116</v>
      </c>
      <c r="U232" t="s">
        <v>179</v>
      </c>
    </row>
    <row r="233" spans="1:21" x14ac:dyDescent="0.35">
      <c r="A233" t="s">
        <v>1078</v>
      </c>
      <c r="B233" t="s">
        <v>1079</v>
      </c>
      <c r="C233">
        <v>727</v>
      </c>
      <c r="D233" s="5">
        <v>0.40871099999999999</v>
      </c>
      <c r="E233" s="4">
        <v>0</v>
      </c>
      <c r="F233" s="4">
        <v>0</v>
      </c>
      <c r="G233" s="4">
        <v>0</v>
      </c>
      <c r="H233" s="6">
        <v>33.251097999999999</v>
      </c>
      <c r="I233" s="6">
        <v>9.7733360000000005</v>
      </c>
      <c r="J233" s="6">
        <v>43.894452000000001</v>
      </c>
      <c r="K233" s="7">
        <f t="shared" si="6"/>
        <v>0.10217775</v>
      </c>
      <c r="L233" s="8">
        <f t="shared" si="7"/>
        <v>28.972961999999999</v>
      </c>
      <c r="M233" s="9">
        <v>3.8434508053067E-8</v>
      </c>
      <c r="N233" s="9">
        <v>6.08999740424534E-7</v>
      </c>
      <c r="O233" s="2">
        <v>5.10048735380634</v>
      </c>
      <c r="P233" t="s">
        <v>1078</v>
      </c>
      <c r="Q233" s="10">
        <f>IF(N233&lt;='[1]statistical criteria'!$B$2,IF(O233&gt;=LOG('[1]statistical criteria'!$B$3,2),1,IF(O233&lt;=-1*LOG('[1]statistical criteria'!$B$3,2),2,"-")),"-")</f>
        <v>1</v>
      </c>
      <c r="R233" t="s">
        <v>1069</v>
      </c>
      <c r="S233" t="s">
        <v>1070</v>
      </c>
      <c r="T233" s="9">
        <v>8.0000000000000005E-63</v>
      </c>
      <c r="U233" t="s">
        <v>1071</v>
      </c>
    </row>
    <row r="234" spans="1:21" x14ac:dyDescent="0.35">
      <c r="A234" t="s">
        <v>1080</v>
      </c>
      <c r="B234" t="s">
        <v>1081</v>
      </c>
      <c r="C234">
        <v>300</v>
      </c>
      <c r="D234" s="4">
        <v>0</v>
      </c>
      <c r="E234" s="4">
        <v>0</v>
      </c>
      <c r="F234" s="4">
        <v>0</v>
      </c>
      <c r="G234" s="4">
        <v>0</v>
      </c>
      <c r="H234" s="6">
        <v>60.041888999999998</v>
      </c>
      <c r="I234" s="6">
        <v>36.856383999999998</v>
      </c>
      <c r="J234" s="6">
        <v>61.929662999999998</v>
      </c>
      <c r="K234" s="7">
        <f t="shared" si="6"/>
        <v>0</v>
      </c>
      <c r="L234" s="8">
        <f t="shared" si="7"/>
        <v>52.942645333333331</v>
      </c>
      <c r="M234" s="9">
        <v>3.1180897626707598E-13</v>
      </c>
      <c r="N234" s="9">
        <v>1.1657612609749399E-11</v>
      </c>
      <c r="O234" s="2">
        <v>5.0983160538358403</v>
      </c>
      <c r="P234" t="s">
        <v>1080</v>
      </c>
      <c r="Q234" s="10">
        <f>IF(N234&lt;='[1]statistical criteria'!$B$2,IF(O234&gt;=LOG('[1]statistical criteria'!$B$3,2),1,IF(O234&lt;=-1*LOG('[1]statistical criteria'!$B$3,2),2,"-")),"-")</f>
        <v>1</v>
      </c>
    </row>
    <row r="235" spans="1:21" x14ac:dyDescent="0.35">
      <c r="A235" t="s">
        <v>1082</v>
      </c>
      <c r="B235" t="s">
        <v>1083</v>
      </c>
      <c r="C235">
        <v>558</v>
      </c>
      <c r="D235" s="5">
        <v>9.3257940000000001</v>
      </c>
      <c r="E235" s="4">
        <v>0</v>
      </c>
      <c r="F235" s="4">
        <v>0</v>
      </c>
      <c r="G235" s="4">
        <v>0</v>
      </c>
      <c r="H235" s="6">
        <v>104.76629200000001</v>
      </c>
      <c r="I235" s="6">
        <v>54.52449</v>
      </c>
      <c r="J235" s="6">
        <v>99.923004000000006</v>
      </c>
      <c r="K235" s="7">
        <f t="shared" si="6"/>
        <v>2.3314485</v>
      </c>
      <c r="L235" s="8">
        <f t="shared" si="7"/>
        <v>86.404595333333347</v>
      </c>
      <c r="M235" s="9">
        <v>2.1483074466015702E-8</v>
      </c>
      <c r="N235" s="9">
        <v>3.6019639391037698E-7</v>
      </c>
      <c r="O235" s="2">
        <v>5.0933317254277499</v>
      </c>
      <c r="P235" t="s">
        <v>1082</v>
      </c>
      <c r="Q235" s="10">
        <f>IF(N235&lt;='[1]statistical criteria'!$B$2,IF(O235&gt;=LOG('[1]statistical criteria'!$B$3,2),1,IF(O235&lt;=-1*LOG('[1]statistical criteria'!$B$3,2),2,"-")),"-")</f>
        <v>1</v>
      </c>
      <c r="S235" t="s">
        <v>1084</v>
      </c>
      <c r="T235" s="9">
        <v>4.9999999999999997E-30</v>
      </c>
      <c r="U235" t="s">
        <v>1085</v>
      </c>
    </row>
    <row r="236" spans="1:21" x14ac:dyDescent="0.35">
      <c r="A236" t="s">
        <v>1086</v>
      </c>
      <c r="B236" t="s">
        <v>1087</v>
      </c>
      <c r="C236">
        <v>819</v>
      </c>
      <c r="D236" s="4">
        <v>0</v>
      </c>
      <c r="E236" s="4">
        <v>0</v>
      </c>
      <c r="F236" s="4">
        <v>0</v>
      </c>
      <c r="G236" s="4">
        <v>0</v>
      </c>
      <c r="H236" s="6">
        <v>5.1838199999999999</v>
      </c>
      <c r="I236" s="6">
        <v>10.168044999999999</v>
      </c>
      <c r="J236" s="6">
        <v>10.520728999999999</v>
      </c>
      <c r="K236" s="7">
        <f t="shared" si="6"/>
        <v>0</v>
      </c>
      <c r="L236" s="8">
        <f t="shared" si="7"/>
        <v>8.6241979999999998</v>
      </c>
      <c r="M236" s="9">
        <v>1.9657360433211299E-8</v>
      </c>
      <c r="N236" s="9">
        <v>3.3251517248356499E-7</v>
      </c>
      <c r="O236" s="2">
        <v>5.0924239641362199</v>
      </c>
      <c r="P236" t="s">
        <v>1086</v>
      </c>
      <c r="Q236" s="10">
        <f>IF(N236&lt;='[1]statistical criteria'!$B$2,IF(O236&gt;=LOG('[1]statistical criteria'!$B$3,2),1,IF(O236&lt;=-1*LOG('[1]statistical criteria'!$B$3,2),2,"-")),"-")</f>
        <v>1</v>
      </c>
      <c r="R236" t="s">
        <v>1088</v>
      </c>
      <c r="S236" t="s">
        <v>1089</v>
      </c>
      <c r="T236" s="9">
        <v>5.0000000000000002E-85</v>
      </c>
      <c r="U236" t="s">
        <v>1090</v>
      </c>
    </row>
    <row r="237" spans="1:21" x14ac:dyDescent="0.35">
      <c r="A237" t="s">
        <v>1091</v>
      </c>
      <c r="B237" t="s">
        <v>1092</v>
      </c>
      <c r="C237">
        <v>710</v>
      </c>
      <c r="D237" s="4">
        <v>0</v>
      </c>
      <c r="E237" s="4">
        <v>0</v>
      </c>
      <c r="F237" s="4">
        <v>0</v>
      </c>
      <c r="G237" s="5">
        <v>4.8285989999999996</v>
      </c>
      <c r="H237" s="6">
        <v>65.922408000000004</v>
      </c>
      <c r="I237" s="6">
        <v>45.210343000000002</v>
      </c>
      <c r="J237" s="6">
        <v>41.055667999999997</v>
      </c>
      <c r="K237" s="7">
        <f t="shared" si="6"/>
        <v>1.2071497499999999</v>
      </c>
      <c r="L237" s="8">
        <f t="shared" si="7"/>
        <v>50.729473000000006</v>
      </c>
      <c r="M237" s="9">
        <v>7.0264787276455297E-8</v>
      </c>
      <c r="N237" s="9">
        <v>1.05369495813313E-6</v>
      </c>
      <c r="O237" s="2">
        <v>5.0869141425468296</v>
      </c>
      <c r="P237" t="s">
        <v>1091</v>
      </c>
      <c r="Q237" s="10">
        <f>IF(N237&lt;='[1]statistical criteria'!$B$2,IF(O237&gt;=LOG('[1]statistical criteria'!$B$3,2),1,IF(O237&lt;=-1*LOG('[1]statistical criteria'!$B$3,2),2,"-")),"-")</f>
        <v>1</v>
      </c>
      <c r="R237" t="s">
        <v>1093</v>
      </c>
      <c r="S237" t="s">
        <v>1094</v>
      </c>
      <c r="T237" s="9">
        <v>4.9999999999999998E-39</v>
      </c>
      <c r="U237" t="s">
        <v>1095</v>
      </c>
    </row>
    <row r="238" spans="1:21" x14ac:dyDescent="0.35">
      <c r="A238" t="s">
        <v>85</v>
      </c>
      <c r="B238" t="s">
        <v>86</v>
      </c>
      <c r="C238">
        <v>918</v>
      </c>
      <c r="D238" s="4">
        <v>0</v>
      </c>
      <c r="E238" s="4">
        <v>0</v>
      </c>
      <c r="F238" s="4">
        <v>0</v>
      </c>
      <c r="G238" s="4">
        <v>0</v>
      </c>
      <c r="H238" s="6">
        <v>6.1317360000000001</v>
      </c>
      <c r="I238" s="6">
        <v>6.4681790000000001</v>
      </c>
      <c r="J238" s="6">
        <v>7.2341249999999997</v>
      </c>
      <c r="K238" s="7">
        <f t="shared" si="6"/>
        <v>0</v>
      </c>
      <c r="L238" s="8">
        <f t="shared" si="7"/>
        <v>6.611346666666666</v>
      </c>
      <c r="M238" s="9">
        <v>7.0819369588201101E-8</v>
      </c>
      <c r="N238" s="9">
        <v>1.0595067635719099E-6</v>
      </c>
      <c r="O238" s="2">
        <v>5.0867207801112899</v>
      </c>
      <c r="P238" t="s">
        <v>85</v>
      </c>
      <c r="Q238" s="10">
        <f>IF(N238&lt;='[1]statistical criteria'!$B$2,IF(O238&gt;=LOG('[1]statistical criteria'!$B$3,2),1,IF(O238&lt;=-1*LOG('[1]statistical criteria'!$B$3,2),2,"-")),"-")</f>
        <v>1</v>
      </c>
      <c r="R238" t="s">
        <v>64</v>
      </c>
    </row>
    <row r="239" spans="1:21" x14ac:dyDescent="0.35">
      <c r="A239" t="s">
        <v>1096</v>
      </c>
      <c r="B239" t="s">
        <v>1097</v>
      </c>
      <c r="C239">
        <v>846</v>
      </c>
      <c r="D239" s="4">
        <v>0</v>
      </c>
      <c r="E239" s="4">
        <v>0</v>
      </c>
      <c r="F239" s="4">
        <v>0</v>
      </c>
      <c r="G239" s="4">
        <v>0</v>
      </c>
      <c r="H239" s="6">
        <v>5.094563</v>
      </c>
      <c r="I239" s="6">
        <v>8.8763760000000005</v>
      </c>
      <c r="J239" s="6">
        <v>17.768151</v>
      </c>
      <c r="K239" s="7">
        <f t="shared" si="6"/>
        <v>0</v>
      </c>
      <c r="L239" s="8">
        <f t="shared" si="7"/>
        <v>10.579696666666667</v>
      </c>
      <c r="M239" s="9">
        <v>6.0626219685956599E-8</v>
      </c>
      <c r="N239" s="9">
        <v>9.2408246745995605E-7</v>
      </c>
      <c r="O239" s="2">
        <v>5.0835855511262702</v>
      </c>
      <c r="P239" t="s">
        <v>1096</v>
      </c>
      <c r="Q239" s="10">
        <f>IF(N239&lt;='[1]statistical criteria'!$B$2,IF(O239&gt;=LOG('[1]statistical criteria'!$B$3,2),1,IF(O239&lt;=-1*LOG('[1]statistical criteria'!$B$3,2),2,"-")),"-")</f>
        <v>1</v>
      </c>
      <c r="R239" t="s">
        <v>1098</v>
      </c>
      <c r="S239" t="s">
        <v>1099</v>
      </c>
      <c r="T239" s="9">
        <v>4E-125</v>
      </c>
      <c r="U239" t="s">
        <v>1100</v>
      </c>
    </row>
    <row r="240" spans="1:21" x14ac:dyDescent="0.35">
      <c r="A240" t="s">
        <v>135</v>
      </c>
      <c r="B240" t="s">
        <v>136</v>
      </c>
      <c r="C240">
        <v>468</v>
      </c>
      <c r="D240" s="5">
        <v>2.3467630000000002</v>
      </c>
      <c r="E240" s="4">
        <v>0</v>
      </c>
      <c r="F240" s="4">
        <v>0</v>
      </c>
      <c r="G240" s="4">
        <v>0</v>
      </c>
      <c r="H240" s="6">
        <v>39.065396999999997</v>
      </c>
      <c r="I240" s="6">
        <v>96.126058</v>
      </c>
      <c r="J240" s="6">
        <v>44.938917000000004</v>
      </c>
      <c r="K240" s="7">
        <f t="shared" si="6"/>
        <v>0.58669075000000004</v>
      </c>
      <c r="L240" s="8">
        <f t="shared" si="7"/>
        <v>60.043457333333329</v>
      </c>
      <c r="M240" s="9">
        <v>6.8032562982859905E-8</v>
      </c>
      <c r="N240" s="9">
        <v>1.0234463822638901E-6</v>
      </c>
      <c r="O240" s="2">
        <v>5.0800169923923599</v>
      </c>
      <c r="P240" t="s">
        <v>135</v>
      </c>
      <c r="Q240" s="10">
        <f>IF(N240&lt;='[1]statistical criteria'!$B$2,IF(O240&gt;=LOG('[1]statistical criteria'!$B$3,2),1,IF(O240&lt;=-1*LOG('[1]statistical criteria'!$B$3,2),2,"-")),"-")</f>
        <v>1</v>
      </c>
      <c r="R240" t="s">
        <v>137</v>
      </c>
    </row>
    <row r="241" spans="1:21" x14ac:dyDescent="0.35">
      <c r="A241" t="s">
        <v>1101</v>
      </c>
      <c r="B241" t="s">
        <v>1102</v>
      </c>
      <c r="C241">
        <v>816</v>
      </c>
      <c r="D241" s="4">
        <v>0</v>
      </c>
      <c r="E241" s="4">
        <v>0</v>
      </c>
      <c r="F241" s="4">
        <v>0</v>
      </c>
      <c r="G241" s="4">
        <v>0</v>
      </c>
      <c r="H241" s="6">
        <v>11.902257000000001</v>
      </c>
      <c r="I241" s="6">
        <v>8.4293420000000001</v>
      </c>
      <c r="J241" s="6">
        <v>7.5218959999999999</v>
      </c>
      <c r="K241" s="7">
        <f t="shared" si="6"/>
        <v>0</v>
      </c>
      <c r="L241" s="8">
        <f t="shared" si="7"/>
        <v>9.2844983333333335</v>
      </c>
      <c r="M241" s="9">
        <v>2.90180782170602E-9</v>
      </c>
      <c r="N241" s="9">
        <v>5.7552269772866697E-8</v>
      </c>
      <c r="O241" s="2">
        <v>5.0779104301507001</v>
      </c>
      <c r="P241" t="s">
        <v>1101</v>
      </c>
      <c r="Q241" s="10">
        <f>IF(N241&lt;='[1]statistical criteria'!$B$2,IF(O241&gt;=LOG('[1]statistical criteria'!$B$3,2),1,IF(O241&lt;=-1*LOG('[1]statistical criteria'!$B$3,2),2,"-")),"-")</f>
        <v>1</v>
      </c>
      <c r="R241" t="s">
        <v>994</v>
      </c>
      <c r="S241" t="s">
        <v>995</v>
      </c>
      <c r="T241" s="9">
        <v>6E-68</v>
      </c>
      <c r="U241" t="s">
        <v>996</v>
      </c>
    </row>
    <row r="242" spans="1:21" x14ac:dyDescent="0.35">
      <c r="A242" t="s">
        <v>1103</v>
      </c>
      <c r="B242" t="s">
        <v>1104</v>
      </c>
      <c r="C242">
        <v>750</v>
      </c>
      <c r="D242" s="4">
        <v>0</v>
      </c>
      <c r="E242" s="4">
        <v>0</v>
      </c>
      <c r="F242" s="4">
        <v>0</v>
      </c>
      <c r="G242" s="4">
        <v>0</v>
      </c>
      <c r="H242" s="6">
        <v>8.3876709999999992</v>
      </c>
      <c r="I242" s="6">
        <v>10.471038</v>
      </c>
      <c r="J242" s="6">
        <v>8.0115680000000005</v>
      </c>
      <c r="K242" s="7">
        <f t="shared" si="6"/>
        <v>0</v>
      </c>
      <c r="L242" s="8">
        <f t="shared" si="7"/>
        <v>8.9567589999999999</v>
      </c>
      <c r="M242" s="9">
        <v>6.0956192451836995E-8</v>
      </c>
      <c r="N242" s="9">
        <v>9.2799707388676697E-7</v>
      </c>
      <c r="O242" s="2">
        <v>5.0766236865869896</v>
      </c>
      <c r="P242" t="s">
        <v>1103</v>
      </c>
      <c r="Q242" s="10">
        <f>IF(N242&lt;='[1]statistical criteria'!$B$2,IF(O242&gt;=LOG('[1]statistical criteria'!$B$3,2),1,IF(O242&lt;=-1*LOG('[1]statistical criteria'!$B$3,2),2,"-")),"-")</f>
        <v>1</v>
      </c>
      <c r="R242" t="s">
        <v>1105</v>
      </c>
      <c r="S242" t="s">
        <v>1106</v>
      </c>
      <c r="T242" s="9">
        <v>2.9999999999999999E-48</v>
      </c>
      <c r="U242" t="s">
        <v>1107</v>
      </c>
    </row>
    <row r="243" spans="1:21" x14ac:dyDescent="0.35">
      <c r="A243" t="s">
        <v>1108</v>
      </c>
      <c r="B243" t="s">
        <v>1109</v>
      </c>
      <c r="C243">
        <v>963</v>
      </c>
      <c r="D243" s="5">
        <v>1.968148</v>
      </c>
      <c r="E243" s="4">
        <v>0</v>
      </c>
      <c r="F243" s="5">
        <v>1.299185</v>
      </c>
      <c r="G243" s="5">
        <v>1.2885789999999999</v>
      </c>
      <c r="H243" s="6">
        <v>158.710002</v>
      </c>
      <c r="I243" s="6">
        <v>59.862068999999998</v>
      </c>
      <c r="J243" s="6">
        <v>115.426248</v>
      </c>
      <c r="K243" s="7">
        <f t="shared" si="6"/>
        <v>1.1389779999999998</v>
      </c>
      <c r="L243" s="8">
        <f t="shared" si="7"/>
        <v>111.33277299999999</v>
      </c>
      <c r="M243" s="9">
        <v>2.6004558627703299E-10</v>
      </c>
      <c r="N243" s="9">
        <v>6.1208008742757501E-9</v>
      </c>
      <c r="O243" s="2">
        <v>5.0743891946220403</v>
      </c>
      <c r="P243" t="s">
        <v>1108</v>
      </c>
      <c r="Q243" s="10">
        <f>IF(N243&lt;='[1]statistical criteria'!$B$2,IF(O243&gt;=LOG('[1]statistical criteria'!$B$3,2),1,IF(O243&lt;=-1*LOG('[1]statistical criteria'!$B$3,2),2,"-")),"-")</f>
        <v>1</v>
      </c>
      <c r="R243" t="s">
        <v>436</v>
      </c>
      <c r="S243" t="s">
        <v>442</v>
      </c>
      <c r="T243" s="9">
        <v>7.0000000000000002E-84</v>
      </c>
      <c r="U243" t="s">
        <v>443</v>
      </c>
    </row>
    <row r="244" spans="1:21" x14ac:dyDescent="0.35">
      <c r="A244" t="s">
        <v>1110</v>
      </c>
      <c r="B244" t="s">
        <v>1111</v>
      </c>
      <c r="C244">
        <v>1240</v>
      </c>
      <c r="D244" s="5">
        <v>0.34130199999999999</v>
      </c>
      <c r="E244" s="4">
        <v>0</v>
      </c>
      <c r="F244" s="4">
        <v>0</v>
      </c>
      <c r="G244" s="4">
        <v>0</v>
      </c>
      <c r="H244" s="6">
        <v>9.6659450000000007</v>
      </c>
      <c r="I244" s="6">
        <v>15.607206</v>
      </c>
      <c r="J244" s="6">
        <v>5.173025</v>
      </c>
      <c r="K244" s="7">
        <f t="shared" si="6"/>
        <v>8.5325499999999999E-2</v>
      </c>
      <c r="L244" s="8">
        <f t="shared" si="7"/>
        <v>10.148725333333333</v>
      </c>
      <c r="M244" s="9">
        <v>9.6456902346052098E-8</v>
      </c>
      <c r="N244" s="9">
        <v>1.3932256938484801E-6</v>
      </c>
      <c r="O244" s="2">
        <v>5.0706316674005203</v>
      </c>
      <c r="P244" t="s">
        <v>1110</v>
      </c>
      <c r="Q244" s="10">
        <f>IF(N244&lt;='[1]statistical criteria'!$B$2,IF(O244&gt;=LOG('[1]statistical criteria'!$B$3,2),1,IF(O244&lt;=-1*LOG('[1]statistical criteria'!$B$3,2),2,"-")),"-")</f>
        <v>1</v>
      </c>
      <c r="R244" t="s">
        <v>1112</v>
      </c>
      <c r="S244" t="s">
        <v>1113</v>
      </c>
      <c r="T244">
        <v>0</v>
      </c>
      <c r="U244" t="s">
        <v>1114</v>
      </c>
    </row>
    <row r="245" spans="1:21" x14ac:dyDescent="0.35">
      <c r="A245" t="s">
        <v>1115</v>
      </c>
      <c r="B245" t="s">
        <v>1116</v>
      </c>
      <c r="C245">
        <v>1024</v>
      </c>
      <c r="D245" s="5">
        <v>0.41000599999999998</v>
      </c>
      <c r="E245" s="5">
        <v>1.556265</v>
      </c>
      <c r="F245" s="4">
        <v>0</v>
      </c>
      <c r="G245" s="5">
        <v>0.41068900000000003</v>
      </c>
      <c r="H245" s="6">
        <v>67.130289000000005</v>
      </c>
      <c r="I245" s="6">
        <v>90.312109000000007</v>
      </c>
      <c r="J245" s="6">
        <v>53.155124999999998</v>
      </c>
      <c r="K245" s="7">
        <f t="shared" si="6"/>
        <v>0.59423999999999999</v>
      </c>
      <c r="L245" s="8">
        <f t="shared" si="7"/>
        <v>70.199174333333346</v>
      </c>
      <c r="M245" s="9">
        <v>1.21819728076238E-7</v>
      </c>
      <c r="N245" s="9">
        <v>1.7121339920907E-6</v>
      </c>
      <c r="O245" s="2">
        <v>5.0662213278049997</v>
      </c>
      <c r="P245" t="s">
        <v>1115</v>
      </c>
      <c r="Q245" s="10">
        <f>IF(N245&lt;='[1]statistical criteria'!$B$2,IF(O245&gt;=LOG('[1]statistical criteria'!$B$3,2),1,IF(O245&lt;=-1*LOG('[1]statistical criteria'!$B$3,2),2,"-")),"-")</f>
        <v>1</v>
      </c>
      <c r="R245" t="s">
        <v>1117</v>
      </c>
      <c r="S245" t="s">
        <v>1118</v>
      </c>
      <c r="T245" s="9">
        <v>1E-168</v>
      </c>
      <c r="U245" t="s">
        <v>1119</v>
      </c>
    </row>
    <row r="246" spans="1:21" x14ac:dyDescent="0.35">
      <c r="A246" t="s">
        <v>96</v>
      </c>
      <c r="B246" t="s">
        <v>97</v>
      </c>
      <c r="C246">
        <v>2382</v>
      </c>
      <c r="D246" s="4">
        <v>0</v>
      </c>
      <c r="E246" s="4">
        <v>0</v>
      </c>
      <c r="F246" s="4">
        <v>0</v>
      </c>
      <c r="G246" s="4">
        <v>0</v>
      </c>
      <c r="H246" s="6">
        <v>4.2100819999999999</v>
      </c>
      <c r="I246" s="6">
        <v>2.4914689999999999</v>
      </c>
      <c r="J246" s="6">
        <v>6.3253110000000001</v>
      </c>
      <c r="K246" s="7">
        <f t="shared" si="6"/>
        <v>0</v>
      </c>
      <c r="L246" s="8">
        <f t="shared" si="7"/>
        <v>4.3422873333333341</v>
      </c>
      <c r="M246" s="9">
        <v>5.6003073413993602E-8</v>
      </c>
      <c r="N246" s="9">
        <v>8.6016019940944098E-7</v>
      </c>
      <c r="O246" s="2">
        <v>5.0652581189819896</v>
      </c>
      <c r="P246" t="s">
        <v>96</v>
      </c>
      <c r="Q246" s="10">
        <f>IF(N246&lt;='[1]statistical criteria'!$B$2,IF(O246&gt;=LOG('[1]statistical criteria'!$B$3,2),1,IF(O246&lt;=-1*LOG('[1]statistical criteria'!$B$3,2),2,"-")),"-")</f>
        <v>1</v>
      </c>
      <c r="R246" t="s">
        <v>98</v>
      </c>
      <c r="S246" t="s">
        <v>99</v>
      </c>
      <c r="T246" s="9">
        <v>3.9999999999999998E-29</v>
      </c>
      <c r="U246" t="s">
        <v>61</v>
      </c>
    </row>
    <row r="247" spans="1:21" x14ac:dyDescent="0.35">
      <c r="A247" t="s">
        <v>1120</v>
      </c>
      <c r="B247" t="s">
        <v>1121</v>
      </c>
      <c r="C247">
        <v>945</v>
      </c>
      <c r="D247" s="4">
        <v>0</v>
      </c>
      <c r="E247" s="4">
        <v>0</v>
      </c>
      <c r="F247" s="4">
        <v>0</v>
      </c>
      <c r="G247" s="4">
        <v>0</v>
      </c>
      <c r="H247" s="6">
        <v>25.359124999999999</v>
      </c>
      <c r="I247" s="6">
        <v>1.4757400000000001</v>
      </c>
      <c r="J247" s="6">
        <v>12.508319999999999</v>
      </c>
      <c r="K247" s="7">
        <f t="shared" si="6"/>
        <v>0</v>
      </c>
      <c r="L247" s="8">
        <f t="shared" si="7"/>
        <v>13.114395</v>
      </c>
      <c r="M247" s="9">
        <v>7.9102731129187805E-8</v>
      </c>
      <c r="N247" s="9">
        <v>1.1718500957949001E-6</v>
      </c>
      <c r="O247" s="2">
        <v>5.0550017718539904</v>
      </c>
      <c r="P247" t="s">
        <v>1120</v>
      </c>
      <c r="Q247" s="10">
        <f>IF(N247&lt;='[1]statistical criteria'!$B$2,IF(O247&gt;=LOG('[1]statistical criteria'!$B$3,2),1,IF(O247&lt;=-1*LOG('[1]statistical criteria'!$B$3,2),2,"-")),"-")</f>
        <v>1</v>
      </c>
      <c r="S247" t="s">
        <v>1122</v>
      </c>
      <c r="T247" s="9">
        <v>9.9999999999999991E-22</v>
      </c>
      <c r="U247" t="s">
        <v>1123</v>
      </c>
    </row>
    <row r="248" spans="1:21" x14ac:dyDescent="0.35">
      <c r="A248" t="s">
        <v>1124</v>
      </c>
      <c r="B248" t="s">
        <v>1125</v>
      </c>
      <c r="C248">
        <v>2062</v>
      </c>
      <c r="D248" s="4">
        <v>0</v>
      </c>
      <c r="E248" s="4">
        <v>0</v>
      </c>
      <c r="F248" s="4">
        <v>0</v>
      </c>
      <c r="G248" s="4">
        <v>0</v>
      </c>
      <c r="H248" s="6">
        <v>4.1389740000000002</v>
      </c>
      <c r="I248" s="6">
        <v>7.8127380000000004</v>
      </c>
      <c r="J248" s="6">
        <v>3.8839000000000001</v>
      </c>
      <c r="K248" s="7">
        <f t="shared" si="6"/>
        <v>0</v>
      </c>
      <c r="L248" s="8">
        <f t="shared" si="7"/>
        <v>5.2785373333333334</v>
      </c>
      <c r="M248" s="9">
        <v>4.38013621208852E-11</v>
      </c>
      <c r="N248" s="9">
        <v>1.1764854215390901E-9</v>
      </c>
      <c r="O248" s="2">
        <v>5.0487182329601801</v>
      </c>
      <c r="P248" t="s">
        <v>1124</v>
      </c>
      <c r="Q248" s="10">
        <f>IF(N248&lt;='[1]statistical criteria'!$B$2,IF(O248&gt;=LOG('[1]statistical criteria'!$B$3,2),1,IF(O248&lt;=-1*LOG('[1]statistical criteria'!$B$3,2),2,"-")),"-")</f>
        <v>1</v>
      </c>
      <c r="R248" t="s">
        <v>1126</v>
      </c>
      <c r="S248" t="s">
        <v>546</v>
      </c>
      <c r="T248">
        <v>0</v>
      </c>
      <c r="U248" t="s">
        <v>547</v>
      </c>
    </row>
    <row r="249" spans="1:21" x14ac:dyDescent="0.35">
      <c r="A249" t="s">
        <v>1127</v>
      </c>
      <c r="B249" t="s">
        <v>1128</v>
      </c>
      <c r="C249">
        <v>654</v>
      </c>
      <c r="D249" s="4">
        <v>0</v>
      </c>
      <c r="E249" s="4">
        <v>0</v>
      </c>
      <c r="F249" s="4">
        <v>0</v>
      </c>
      <c r="G249" s="4">
        <v>0</v>
      </c>
      <c r="H249" s="6">
        <v>27.848814000000001</v>
      </c>
      <c r="I249" s="6">
        <v>3.7600470000000001</v>
      </c>
      <c r="J249" s="6">
        <v>17.953709</v>
      </c>
      <c r="K249" s="7">
        <f t="shared" si="6"/>
        <v>0</v>
      </c>
      <c r="L249" s="8">
        <f t="shared" si="7"/>
        <v>16.520856666666667</v>
      </c>
      <c r="M249" s="9">
        <v>5.0199820923699701E-8</v>
      </c>
      <c r="N249" s="9">
        <v>7.7888511388341202E-7</v>
      </c>
      <c r="O249" s="2">
        <v>5.0355287478654702</v>
      </c>
      <c r="P249" t="s">
        <v>1127</v>
      </c>
      <c r="Q249" s="10">
        <f>IF(N249&lt;='[1]statistical criteria'!$B$2,IF(O249&gt;=LOG('[1]statistical criteria'!$B$3,2),1,IF(O249&lt;=-1*LOG('[1]statistical criteria'!$B$3,2),2,"-")),"-")</f>
        <v>1</v>
      </c>
      <c r="S249" t="s">
        <v>1129</v>
      </c>
      <c r="T249" s="9">
        <v>9.9999999999999998E-13</v>
      </c>
      <c r="U249" t="s">
        <v>443</v>
      </c>
    </row>
    <row r="250" spans="1:21" x14ac:dyDescent="0.35">
      <c r="A250" t="s">
        <v>1130</v>
      </c>
      <c r="B250" t="s">
        <v>1131</v>
      </c>
      <c r="C250">
        <v>462</v>
      </c>
      <c r="D250" s="5">
        <v>19.374533</v>
      </c>
      <c r="E250" s="4">
        <v>0</v>
      </c>
      <c r="F250" s="4">
        <v>0</v>
      </c>
      <c r="G250" s="4">
        <v>0</v>
      </c>
      <c r="H250" s="6">
        <v>109.914985</v>
      </c>
      <c r="I250" s="6">
        <v>42.603242999999999</v>
      </c>
      <c r="J250" s="6">
        <v>81.148476000000002</v>
      </c>
      <c r="K250" s="7">
        <f t="shared" si="6"/>
        <v>4.8436332499999999</v>
      </c>
      <c r="L250" s="8">
        <f t="shared" si="7"/>
        <v>77.888901333333322</v>
      </c>
      <c r="M250" s="9">
        <v>1.00772522463635E-5</v>
      </c>
      <c r="N250" s="9">
        <v>9.0757269402885402E-5</v>
      </c>
      <c r="O250" s="2">
        <v>5.0342210590201004</v>
      </c>
      <c r="P250" t="s">
        <v>1130</v>
      </c>
      <c r="Q250" s="10">
        <f>IF(N250&lt;='[1]statistical criteria'!$B$2,IF(O250&gt;=LOG('[1]statistical criteria'!$B$3,2),1,IF(O250&lt;=-1*LOG('[1]statistical criteria'!$B$3,2),2,"-")),"-")</f>
        <v>1</v>
      </c>
      <c r="R250" t="s">
        <v>436</v>
      </c>
      <c r="S250" t="s">
        <v>1132</v>
      </c>
      <c r="T250" s="9">
        <v>7.0000000000000003E-80</v>
      </c>
      <c r="U250" t="s">
        <v>443</v>
      </c>
    </row>
    <row r="251" spans="1:21" x14ac:dyDescent="0.35">
      <c r="A251" t="s">
        <v>1133</v>
      </c>
      <c r="B251" t="s">
        <v>1134</v>
      </c>
      <c r="C251">
        <v>705</v>
      </c>
      <c r="D251" s="5">
        <v>1.8329299999999999</v>
      </c>
      <c r="E251" s="4">
        <v>0</v>
      </c>
      <c r="F251" s="4">
        <v>0</v>
      </c>
      <c r="G251" s="4">
        <v>0</v>
      </c>
      <c r="H251" s="6">
        <v>51.785760000000003</v>
      </c>
      <c r="I251" s="6">
        <v>22.696019</v>
      </c>
      <c r="J251" s="6">
        <v>35.818454000000003</v>
      </c>
      <c r="K251" s="7">
        <f t="shared" si="6"/>
        <v>0.45823249999999999</v>
      </c>
      <c r="L251" s="8">
        <f t="shared" si="7"/>
        <v>36.766744333333335</v>
      </c>
      <c r="M251" s="9">
        <v>1.246745436456E-7</v>
      </c>
      <c r="N251" s="9">
        <v>1.74516849251619E-6</v>
      </c>
      <c r="O251" s="2">
        <v>5.03410331371611</v>
      </c>
      <c r="P251" t="s">
        <v>1133</v>
      </c>
      <c r="Q251" s="10">
        <f>IF(N251&lt;='[1]statistical criteria'!$B$2,IF(O251&gt;=LOG('[1]statistical criteria'!$B$3,2),1,IF(O251&lt;=-1*LOG('[1]statistical criteria'!$B$3,2),2,"-")),"-")</f>
        <v>1</v>
      </c>
      <c r="S251" t="s">
        <v>1135</v>
      </c>
      <c r="T251" s="9">
        <v>2.0000000000000001E-4</v>
      </c>
      <c r="U251" t="s">
        <v>66</v>
      </c>
    </row>
    <row r="252" spans="1:21" x14ac:dyDescent="0.35">
      <c r="A252" t="s">
        <v>267</v>
      </c>
      <c r="B252" t="s">
        <v>268</v>
      </c>
      <c r="C252">
        <v>1335</v>
      </c>
      <c r="D252" s="4">
        <v>0</v>
      </c>
      <c r="E252" s="4">
        <v>0</v>
      </c>
      <c r="F252" s="4">
        <v>0</v>
      </c>
      <c r="G252" s="4">
        <v>0</v>
      </c>
      <c r="H252" s="6">
        <v>4.6569539999999998</v>
      </c>
      <c r="I252" s="6">
        <v>9.3422400000000003</v>
      </c>
      <c r="J252" s="6">
        <v>2.5665939999999998</v>
      </c>
      <c r="K252" s="7">
        <f t="shared" si="6"/>
        <v>0</v>
      </c>
      <c r="L252" s="8">
        <f t="shared" si="7"/>
        <v>5.5219293333333326</v>
      </c>
      <c r="M252" s="9">
        <v>1.3669702004759401E-8</v>
      </c>
      <c r="N252" s="9">
        <v>2.3843669033049602E-7</v>
      </c>
      <c r="O252" s="2">
        <v>5.0271082114865697</v>
      </c>
      <c r="P252" t="s">
        <v>267</v>
      </c>
      <c r="Q252" s="10">
        <f>IF(N252&lt;='[1]statistical criteria'!$B$2,IF(O252&gt;=LOG('[1]statistical criteria'!$B$3,2),1,IF(O252&lt;=-1*LOG('[1]statistical criteria'!$B$3,2),2,"-")),"-")</f>
        <v>1</v>
      </c>
      <c r="R252" t="s">
        <v>204</v>
      </c>
      <c r="S252" t="s">
        <v>205</v>
      </c>
      <c r="T252" s="9">
        <v>3.9999999999999998E-74</v>
      </c>
      <c r="U252" t="s">
        <v>206</v>
      </c>
    </row>
    <row r="253" spans="1:21" x14ac:dyDescent="0.35">
      <c r="A253" t="s">
        <v>1136</v>
      </c>
      <c r="B253" t="s">
        <v>1137</v>
      </c>
      <c r="C253">
        <v>971</v>
      </c>
      <c r="D253" s="4">
        <v>0</v>
      </c>
      <c r="E253" s="4">
        <v>0</v>
      </c>
      <c r="F253" s="4">
        <v>0</v>
      </c>
      <c r="G253" s="4">
        <v>0</v>
      </c>
      <c r="H253" s="6">
        <v>13.731484</v>
      </c>
      <c r="I253" s="6">
        <v>5.4394159999999996</v>
      </c>
      <c r="J253" s="6">
        <v>6.8729979999999999</v>
      </c>
      <c r="K253" s="7">
        <f t="shared" si="6"/>
        <v>0</v>
      </c>
      <c r="L253" s="8">
        <f t="shared" si="7"/>
        <v>8.6812993333333335</v>
      </c>
      <c r="M253" s="9">
        <v>9.3664560464905902E-9</v>
      </c>
      <c r="N253" s="9">
        <v>1.68313180892083E-7</v>
      </c>
      <c r="O253" s="2">
        <v>5.0267648367864703</v>
      </c>
      <c r="P253" t="s">
        <v>1136</v>
      </c>
      <c r="Q253" s="10">
        <f>IF(N253&lt;='[1]statistical criteria'!$B$2,IF(O253&gt;=LOG('[1]statistical criteria'!$B$3,2),1,IF(O253&lt;=-1*LOG('[1]statistical criteria'!$B$3,2),2,"-")),"-")</f>
        <v>1</v>
      </c>
      <c r="R253" t="s">
        <v>1138</v>
      </c>
      <c r="S253" t="s">
        <v>1139</v>
      </c>
      <c r="T253" s="9">
        <v>9.9999999999999991E-97</v>
      </c>
      <c r="U253" t="s">
        <v>1140</v>
      </c>
    </row>
    <row r="254" spans="1:21" x14ac:dyDescent="0.35">
      <c r="A254" t="s">
        <v>1141</v>
      </c>
      <c r="B254" t="s">
        <v>1142</v>
      </c>
      <c r="C254">
        <v>1814</v>
      </c>
      <c r="D254" s="5">
        <v>3.7679290000000001</v>
      </c>
      <c r="E254" s="4">
        <v>0</v>
      </c>
      <c r="F254" s="5">
        <v>0.70646299999999995</v>
      </c>
      <c r="G254" s="4">
        <v>0</v>
      </c>
      <c r="H254" s="6">
        <v>41.244734000000001</v>
      </c>
      <c r="I254" s="6">
        <v>86.857388</v>
      </c>
      <c r="J254" s="6">
        <v>16.347553999999999</v>
      </c>
      <c r="K254" s="7">
        <f t="shared" si="6"/>
        <v>1.118598</v>
      </c>
      <c r="L254" s="8">
        <f t="shared" si="7"/>
        <v>48.149892000000001</v>
      </c>
      <c r="M254" s="9">
        <v>8.1384976038242707E-8</v>
      </c>
      <c r="N254" s="9">
        <v>1.1996561533754899E-6</v>
      </c>
      <c r="O254" s="2">
        <v>5.0186348354318504</v>
      </c>
      <c r="P254" t="s">
        <v>1141</v>
      </c>
      <c r="Q254" s="10">
        <f>IF(N254&lt;='[1]statistical criteria'!$B$2,IF(O254&gt;=LOG('[1]statistical criteria'!$B$3,2),1,IF(O254&lt;=-1*LOG('[1]statistical criteria'!$B$3,2),2,"-")),"-")</f>
        <v>1</v>
      </c>
      <c r="R254" t="s">
        <v>1143</v>
      </c>
      <c r="S254" t="s">
        <v>1144</v>
      </c>
      <c r="T254">
        <v>0</v>
      </c>
      <c r="U254" t="s">
        <v>1145</v>
      </c>
    </row>
    <row r="255" spans="1:21" x14ac:dyDescent="0.35">
      <c r="A255" t="s">
        <v>1146</v>
      </c>
      <c r="B255" t="s">
        <v>1147</v>
      </c>
      <c r="C255">
        <v>405</v>
      </c>
      <c r="D255" s="4">
        <v>0</v>
      </c>
      <c r="E255" s="4">
        <v>0</v>
      </c>
      <c r="F255" s="5">
        <v>2.6510980000000002</v>
      </c>
      <c r="G255" s="4">
        <v>0</v>
      </c>
      <c r="H255" s="6">
        <v>37.037269000000002</v>
      </c>
      <c r="I255" s="6">
        <v>41.285941999999999</v>
      </c>
      <c r="J255" s="6">
        <v>104.554356</v>
      </c>
      <c r="K255" s="7">
        <f t="shared" si="6"/>
        <v>0.66277450000000004</v>
      </c>
      <c r="L255" s="8">
        <f t="shared" si="7"/>
        <v>60.959189000000002</v>
      </c>
      <c r="M255" s="9">
        <v>2.4416969340822E-8</v>
      </c>
      <c r="N255" s="9">
        <v>4.0528122682585499E-7</v>
      </c>
      <c r="O255" s="2">
        <v>5.0167940233521504</v>
      </c>
      <c r="P255" t="s">
        <v>1146</v>
      </c>
      <c r="Q255" s="10">
        <f>IF(N255&lt;='[1]statistical criteria'!$B$2,IF(O255&gt;=LOG('[1]statistical criteria'!$B$3,2),1,IF(O255&lt;=-1*LOG('[1]statistical criteria'!$B$3,2),2,"-")),"-")</f>
        <v>1</v>
      </c>
      <c r="S255" t="s">
        <v>1148</v>
      </c>
      <c r="T255">
        <v>2.2999999999999998</v>
      </c>
      <c r="U255" t="s">
        <v>200</v>
      </c>
    </row>
    <row r="256" spans="1:21" x14ac:dyDescent="0.35">
      <c r="A256" t="s">
        <v>1149</v>
      </c>
      <c r="B256" t="s">
        <v>1150</v>
      </c>
      <c r="C256">
        <v>976</v>
      </c>
      <c r="D256" s="4">
        <v>0</v>
      </c>
      <c r="E256" s="4">
        <v>0</v>
      </c>
      <c r="F256" s="4">
        <v>0</v>
      </c>
      <c r="G256" s="4">
        <v>0</v>
      </c>
      <c r="H256" s="6">
        <v>13.16826</v>
      </c>
      <c r="I256" s="6">
        <v>7.1020159999999999</v>
      </c>
      <c r="J256" s="6">
        <v>3.2045560000000002</v>
      </c>
      <c r="K256" s="7">
        <f t="shared" si="6"/>
        <v>0</v>
      </c>
      <c r="L256" s="8">
        <f t="shared" si="7"/>
        <v>7.8249439999999995</v>
      </c>
      <c r="M256" s="9">
        <v>9.7584578909220996E-8</v>
      </c>
      <c r="N256" s="9">
        <v>1.4073774434577299E-6</v>
      </c>
      <c r="O256" s="2">
        <v>5.0146997602014602</v>
      </c>
      <c r="P256" t="s">
        <v>1149</v>
      </c>
      <c r="Q256" s="10">
        <f>IF(N256&lt;='[1]statistical criteria'!$B$2,IF(O256&gt;=LOG('[1]statistical criteria'!$B$3,2),1,IF(O256&lt;=-1*LOG('[1]statistical criteria'!$B$3,2),2,"-")),"-")</f>
        <v>1</v>
      </c>
      <c r="R256" t="s">
        <v>1151</v>
      </c>
      <c r="S256" t="s">
        <v>1152</v>
      </c>
      <c r="T256" s="9">
        <v>7E-94</v>
      </c>
      <c r="U256" t="s">
        <v>1153</v>
      </c>
    </row>
    <row r="257" spans="1:21" x14ac:dyDescent="0.35">
      <c r="A257" t="s">
        <v>1154</v>
      </c>
      <c r="B257" t="s">
        <v>1155</v>
      </c>
      <c r="C257">
        <v>1197</v>
      </c>
      <c r="D257" s="5">
        <v>0.89778899999999995</v>
      </c>
      <c r="E257" s="4">
        <v>0</v>
      </c>
      <c r="F257" s="5">
        <v>0.73380199999999995</v>
      </c>
      <c r="G257" s="4">
        <v>0</v>
      </c>
      <c r="H257" s="6">
        <v>27.541397</v>
      </c>
      <c r="I257" s="6">
        <v>21.430163</v>
      </c>
      <c r="J257" s="6">
        <v>39.639001999999998</v>
      </c>
      <c r="K257" s="7">
        <f t="shared" si="6"/>
        <v>0.40789774999999995</v>
      </c>
      <c r="L257" s="8">
        <f t="shared" si="7"/>
        <v>29.536853999999995</v>
      </c>
      <c r="M257" s="9">
        <v>1.67397562391684E-7</v>
      </c>
      <c r="N257" s="9">
        <v>2.2860248384023901E-6</v>
      </c>
      <c r="O257" s="2">
        <v>5.0113184821002301</v>
      </c>
      <c r="P257" t="s">
        <v>1154</v>
      </c>
      <c r="Q257" s="10">
        <f>IF(N257&lt;='[1]statistical criteria'!$B$2,IF(O257&gt;=LOG('[1]statistical criteria'!$B$3,2),1,IF(O257&lt;=-1*LOG('[1]statistical criteria'!$B$3,2),2,"-")),"-")</f>
        <v>1</v>
      </c>
      <c r="R257" t="s">
        <v>1156</v>
      </c>
      <c r="S257" t="s">
        <v>1157</v>
      </c>
      <c r="T257" s="9">
        <v>3E-98</v>
      </c>
      <c r="U257" t="s">
        <v>1158</v>
      </c>
    </row>
    <row r="258" spans="1:21" x14ac:dyDescent="0.35">
      <c r="A258" t="s">
        <v>1159</v>
      </c>
      <c r="B258" t="s">
        <v>1160</v>
      </c>
      <c r="C258">
        <v>2268</v>
      </c>
      <c r="D258" s="5">
        <v>0.11562600000000001</v>
      </c>
      <c r="E258" s="4">
        <v>0</v>
      </c>
      <c r="F258" s="4">
        <v>0</v>
      </c>
      <c r="G258" s="5">
        <v>0.616456</v>
      </c>
      <c r="H258" s="6">
        <v>14.922744</v>
      </c>
      <c r="I258" s="6">
        <v>16.921918000000002</v>
      </c>
      <c r="J258" s="6">
        <v>8.1743290000000002</v>
      </c>
      <c r="K258" s="7">
        <f t="shared" si="6"/>
        <v>0.1830205</v>
      </c>
      <c r="L258" s="8">
        <f t="shared" si="7"/>
        <v>13.339663666666667</v>
      </c>
      <c r="M258" s="9">
        <v>9.2837072149788005E-8</v>
      </c>
      <c r="N258" s="9">
        <v>1.34861792596219E-6</v>
      </c>
      <c r="O258" s="2">
        <v>5.00483108886199</v>
      </c>
      <c r="P258" t="s">
        <v>1159</v>
      </c>
      <c r="Q258" s="10">
        <f>IF(N258&lt;='[1]statistical criteria'!$B$2,IF(O258&gt;=LOG('[1]statistical criteria'!$B$3,2),1,IF(O258&lt;=-1*LOG('[1]statistical criteria'!$B$3,2),2,"-")),"-")</f>
        <v>1</v>
      </c>
      <c r="R258" t="s">
        <v>1161</v>
      </c>
      <c r="S258" t="s">
        <v>1162</v>
      </c>
      <c r="T258">
        <v>0</v>
      </c>
      <c r="U258" t="s">
        <v>1163</v>
      </c>
    </row>
    <row r="259" spans="1:21" x14ac:dyDescent="0.35">
      <c r="A259" t="s">
        <v>1164</v>
      </c>
      <c r="B259" t="s">
        <v>1165</v>
      </c>
      <c r="C259">
        <v>1031</v>
      </c>
      <c r="D259" s="4">
        <v>0</v>
      </c>
      <c r="E259" s="4">
        <v>0</v>
      </c>
      <c r="F259" s="4">
        <v>0</v>
      </c>
      <c r="G259" s="4">
        <v>0</v>
      </c>
      <c r="H259" s="6">
        <v>12.610757</v>
      </c>
      <c r="I259" s="6">
        <v>1.3501559999999999</v>
      </c>
      <c r="J259" s="6">
        <v>11.652283000000001</v>
      </c>
      <c r="K259" s="7">
        <f t="shared" ref="K259:K322" si="8">AVERAGE(D259:G259)</f>
        <v>0</v>
      </c>
      <c r="L259" s="8">
        <f t="shared" ref="L259:L322" si="9">AVERAGE(H259:J259)</f>
        <v>8.5377320000000001</v>
      </c>
      <c r="M259" s="9">
        <v>5.9979085741696103E-9</v>
      </c>
      <c r="N259" s="9">
        <v>1.1201197268542501E-7</v>
      </c>
      <c r="O259" s="2">
        <v>5.0043979523634503</v>
      </c>
      <c r="P259" t="s">
        <v>1164</v>
      </c>
      <c r="Q259" s="10">
        <f>IF(N259&lt;='[1]statistical criteria'!$B$2,IF(O259&gt;=LOG('[1]statistical criteria'!$B$3,2),1,IF(O259&lt;=-1*LOG('[1]statistical criteria'!$B$3,2),2,"-")),"-")</f>
        <v>1</v>
      </c>
      <c r="R259" t="s">
        <v>1166</v>
      </c>
      <c r="S259" t="s">
        <v>1167</v>
      </c>
      <c r="T259" s="9">
        <v>7.9999999999999994E-39</v>
      </c>
      <c r="U259" t="s">
        <v>61</v>
      </c>
    </row>
    <row r="260" spans="1:21" x14ac:dyDescent="0.35">
      <c r="A260" t="s">
        <v>1168</v>
      </c>
      <c r="B260" t="s">
        <v>1169</v>
      </c>
      <c r="C260">
        <v>1491</v>
      </c>
      <c r="D260" s="4">
        <v>0</v>
      </c>
      <c r="E260" s="4">
        <v>0</v>
      </c>
      <c r="F260" s="4">
        <v>0</v>
      </c>
      <c r="G260" s="5">
        <v>4.6546019999999997</v>
      </c>
      <c r="H260" s="6">
        <v>21.773060999999998</v>
      </c>
      <c r="I260" s="6">
        <v>10.78285</v>
      </c>
      <c r="J260" s="6">
        <v>11.978704</v>
      </c>
      <c r="K260" s="7">
        <f t="shared" si="8"/>
        <v>1.1636504999999999</v>
      </c>
      <c r="L260" s="8">
        <f t="shared" si="9"/>
        <v>14.844871666666664</v>
      </c>
      <c r="M260" s="9">
        <v>1.85263533819212E-8</v>
      </c>
      <c r="N260" s="9">
        <v>3.1478259362317802E-7</v>
      </c>
      <c r="O260" s="2">
        <v>4.994758745685</v>
      </c>
      <c r="P260" t="s">
        <v>1168</v>
      </c>
      <c r="Q260" s="10">
        <f>IF(N260&lt;='[1]statistical criteria'!$B$2,IF(O260&gt;=LOG('[1]statistical criteria'!$B$3,2),1,IF(O260&lt;=-1*LOG('[1]statistical criteria'!$B$3,2),2,"-")),"-")</f>
        <v>1</v>
      </c>
      <c r="R260" t="s">
        <v>1170</v>
      </c>
    </row>
    <row r="261" spans="1:21" x14ac:dyDescent="0.35">
      <c r="A261" t="s">
        <v>1171</v>
      </c>
      <c r="B261" t="s">
        <v>1172</v>
      </c>
      <c r="C261">
        <v>721</v>
      </c>
      <c r="D261" s="4">
        <v>0</v>
      </c>
      <c r="E261" s="4">
        <v>0</v>
      </c>
      <c r="F261" s="4">
        <v>0</v>
      </c>
      <c r="G261" s="4">
        <v>0</v>
      </c>
      <c r="H261" s="6">
        <v>12.29265</v>
      </c>
      <c r="I261" s="6">
        <v>22.310176999999999</v>
      </c>
      <c r="J261" s="6">
        <v>13.484223999999999</v>
      </c>
      <c r="K261" s="7">
        <f t="shared" si="8"/>
        <v>0</v>
      </c>
      <c r="L261" s="8">
        <f t="shared" si="9"/>
        <v>16.029017</v>
      </c>
      <c r="M261" s="9">
        <v>5.4066834086069099E-8</v>
      </c>
      <c r="N261" s="9">
        <v>8.33448240306112E-7</v>
      </c>
      <c r="O261" s="2">
        <v>4.9848832822910296</v>
      </c>
      <c r="P261" t="s">
        <v>1171</v>
      </c>
      <c r="Q261" s="10">
        <f>IF(N261&lt;='[1]statistical criteria'!$B$2,IF(O261&gt;=LOG('[1]statistical criteria'!$B$3,2),1,IF(O261&lt;=-1*LOG('[1]statistical criteria'!$B$3,2),2,"-")),"-")</f>
        <v>1</v>
      </c>
      <c r="R261" t="s">
        <v>1173</v>
      </c>
      <c r="S261" t="s">
        <v>1174</v>
      </c>
      <c r="T261" s="9">
        <v>2.0000000000000001E-53</v>
      </c>
      <c r="U261" t="s">
        <v>61</v>
      </c>
    </row>
    <row r="262" spans="1:21" x14ac:dyDescent="0.35">
      <c r="A262" t="s">
        <v>1175</v>
      </c>
      <c r="B262" t="s">
        <v>1176</v>
      </c>
      <c r="C262">
        <v>1166</v>
      </c>
      <c r="D262" s="4">
        <v>0</v>
      </c>
      <c r="E262" s="4">
        <v>0</v>
      </c>
      <c r="F262" s="4">
        <v>0</v>
      </c>
      <c r="G262" s="4">
        <v>0</v>
      </c>
      <c r="H262" s="6">
        <v>27.929510000000001</v>
      </c>
      <c r="I262" s="6">
        <v>0.81694599999999995</v>
      </c>
      <c r="J262" s="6">
        <v>19.540648999999998</v>
      </c>
      <c r="K262" s="7">
        <f t="shared" si="8"/>
        <v>0</v>
      </c>
      <c r="L262" s="8">
        <f t="shared" si="9"/>
        <v>16.095701666666667</v>
      </c>
      <c r="M262" s="9">
        <v>1.9755228180951501E-7</v>
      </c>
      <c r="N262" s="9">
        <v>2.6592863831849E-6</v>
      </c>
      <c r="O262" s="2">
        <v>4.9770273991257898</v>
      </c>
      <c r="P262" t="s">
        <v>1175</v>
      </c>
      <c r="Q262" s="10">
        <f>IF(N262&lt;='[1]statistical criteria'!$B$2,IF(O262&gt;=LOG('[1]statistical criteria'!$B$3,2),1,IF(O262&lt;=-1*LOG('[1]statistical criteria'!$B$3,2),2,"-")),"-")</f>
        <v>1</v>
      </c>
      <c r="R262" t="s">
        <v>697</v>
      </c>
      <c r="S262" t="s">
        <v>698</v>
      </c>
      <c r="T262" s="9">
        <v>5.9999999999999996E-165</v>
      </c>
      <c r="U262" t="s">
        <v>316</v>
      </c>
    </row>
    <row r="263" spans="1:21" x14ac:dyDescent="0.35">
      <c r="A263" t="s">
        <v>1177</v>
      </c>
      <c r="B263" t="s">
        <v>1178</v>
      </c>
      <c r="C263">
        <v>1317</v>
      </c>
      <c r="D263" s="4">
        <v>0</v>
      </c>
      <c r="E263" s="4">
        <v>0</v>
      </c>
      <c r="F263" s="4">
        <v>0</v>
      </c>
      <c r="G263" s="5">
        <v>3.3401540000000001</v>
      </c>
      <c r="H263" s="6">
        <v>15.703238000000001</v>
      </c>
      <c r="I263" s="6">
        <v>19.567655999999999</v>
      </c>
      <c r="J263" s="6">
        <v>14.286087999999999</v>
      </c>
      <c r="K263" s="7">
        <f t="shared" si="8"/>
        <v>0.83503850000000002</v>
      </c>
      <c r="L263" s="8">
        <f t="shared" si="9"/>
        <v>16.518993999999999</v>
      </c>
      <c r="M263" s="9">
        <v>6.5611928938984299E-8</v>
      </c>
      <c r="N263" s="9">
        <v>9.9043024024092505E-7</v>
      </c>
      <c r="O263" s="2">
        <v>4.9732140214806497</v>
      </c>
      <c r="P263" t="s">
        <v>1177</v>
      </c>
      <c r="Q263" s="10">
        <f>IF(N263&lt;='[1]statistical criteria'!$B$2,IF(O263&gt;=LOG('[1]statistical criteria'!$B$3,2),1,IF(O263&lt;=-1*LOG('[1]statistical criteria'!$B$3,2),2,"-")),"-")</f>
        <v>1</v>
      </c>
      <c r="R263" t="s">
        <v>1179</v>
      </c>
      <c r="S263" t="s">
        <v>1180</v>
      </c>
      <c r="T263">
        <v>0</v>
      </c>
      <c r="U263" t="s">
        <v>1181</v>
      </c>
    </row>
    <row r="264" spans="1:21" x14ac:dyDescent="0.35">
      <c r="A264" t="s">
        <v>1182</v>
      </c>
      <c r="B264" t="s">
        <v>1183</v>
      </c>
      <c r="C264">
        <v>471</v>
      </c>
      <c r="D264" s="4">
        <v>0</v>
      </c>
      <c r="E264" s="4">
        <v>0</v>
      </c>
      <c r="F264" s="4">
        <v>0</v>
      </c>
      <c r="G264" s="4">
        <v>0</v>
      </c>
      <c r="H264" s="6">
        <v>52.473942999999998</v>
      </c>
      <c r="I264" s="6">
        <v>5.6509390000000002</v>
      </c>
      <c r="J264" s="6">
        <v>25.673137000000001</v>
      </c>
      <c r="K264" s="7">
        <f t="shared" si="8"/>
        <v>0</v>
      </c>
      <c r="L264" s="8">
        <f t="shared" si="9"/>
        <v>27.932672999999998</v>
      </c>
      <c r="M264" s="9">
        <v>8.8283914151099502E-10</v>
      </c>
      <c r="N264" s="9">
        <v>1.9134884809742899E-8</v>
      </c>
      <c r="O264" s="2">
        <v>4.97305540928431</v>
      </c>
      <c r="P264" t="s">
        <v>1182</v>
      </c>
      <c r="Q264" s="10">
        <f>IF(N264&lt;='[1]statistical criteria'!$B$2,IF(O264&gt;=LOG('[1]statistical criteria'!$B$3,2),1,IF(O264&lt;=-1*LOG('[1]statistical criteria'!$B$3,2),2,"-")),"-")</f>
        <v>1</v>
      </c>
      <c r="R264" t="s">
        <v>121</v>
      </c>
    </row>
    <row r="265" spans="1:21" x14ac:dyDescent="0.35">
      <c r="A265" t="s">
        <v>1184</v>
      </c>
      <c r="B265" t="s">
        <v>1185</v>
      </c>
      <c r="C265">
        <v>1101</v>
      </c>
      <c r="D265" s="4">
        <v>0</v>
      </c>
      <c r="E265" s="4">
        <v>0</v>
      </c>
      <c r="F265" s="4">
        <v>0</v>
      </c>
      <c r="G265" s="4">
        <v>0</v>
      </c>
      <c r="H265" s="6">
        <v>2.925891</v>
      </c>
      <c r="I265" s="6">
        <v>10.000251</v>
      </c>
      <c r="J265" s="6">
        <v>5.8940270000000003</v>
      </c>
      <c r="K265" s="7">
        <f t="shared" si="8"/>
        <v>0</v>
      </c>
      <c r="L265" s="8">
        <f t="shared" si="9"/>
        <v>6.2733896666666666</v>
      </c>
      <c r="M265" s="9">
        <v>3.73404249676841E-8</v>
      </c>
      <c r="N265" s="9">
        <v>5.9438585289421099E-7</v>
      </c>
      <c r="O265" s="2">
        <v>4.9728597754156798</v>
      </c>
      <c r="P265" t="s">
        <v>1184</v>
      </c>
      <c r="Q265" s="10">
        <f>IF(N265&lt;='[1]statistical criteria'!$B$2,IF(O265&gt;=LOG('[1]statistical criteria'!$B$3,2),1,IF(O265&lt;=-1*LOG('[1]statistical criteria'!$B$3,2),2,"-")),"-")</f>
        <v>1</v>
      </c>
      <c r="R265" t="s">
        <v>1186</v>
      </c>
      <c r="S265" t="s">
        <v>1187</v>
      </c>
      <c r="T265" s="9">
        <v>5.0000000000000004E-44</v>
      </c>
      <c r="U265" t="s">
        <v>1188</v>
      </c>
    </row>
    <row r="266" spans="1:21" x14ac:dyDescent="0.35">
      <c r="A266" t="s">
        <v>1189</v>
      </c>
      <c r="B266" t="s">
        <v>1190</v>
      </c>
      <c r="C266">
        <v>807</v>
      </c>
      <c r="D266" s="4">
        <v>0</v>
      </c>
      <c r="E266" s="4">
        <v>0</v>
      </c>
      <c r="F266" s="4">
        <v>0</v>
      </c>
      <c r="G266" s="4">
        <v>0</v>
      </c>
      <c r="H266" s="6">
        <v>7.4599799999999998</v>
      </c>
      <c r="I266" s="6">
        <v>2.9530539999999998</v>
      </c>
      <c r="J266" s="6">
        <v>16.354323999999998</v>
      </c>
      <c r="K266" s="7">
        <f t="shared" si="8"/>
        <v>0</v>
      </c>
      <c r="L266" s="8">
        <f t="shared" si="9"/>
        <v>8.9224526666666666</v>
      </c>
      <c r="M266" s="9">
        <v>8.2662840395239095E-9</v>
      </c>
      <c r="N266" s="9">
        <v>1.4974525014006701E-7</v>
      </c>
      <c r="O266" s="2">
        <v>4.9660713870703699</v>
      </c>
      <c r="P266" t="s">
        <v>1189</v>
      </c>
      <c r="Q266" s="10">
        <f>IF(N266&lt;='[1]statistical criteria'!$B$2,IF(O266&gt;=LOG('[1]statistical criteria'!$B$3,2),1,IF(O266&lt;=-1*LOG('[1]statistical criteria'!$B$3,2),2,"-")),"-")</f>
        <v>1</v>
      </c>
      <c r="R266" t="s">
        <v>436</v>
      </c>
      <c r="S266" t="s">
        <v>1191</v>
      </c>
      <c r="T266" s="9">
        <v>8.0000000000000007E-86</v>
      </c>
      <c r="U266" t="s">
        <v>443</v>
      </c>
    </row>
    <row r="267" spans="1:21" x14ac:dyDescent="0.35">
      <c r="A267" t="s">
        <v>1192</v>
      </c>
      <c r="B267" t="s">
        <v>1193</v>
      </c>
      <c r="C267">
        <v>2973</v>
      </c>
      <c r="D267" s="4">
        <v>0</v>
      </c>
      <c r="E267" s="4">
        <v>0</v>
      </c>
      <c r="F267" s="4">
        <v>0</v>
      </c>
      <c r="G267" s="4">
        <v>0</v>
      </c>
      <c r="H267" s="6">
        <v>3.0828229999999999</v>
      </c>
      <c r="I267" s="6">
        <v>6.8805709999999998</v>
      </c>
      <c r="J267" s="6">
        <v>1.5515699999999999</v>
      </c>
      <c r="K267" s="7">
        <f t="shared" si="8"/>
        <v>0</v>
      </c>
      <c r="L267" s="8">
        <f t="shared" si="9"/>
        <v>3.838321333333333</v>
      </c>
      <c r="M267" s="9">
        <v>1.30898193486416E-7</v>
      </c>
      <c r="N267" s="9">
        <v>1.82528318462646E-6</v>
      </c>
      <c r="O267" s="2">
        <v>4.9582789135144196</v>
      </c>
      <c r="P267" t="s">
        <v>1192</v>
      </c>
      <c r="Q267" s="10">
        <f>IF(N267&lt;='[1]statistical criteria'!$B$2,IF(O267&gt;=LOG('[1]statistical criteria'!$B$3,2),1,IF(O267&lt;=-1*LOG('[1]statistical criteria'!$B$3,2),2,"-")),"-")</f>
        <v>1</v>
      </c>
      <c r="R267" t="s">
        <v>1194</v>
      </c>
      <c r="S267" t="s">
        <v>1195</v>
      </c>
      <c r="T267">
        <v>0</v>
      </c>
      <c r="U267" t="s">
        <v>200</v>
      </c>
    </row>
    <row r="268" spans="1:21" x14ac:dyDescent="0.35">
      <c r="A268" t="s">
        <v>1196</v>
      </c>
      <c r="B268" t="s">
        <v>1197</v>
      </c>
      <c r="C268">
        <v>540</v>
      </c>
      <c r="D268" s="5">
        <v>0.21456700000000001</v>
      </c>
      <c r="E268" s="4">
        <v>0</v>
      </c>
      <c r="F268" s="4">
        <v>0</v>
      </c>
      <c r="G268" s="4">
        <v>0</v>
      </c>
      <c r="H268" s="6">
        <v>20.052553</v>
      </c>
      <c r="I268" s="6">
        <v>44.604565000000001</v>
      </c>
      <c r="J268" s="6">
        <v>17.168220000000002</v>
      </c>
      <c r="K268" s="7">
        <f t="shared" si="8"/>
        <v>5.3641750000000002E-2</v>
      </c>
      <c r="L268" s="8">
        <f t="shared" si="9"/>
        <v>27.275112666666669</v>
      </c>
      <c r="M268" s="9">
        <v>1.73379623125673E-7</v>
      </c>
      <c r="N268" s="9">
        <v>2.3600960143644899E-6</v>
      </c>
      <c r="O268" s="2">
        <v>4.9571573763913097</v>
      </c>
      <c r="P268" t="s">
        <v>1196</v>
      </c>
      <c r="Q268" s="10">
        <f>IF(N268&lt;='[1]statistical criteria'!$B$2,IF(O268&gt;=LOG('[1]statistical criteria'!$B$3,2),1,IF(O268&lt;=-1*LOG('[1]statistical criteria'!$B$3,2),2,"-")),"-")</f>
        <v>1</v>
      </c>
      <c r="R268" t="s">
        <v>1198</v>
      </c>
    </row>
    <row r="269" spans="1:21" x14ac:dyDescent="0.35">
      <c r="A269" t="s">
        <v>1199</v>
      </c>
      <c r="B269" t="s">
        <v>1200</v>
      </c>
      <c r="C269">
        <v>660</v>
      </c>
      <c r="D269" s="4">
        <v>0</v>
      </c>
      <c r="E269" s="4">
        <v>0</v>
      </c>
      <c r="F269" s="4">
        <v>0</v>
      </c>
      <c r="G269" s="4">
        <v>0</v>
      </c>
      <c r="H269" s="6">
        <v>14.314895</v>
      </c>
      <c r="I269" s="6">
        <v>7.1273710000000001</v>
      </c>
      <c r="J269" s="6">
        <v>29.444191</v>
      </c>
      <c r="K269" s="7">
        <f t="shared" si="8"/>
        <v>0</v>
      </c>
      <c r="L269" s="8">
        <f t="shared" si="9"/>
        <v>16.962152333333332</v>
      </c>
      <c r="M269" s="9">
        <v>5.6760952630545698E-8</v>
      </c>
      <c r="N269" s="9">
        <v>8.7039559110337101E-7</v>
      </c>
      <c r="O269" s="2">
        <v>4.9487012649516</v>
      </c>
      <c r="P269" t="s">
        <v>1199</v>
      </c>
      <c r="Q269" s="10">
        <f>IF(N269&lt;='[1]statistical criteria'!$B$2,IF(O269&gt;=LOG('[1]statistical criteria'!$B$3,2),1,IF(O269&lt;=-1*LOG('[1]statistical criteria'!$B$3,2),2,"-")),"-")</f>
        <v>1</v>
      </c>
      <c r="R269" t="s">
        <v>1201</v>
      </c>
      <c r="S269" t="s">
        <v>1202</v>
      </c>
      <c r="T269" s="9">
        <v>4.9999999999999999E-61</v>
      </c>
      <c r="U269" t="s">
        <v>1203</v>
      </c>
    </row>
    <row r="270" spans="1:21" x14ac:dyDescent="0.35">
      <c r="A270" t="s">
        <v>127</v>
      </c>
      <c r="B270" t="s">
        <v>128</v>
      </c>
      <c r="C270">
        <v>495</v>
      </c>
      <c r="D270" s="5">
        <v>0.79480700000000004</v>
      </c>
      <c r="E270" s="5">
        <v>3.515774</v>
      </c>
      <c r="F270" s="4">
        <v>0</v>
      </c>
      <c r="G270" s="4">
        <v>0</v>
      </c>
      <c r="H270" s="6">
        <v>107.133892</v>
      </c>
      <c r="I270" s="6">
        <v>50.938594999999999</v>
      </c>
      <c r="J270" s="6">
        <v>129.52982</v>
      </c>
      <c r="K270" s="7">
        <f t="shared" si="8"/>
        <v>1.07764525</v>
      </c>
      <c r="L270" s="8">
        <f t="shared" si="9"/>
        <v>95.867435666666665</v>
      </c>
      <c r="M270" s="9">
        <v>1.04956593847952E-7</v>
      </c>
      <c r="N270" s="9">
        <v>1.5017016285686301E-6</v>
      </c>
      <c r="O270" s="2">
        <v>4.9485360229902504</v>
      </c>
      <c r="P270" t="s">
        <v>127</v>
      </c>
      <c r="Q270" s="10">
        <f>IF(N270&lt;='[1]statistical criteria'!$B$2,IF(O270&gt;=LOG('[1]statistical criteria'!$B$3,2),1,IF(O270&lt;=-1*LOG('[1]statistical criteria'!$B$3,2),2,"-")),"-")</f>
        <v>1</v>
      </c>
      <c r="S270" t="s">
        <v>129</v>
      </c>
      <c r="T270" s="9">
        <v>3.0000000000000003E-29</v>
      </c>
      <c r="U270" t="s">
        <v>130</v>
      </c>
    </row>
    <row r="271" spans="1:21" x14ac:dyDescent="0.35">
      <c r="A271" t="s">
        <v>1204</v>
      </c>
      <c r="B271" t="s">
        <v>1205</v>
      </c>
      <c r="C271">
        <v>417</v>
      </c>
      <c r="D271" s="4">
        <v>0</v>
      </c>
      <c r="E271" s="4">
        <v>0</v>
      </c>
      <c r="F271" s="4">
        <v>0</v>
      </c>
      <c r="G271" s="4">
        <v>0</v>
      </c>
      <c r="H271" s="6">
        <v>21.803764000000001</v>
      </c>
      <c r="I271" s="6">
        <v>16.964493999999998</v>
      </c>
      <c r="J271" s="6">
        <v>17.030794</v>
      </c>
      <c r="K271" s="7">
        <f t="shared" si="8"/>
        <v>0</v>
      </c>
      <c r="L271" s="8">
        <f t="shared" si="9"/>
        <v>18.599684</v>
      </c>
      <c r="M271" s="9">
        <v>5.8361897577412595E-10</v>
      </c>
      <c r="N271" s="9">
        <v>1.30661989517431E-8</v>
      </c>
      <c r="O271" s="2">
        <v>4.94542760545436</v>
      </c>
      <c r="P271" t="s">
        <v>1204</v>
      </c>
      <c r="Q271" s="10">
        <f>IF(N271&lt;='[1]statistical criteria'!$B$2,IF(O271&gt;=LOG('[1]statistical criteria'!$B$3,2),1,IF(O271&lt;=-1*LOG('[1]statistical criteria'!$B$3,2),2,"-")),"-")</f>
        <v>1</v>
      </c>
      <c r="R271" t="s">
        <v>1206</v>
      </c>
      <c r="S271" t="s">
        <v>1207</v>
      </c>
      <c r="T271" s="9">
        <v>6.0000000000000001E-32</v>
      </c>
      <c r="U271" t="s">
        <v>1208</v>
      </c>
    </row>
    <row r="272" spans="1:21" x14ac:dyDescent="0.35">
      <c r="A272" t="s">
        <v>1209</v>
      </c>
      <c r="B272" t="s">
        <v>1210</v>
      </c>
      <c r="C272">
        <v>1080</v>
      </c>
      <c r="D272" s="5">
        <v>2.5525009999999999</v>
      </c>
      <c r="E272" s="5">
        <v>4.7873559999999999</v>
      </c>
      <c r="F272" s="5">
        <v>3.752129</v>
      </c>
      <c r="G272" s="5">
        <v>1.2832110000000001</v>
      </c>
      <c r="H272" s="6">
        <v>503.97476999999998</v>
      </c>
      <c r="I272" s="6">
        <v>702.74715400000002</v>
      </c>
      <c r="J272" s="6">
        <v>420.92580299999997</v>
      </c>
      <c r="K272" s="7">
        <f t="shared" si="8"/>
        <v>3.09379925</v>
      </c>
      <c r="L272" s="8">
        <f t="shared" si="9"/>
        <v>542.54924233333338</v>
      </c>
      <c r="M272" s="9">
        <v>8.6852856391773096E-89</v>
      </c>
      <c r="N272" s="9">
        <v>2.3611569387649199E-85</v>
      </c>
      <c r="O272" s="2">
        <v>4.9453461657803004</v>
      </c>
      <c r="P272" t="s">
        <v>1209</v>
      </c>
      <c r="Q272" s="10">
        <f>IF(N272&lt;='[1]statistical criteria'!$B$2,IF(O272&gt;=LOG('[1]statistical criteria'!$B$3,2),1,IF(O272&lt;=-1*LOG('[1]statistical criteria'!$B$3,2),2,"-")),"-")</f>
        <v>1</v>
      </c>
      <c r="R272" t="s">
        <v>82</v>
      </c>
      <c r="S272" t="s">
        <v>83</v>
      </c>
      <c r="T272" s="9">
        <v>3.9999999999999999E-132</v>
      </c>
      <c r="U272" t="s">
        <v>84</v>
      </c>
    </row>
    <row r="273" spans="1:21" x14ac:dyDescent="0.35">
      <c r="A273" t="s">
        <v>1211</v>
      </c>
      <c r="B273" t="s">
        <v>1212</v>
      </c>
      <c r="C273">
        <v>1152</v>
      </c>
      <c r="D273" s="4">
        <v>0</v>
      </c>
      <c r="E273" s="4">
        <v>0</v>
      </c>
      <c r="F273" s="4">
        <v>0</v>
      </c>
      <c r="G273" s="4">
        <v>0</v>
      </c>
      <c r="H273" s="6">
        <v>7.3467950000000002</v>
      </c>
      <c r="I273" s="6">
        <v>17.889848000000001</v>
      </c>
      <c r="J273" s="6">
        <v>3.1339250000000001</v>
      </c>
      <c r="K273" s="7">
        <f t="shared" si="8"/>
        <v>0</v>
      </c>
      <c r="L273" s="8">
        <f t="shared" si="9"/>
        <v>9.4568560000000002</v>
      </c>
      <c r="M273" s="9">
        <v>1.5656425105133101E-12</v>
      </c>
      <c r="N273" s="9">
        <v>5.2224674802924399E-11</v>
      </c>
      <c r="O273" s="2">
        <v>4.9431455876649597</v>
      </c>
      <c r="P273" t="s">
        <v>1211</v>
      </c>
      <c r="Q273" s="10">
        <f>IF(N273&lt;='[1]statistical criteria'!$B$2,IF(O273&gt;=LOG('[1]statistical criteria'!$B$3,2),1,IF(O273&lt;=-1*LOG('[1]statistical criteria'!$B$3,2),2,"-")),"-")</f>
        <v>1</v>
      </c>
      <c r="R273" t="s">
        <v>82</v>
      </c>
      <c r="S273" t="s">
        <v>1213</v>
      </c>
      <c r="T273" s="9">
        <v>3.0000000000000001E-177</v>
      </c>
      <c r="U273" t="s">
        <v>84</v>
      </c>
    </row>
    <row r="274" spans="1:21" x14ac:dyDescent="0.35">
      <c r="A274" t="s">
        <v>1214</v>
      </c>
      <c r="B274" t="s">
        <v>1215</v>
      </c>
      <c r="C274">
        <v>1056</v>
      </c>
      <c r="D274" s="4">
        <v>0</v>
      </c>
      <c r="E274" s="4">
        <v>0</v>
      </c>
      <c r="F274" s="4">
        <v>0</v>
      </c>
      <c r="G274" s="4">
        <v>0</v>
      </c>
      <c r="H274" s="6">
        <v>2.41445</v>
      </c>
      <c r="I274" s="6">
        <v>10.420033999999999</v>
      </c>
      <c r="J274" s="6">
        <v>5.8114780000000001</v>
      </c>
      <c r="K274" s="7">
        <f t="shared" si="8"/>
        <v>0</v>
      </c>
      <c r="L274" s="8">
        <f t="shared" si="9"/>
        <v>6.2153206666666669</v>
      </c>
      <c r="M274" s="9">
        <v>9.9137104235927594E-6</v>
      </c>
      <c r="N274" s="9">
        <v>8.9511506567189906E-5</v>
      </c>
      <c r="O274" s="2">
        <v>4.9399114801993402</v>
      </c>
      <c r="P274" t="s">
        <v>1214</v>
      </c>
      <c r="Q274" s="10">
        <f>IF(N274&lt;='[1]statistical criteria'!$B$2,IF(O274&gt;=LOG('[1]statistical criteria'!$B$3,2),1,IF(O274&lt;=-1*LOG('[1]statistical criteria'!$B$3,2),2,"-")),"-")</f>
        <v>1</v>
      </c>
      <c r="R274" t="s">
        <v>1216</v>
      </c>
      <c r="S274" t="s">
        <v>1217</v>
      </c>
      <c r="T274" s="9">
        <v>5.0000000000000002E-135</v>
      </c>
      <c r="U274" t="s">
        <v>1218</v>
      </c>
    </row>
    <row r="275" spans="1:21" x14ac:dyDescent="0.35">
      <c r="A275" t="s">
        <v>1219</v>
      </c>
      <c r="B275" t="s">
        <v>1220</v>
      </c>
      <c r="C275">
        <v>675</v>
      </c>
      <c r="D275" s="5">
        <v>1.446178</v>
      </c>
      <c r="E275" s="4">
        <v>0</v>
      </c>
      <c r="F275" s="4">
        <v>0</v>
      </c>
      <c r="G275" s="4">
        <v>0</v>
      </c>
      <c r="H275" s="6">
        <v>25.017814999999999</v>
      </c>
      <c r="I275" s="6">
        <v>22.439979999999998</v>
      </c>
      <c r="J275" s="6">
        <v>22.847632000000001</v>
      </c>
      <c r="K275" s="7">
        <f t="shared" si="8"/>
        <v>0.36154449999999999</v>
      </c>
      <c r="L275" s="8">
        <f t="shared" si="9"/>
        <v>23.435142333333332</v>
      </c>
      <c r="M275" s="9">
        <v>7.6975286317913404E-10</v>
      </c>
      <c r="N275" s="9">
        <v>1.68663177735163E-8</v>
      </c>
      <c r="O275" s="2">
        <v>4.9325913937258496</v>
      </c>
      <c r="P275" t="s">
        <v>1219</v>
      </c>
      <c r="Q275" s="10">
        <f>IF(N275&lt;='[1]statistical criteria'!$B$2,IF(O275&gt;=LOG('[1]statistical criteria'!$B$3,2),1,IF(O275&lt;=-1*LOG('[1]statistical criteria'!$B$3,2),2,"-")),"-")</f>
        <v>1</v>
      </c>
      <c r="R275" t="s">
        <v>1221</v>
      </c>
      <c r="S275" t="s">
        <v>1222</v>
      </c>
      <c r="T275" s="9">
        <v>1.9999999999999999E-80</v>
      </c>
      <c r="U275" t="s">
        <v>1223</v>
      </c>
    </row>
    <row r="276" spans="1:21" x14ac:dyDescent="0.35">
      <c r="A276" t="s">
        <v>1224</v>
      </c>
      <c r="B276" t="s">
        <v>1225</v>
      </c>
      <c r="C276">
        <v>1350</v>
      </c>
      <c r="D276" s="4">
        <v>0</v>
      </c>
      <c r="E276" s="4">
        <v>0</v>
      </c>
      <c r="F276" s="4">
        <v>0</v>
      </c>
      <c r="G276" s="4">
        <v>0</v>
      </c>
      <c r="H276" s="6">
        <v>7.376735</v>
      </c>
      <c r="I276" s="6">
        <v>2.625864</v>
      </c>
      <c r="J276" s="6">
        <v>6.7158980000000001</v>
      </c>
      <c r="K276" s="7">
        <f t="shared" si="8"/>
        <v>0</v>
      </c>
      <c r="L276" s="8">
        <f t="shared" si="9"/>
        <v>5.5728323333333334</v>
      </c>
      <c r="M276" s="9">
        <v>7.0509470631800602E-8</v>
      </c>
      <c r="N276" s="9">
        <v>1.05570041394427E-6</v>
      </c>
      <c r="O276" s="2">
        <v>4.9267957779509102</v>
      </c>
      <c r="P276" t="s">
        <v>1224</v>
      </c>
      <c r="Q276" s="10">
        <f>IF(N276&lt;='[1]statistical criteria'!$B$2,IF(O276&gt;=LOG('[1]statistical criteria'!$B$3,2),1,IF(O276&lt;=-1*LOG('[1]statistical criteria'!$B$3,2),2,"-")),"-")</f>
        <v>1</v>
      </c>
      <c r="R276" t="s">
        <v>527</v>
      </c>
      <c r="S276" t="s">
        <v>528</v>
      </c>
      <c r="T276" s="9">
        <v>2.0000000000000002E-43</v>
      </c>
      <c r="U276" t="s">
        <v>529</v>
      </c>
    </row>
    <row r="277" spans="1:21" x14ac:dyDescent="0.35">
      <c r="A277" t="s">
        <v>1226</v>
      </c>
      <c r="B277" t="s">
        <v>1227</v>
      </c>
      <c r="C277">
        <v>1143</v>
      </c>
      <c r="D277" s="4">
        <v>0</v>
      </c>
      <c r="E277" s="4">
        <v>0</v>
      </c>
      <c r="F277" s="4">
        <v>0</v>
      </c>
      <c r="G277" s="4">
        <v>0</v>
      </c>
      <c r="H277" s="6">
        <v>3.4978690000000001</v>
      </c>
      <c r="I277" s="6">
        <v>10.645942</v>
      </c>
      <c r="J277" s="6">
        <v>8.0718540000000001</v>
      </c>
      <c r="K277" s="7">
        <f t="shared" si="8"/>
        <v>0</v>
      </c>
      <c r="L277" s="8">
        <f t="shared" si="9"/>
        <v>7.4052216666666668</v>
      </c>
      <c r="M277" s="9">
        <v>2.5322995684433199E-12</v>
      </c>
      <c r="N277" s="9">
        <v>8.1677391165214201E-11</v>
      </c>
      <c r="O277" s="2">
        <v>4.9219679416378703</v>
      </c>
      <c r="P277" t="s">
        <v>1226</v>
      </c>
      <c r="Q277" s="10">
        <f>IF(N277&lt;='[1]statistical criteria'!$B$2,IF(O277&gt;=LOG('[1]statistical criteria'!$B$3,2),1,IF(O277&lt;=-1*LOG('[1]statistical criteria'!$B$3,2),2,"-")),"-")</f>
        <v>1</v>
      </c>
      <c r="R277" t="s">
        <v>1228</v>
      </c>
      <c r="S277" t="s">
        <v>1229</v>
      </c>
      <c r="T277">
        <v>0</v>
      </c>
      <c r="U277" t="s">
        <v>393</v>
      </c>
    </row>
    <row r="278" spans="1:21" x14ac:dyDescent="0.35">
      <c r="A278" t="s">
        <v>1230</v>
      </c>
      <c r="B278" t="s">
        <v>1231</v>
      </c>
      <c r="C278">
        <v>822</v>
      </c>
      <c r="D278" s="5">
        <v>0.44024600000000003</v>
      </c>
      <c r="E278" s="4">
        <v>0</v>
      </c>
      <c r="F278" s="4">
        <v>0</v>
      </c>
      <c r="G278" s="4">
        <v>0</v>
      </c>
      <c r="H278" s="6">
        <v>12.749482</v>
      </c>
      <c r="I278" s="6">
        <v>15.846451</v>
      </c>
      <c r="J278" s="6">
        <v>14.826750000000001</v>
      </c>
      <c r="K278" s="7">
        <f t="shared" si="8"/>
        <v>0.11006150000000001</v>
      </c>
      <c r="L278" s="8">
        <f t="shared" si="9"/>
        <v>14.474227666666669</v>
      </c>
      <c r="M278" s="9">
        <v>1.44003987987776E-7</v>
      </c>
      <c r="N278" s="9">
        <v>1.9930151937508199E-6</v>
      </c>
      <c r="O278" s="2">
        <v>4.92126145576486</v>
      </c>
      <c r="P278" t="s">
        <v>1230</v>
      </c>
      <c r="Q278" s="10">
        <f>IF(N278&lt;='[1]statistical criteria'!$B$2,IF(O278&gt;=LOG('[1]statistical criteria'!$B$3,2),1,IF(O278&lt;=-1*LOG('[1]statistical criteria'!$B$3,2),2,"-")),"-")</f>
        <v>1</v>
      </c>
      <c r="R278" t="s">
        <v>1232</v>
      </c>
      <c r="S278" t="s">
        <v>1233</v>
      </c>
      <c r="T278" s="9">
        <v>2E-118</v>
      </c>
      <c r="U278" t="s">
        <v>1234</v>
      </c>
    </row>
    <row r="279" spans="1:21" x14ac:dyDescent="0.35">
      <c r="A279" t="s">
        <v>1235</v>
      </c>
      <c r="B279" t="s">
        <v>1236</v>
      </c>
      <c r="C279">
        <v>894</v>
      </c>
      <c r="D279" s="5">
        <v>1.014124</v>
      </c>
      <c r="E279" s="4">
        <v>0</v>
      </c>
      <c r="F279" s="4">
        <v>0</v>
      </c>
      <c r="G279" s="5">
        <v>0.31627499999999997</v>
      </c>
      <c r="H279" s="6">
        <v>36.895077000000001</v>
      </c>
      <c r="I279" s="6">
        <v>16.696397999999999</v>
      </c>
      <c r="J279" s="6">
        <v>28.118176999999999</v>
      </c>
      <c r="K279" s="7">
        <f t="shared" si="8"/>
        <v>0.33259974999999997</v>
      </c>
      <c r="L279" s="8">
        <f t="shared" si="9"/>
        <v>27.23655066666667</v>
      </c>
      <c r="M279" s="9">
        <v>2.6199116385397E-7</v>
      </c>
      <c r="N279" s="9">
        <v>3.44315735368856E-6</v>
      </c>
      <c r="O279" s="2">
        <v>4.9176593068488099</v>
      </c>
      <c r="P279" t="s">
        <v>1235</v>
      </c>
      <c r="Q279" s="10">
        <f>IF(N279&lt;='[1]statistical criteria'!$B$2,IF(O279&gt;=LOG('[1]statistical criteria'!$B$3,2),1,IF(O279&lt;=-1*LOG('[1]statistical criteria'!$B$3,2),2,"-")),"-")</f>
        <v>1</v>
      </c>
      <c r="R279" t="s">
        <v>1237</v>
      </c>
    </row>
    <row r="280" spans="1:21" x14ac:dyDescent="0.35">
      <c r="A280" t="s">
        <v>1238</v>
      </c>
      <c r="B280" t="s">
        <v>1239</v>
      </c>
      <c r="C280">
        <v>844</v>
      </c>
      <c r="D280" s="4">
        <v>0</v>
      </c>
      <c r="E280" s="4">
        <v>0</v>
      </c>
      <c r="F280" s="4">
        <v>0</v>
      </c>
      <c r="G280" s="4">
        <v>0</v>
      </c>
      <c r="H280" s="6">
        <v>10.943989999999999</v>
      </c>
      <c r="I280" s="6">
        <v>1.906585</v>
      </c>
      <c r="J280" s="6">
        <v>14.782475</v>
      </c>
      <c r="K280" s="7">
        <f t="shared" si="8"/>
        <v>0</v>
      </c>
      <c r="L280" s="8">
        <f t="shared" si="9"/>
        <v>9.2110166666666657</v>
      </c>
      <c r="M280" s="9">
        <v>1.5709393459808799E-7</v>
      </c>
      <c r="N280" s="9">
        <v>2.1569246575769298E-6</v>
      </c>
      <c r="O280" s="2">
        <v>4.9165548191232</v>
      </c>
      <c r="P280" t="s">
        <v>1238</v>
      </c>
      <c r="Q280" s="10">
        <f>IF(N280&lt;='[1]statistical criteria'!$B$2,IF(O280&gt;=LOG('[1]statistical criteria'!$B$3,2),1,IF(O280&lt;=-1*LOG('[1]statistical criteria'!$B$3,2),2,"-")),"-")</f>
        <v>1</v>
      </c>
      <c r="R280" t="s">
        <v>1240</v>
      </c>
      <c r="S280" t="s">
        <v>1241</v>
      </c>
      <c r="T280" s="9">
        <v>1E-127</v>
      </c>
      <c r="U280" t="s">
        <v>1242</v>
      </c>
    </row>
    <row r="281" spans="1:21" x14ac:dyDescent="0.35">
      <c r="A281" t="s">
        <v>1243</v>
      </c>
      <c r="B281" t="s">
        <v>1244</v>
      </c>
      <c r="C281">
        <v>1107</v>
      </c>
      <c r="D281" s="5">
        <v>2.0687069999999999</v>
      </c>
      <c r="E281" s="4">
        <v>0</v>
      </c>
      <c r="F281" s="4">
        <v>0</v>
      </c>
      <c r="G281" s="5">
        <v>0.34941100000000003</v>
      </c>
      <c r="H281" s="6">
        <v>21.716111999999999</v>
      </c>
      <c r="I281" s="6">
        <v>57.215268000000002</v>
      </c>
      <c r="J281" s="6">
        <v>17.868127000000001</v>
      </c>
      <c r="K281" s="7">
        <f t="shared" si="8"/>
        <v>0.60452949999999994</v>
      </c>
      <c r="L281" s="8">
        <f t="shared" si="9"/>
        <v>32.266502333333335</v>
      </c>
      <c r="M281" s="9">
        <v>7.4811973111536005E-8</v>
      </c>
      <c r="N281" s="9">
        <v>1.1144202335127401E-6</v>
      </c>
      <c r="O281" s="2">
        <v>4.9160158670136704</v>
      </c>
      <c r="P281" t="s">
        <v>1243</v>
      </c>
      <c r="Q281" s="10">
        <f>IF(N281&lt;='[1]statistical criteria'!$B$2,IF(O281&gt;=LOG('[1]statistical criteria'!$B$3,2),1,IF(O281&lt;=-1*LOG('[1]statistical criteria'!$B$3,2),2,"-")),"-")</f>
        <v>1</v>
      </c>
      <c r="R281" t="s">
        <v>532</v>
      </c>
      <c r="S281" t="s">
        <v>533</v>
      </c>
      <c r="T281">
        <v>0</v>
      </c>
      <c r="U281" t="s">
        <v>534</v>
      </c>
    </row>
    <row r="282" spans="1:21" x14ac:dyDescent="0.35">
      <c r="A282" t="s">
        <v>1245</v>
      </c>
      <c r="B282" t="s">
        <v>1246</v>
      </c>
      <c r="C282">
        <v>456</v>
      </c>
      <c r="D282" s="4">
        <v>0</v>
      </c>
      <c r="E282" s="4">
        <v>0</v>
      </c>
      <c r="F282" s="4">
        <v>0</v>
      </c>
      <c r="G282" s="5">
        <v>2.1074619999999999</v>
      </c>
      <c r="H282" s="6">
        <v>107.133892</v>
      </c>
      <c r="I282" s="6">
        <v>36.149970000000003</v>
      </c>
      <c r="J282" s="6">
        <v>24.544711</v>
      </c>
      <c r="K282" s="7">
        <f t="shared" si="8"/>
        <v>0.52686549999999999</v>
      </c>
      <c r="L282" s="8">
        <f t="shared" si="9"/>
        <v>55.942857666666669</v>
      </c>
      <c r="M282" s="9">
        <v>4.1425276195134703E-8</v>
      </c>
      <c r="N282" s="9">
        <v>6.5231527181912502E-7</v>
      </c>
      <c r="O282" s="2">
        <v>4.9145045019276301</v>
      </c>
      <c r="P282" t="s">
        <v>1245</v>
      </c>
      <c r="Q282" s="10">
        <f>IF(N282&lt;='[1]statistical criteria'!$B$2,IF(O282&gt;=LOG('[1]statistical criteria'!$B$3,2),1,IF(O282&lt;=-1*LOG('[1]statistical criteria'!$B$3,2),2,"-")),"-")</f>
        <v>1</v>
      </c>
      <c r="R282" t="s">
        <v>883</v>
      </c>
      <c r="S282" t="s">
        <v>884</v>
      </c>
      <c r="T282" s="9">
        <v>2E-52</v>
      </c>
      <c r="U282" t="s">
        <v>885</v>
      </c>
    </row>
    <row r="283" spans="1:21" x14ac:dyDescent="0.35">
      <c r="A283" t="s">
        <v>1247</v>
      </c>
      <c r="B283" t="s">
        <v>1248</v>
      </c>
      <c r="C283">
        <v>366</v>
      </c>
      <c r="D283" s="5">
        <v>5.9784480000000002</v>
      </c>
      <c r="E283" s="4">
        <v>0</v>
      </c>
      <c r="F283" s="5">
        <v>6.3169069999999996</v>
      </c>
      <c r="G283" s="4">
        <v>0</v>
      </c>
      <c r="H283" s="6">
        <v>145.33093199999999</v>
      </c>
      <c r="I283" s="6">
        <v>216.15647899999999</v>
      </c>
      <c r="J283" s="6">
        <v>243.08050499999999</v>
      </c>
      <c r="K283" s="7">
        <f t="shared" si="8"/>
        <v>3.0738387500000002</v>
      </c>
      <c r="L283" s="8">
        <f t="shared" si="9"/>
        <v>201.52263866666667</v>
      </c>
      <c r="M283" s="9">
        <v>1.09787684406785E-7</v>
      </c>
      <c r="N283" s="9">
        <v>1.5620632779522401E-6</v>
      </c>
      <c r="O283" s="2">
        <v>4.9081882232295202</v>
      </c>
      <c r="P283" t="s">
        <v>1247</v>
      </c>
      <c r="Q283" s="10">
        <f>IF(N283&lt;='[1]statistical criteria'!$B$2,IF(O283&gt;=LOG('[1]statistical criteria'!$B$3,2),1,IF(O283&lt;=-1*LOG('[1]statistical criteria'!$B$3,2),2,"-")),"-")</f>
        <v>1</v>
      </c>
      <c r="R283" t="s">
        <v>773</v>
      </c>
    </row>
    <row r="284" spans="1:21" x14ac:dyDescent="0.35">
      <c r="A284" t="s">
        <v>1249</v>
      </c>
      <c r="B284" t="s">
        <v>1250</v>
      </c>
      <c r="C284">
        <v>1458</v>
      </c>
      <c r="D284" s="4">
        <v>0</v>
      </c>
      <c r="E284" s="4">
        <v>0</v>
      </c>
      <c r="F284" s="4">
        <v>0</v>
      </c>
      <c r="G284" s="4">
        <v>0</v>
      </c>
      <c r="H284" s="6">
        <v>3.554128</v>
      </c>
      <c r="I284" s="6">
        <v>4.9580859999999998</v>
      </c>
      <c r="J284" s="6">
        <v>5.0629109999999997</v>
      </c>
      <c r="K284" s="7">
        <f t="shared" si="8"/>
        <v>0</v>
      </c>
      <c r="L284" s="8">
        <f t="shared" si="9"/>
        <v>4.5250416666666666</v>
      </c>
      <c r="M284" s="9">
        <v>9.8633702660825895E-8</v>
      </c>
      <c r="N284" s="9">
        <v>1.42035517339048E-6</v>
      </c>
      <c r="O284" s="2">
        <v>4.9075193605376599</v>
      </c>
      <c r="P284" t="s">
        <v>1249</v>
      </c>
      <c r="Q284" s="10">
        <f>IF(N284&lt;='[1]statistical criteria'!$B$2,IF(O284&gt;=LOG('[1]statistical criteria'!$B$3,2),1,IF(O284&lt;=-1*LOG('[1]statistical criteria'!$B$3,2),2,"-")),"-")</f>
        <v>1</v>
      </c>
      <c r="R284" t="s">
        <v>1251</v>
      </c>
      <c r="S284" t="s">
        <v>1252</v>
      </c>
      <c r="T284" s="9">
        <v>2E-120</v>
      </c>
      <c r="U284" t="s">
        <v>1253</v>
      </c>
    </row>
    <row r="285" spans="1:21" x14ac:dyDescent="0.35">
      <c r="A285" t="s">
        <v>1254</v>
      </c>
      <c r="B285" t="s">
        <v>1255</v>
      </c>
      <c r="C285">
        <v>336</v>
      </c>
      <c r="D285" s="4">
        <v>0</v>
      </c>
      <c r="E285" s="4">
        <v>0</v>
      </c>
      <c r="F285" s="4">
        <v>0</v>
      </c>
      <c r="G285" s="5">
        <v>4.9997090000000002</v>
      </c>
      <c r="H285" s="6">
        <v>76.176246000000006</v>
      </c>
      <c r="I285" s="6">
        <v>65.727219000000005</v>
      </c>
      <c r="J285" s="6">
        <v>82.089473999999996</v>
      </c>
      <c r="K285" s="7">
        <f t="shared" si="8"/>
        <v>1.24992725</v>
      </c>
      <c r="L285" s="8">
        <f t="shared" si="9"/>
        <v>74.664313000000007</v>
      </c>
      <c r="M285" s="9">
        <v>2.11904563721847E-7</v>
      </c>
      <c r="N285" s="9">
        <v>2.8338326406372099E-6</v>
      </c>
      <c r="O285" s="2">
        <v>4.9044741263317801</v>
      </c>
      <c r="P285" t="s">
        <v>1254</v>
      </c>
      <c r="Q285" s="10">
        <f>IF(N285&lt;='[1]statistical criteria'!$B$2,IF(O285&gt;=LOG('[1]statistical criteria'!$B$3,2),1,IF(O285&lt;=-1*LOG('[1]statistical criteria'!$B$3,2),2,"-")),"-")</f>
        <v>1</v>
      </c>
      <c r="R285" t="s">
        <v>1256</v>
      </c>
      <c r="S285" t="s">
        <v>1257</v>
      </c>
      <c r="T285" s="9">
        <v>2.0000000000000001E-32</v>
      </c>
      <c r="U285" t="s">
        <v>1258</v>
      </c>
    </row>
    <row r="286" spans="1:21" x14ac:dyDescent="0.35">
      <c r="A286" t="s">
        <v>1259</v>
      </c>
      <c r="B286" t="s">
        <v>1260</v>
      </c>
      <c r="C286">
        <v>570</v>
      </c>
      <c r="D286" s="4">
        <v>0</v>
      </c>
      <c r="E286" s="4">
        <v>0</v>
      </c>
      <c r="F286" s="4">
        <v>0</v>
      </c>
      <c r="G286" s="4">
        <v>0</v>
      </c>
      <c r="H286" s="6">
        <v>46.244228</v>
      </c>
      <c r="I286" s="6">
        <v>4.8988050000000003</v>
      </c>
      <c r="J286" s="6">
        <v>26.145807000000001</v>
      </c>
      <c r="K286" s="7">
        <f t="shared" si="8"/>
        <v>0</v>
      </c>
      <c r="L286" s="8">
        <f t="shared" si="9"/>
        <v>25.762946666666668</v>
      </c>
      <c r="M286" s="9">
        <v>1.7207952309358399E-7</v>
      </c>
      <c r="N286" s="9">
        <v>2.3449146612752602E-6</v>
      </c>
      <c r="O286" s="2">
        <v>4.9024525859770698</v>
      </c>
      <c r="P286" t="s">
        <v>1259</v>
      </c>
      <c r="Q286" s="10">
        <f>IF(N286&lt;='[1]statistical criteria'!$B$2,IF(O286&gt;=LOG('[1]statistical criteria'!$B$3,2),1,IF(O286&lt;=-1*LOG('[1]statistical criteria'!$B$3,2),2,"-")),"-")</f>
        <v>1</v>
      </c>
      <c r="R286" t="s">
        <v>310</v>
      </c>
    </row>
    <row r="287" spans="1:21" x14ac:dyDescent="0.35">
      <c r="A287" t="s">
        <v>1261</v>
      </c>
      <c r="B287" t="s">
        <v>1262</v>
      </c>
      <c r="C287">
        <v>243</v>
      </c>
      <c r="D287" s="4">
        <v>0</v>
      </c>
      <c r="E287" s="4">
        <v>0</v>
      </c>
      <c r="F287" s="4">
        <v>0</v>
      </c>
      <c r="G287" s="4">
        <v>0</v>
      </c>
      <c r="H287" s="6">
        <v>44.858254000000002</v>
      </c>
      <c r="I287" s="6">
        <v>70.037200999999996</v>
      </c>
      <c r="J287" s="6">
        <v>129.566281</v>
      </c>
      <c r="K287" s="7">
        <f t="shared" si="8"/>
        <v>0</v>
      </c>
      <c r="L287" s="8">
        <f t="shared" si="9"/>
        <v>81.487245333333334</v>
      </c>
      <c r="M287" s="9">
        <v>2.73388926698409E-10</v>
      </c>
      <c r="N287" s="9">
        <v>6.4150323983609502E-9</v>
      </c>
      <c r="O287" s="2">
        <v>4.9004664935487501</v>
      </c>
      <c r="P287" t="s">
        <v>1261</v>
      </c>
      <c r="Q287" s="10">
        <f>IF(N287&lt;='[1]statistical criteria'!$B$2,IF(O287&gt;=LOG('[1]statistical criteria'!$B$3,2),1,IF(O287&lt;=-1*LOG('[1]statistical criteria'!$B$3,2),2,"-")),"-")</f>
        <v>1</v>
      </c>
    </row>
    <row r="288" spans="1:21" x14ac:dyDescent="0.35">
      <c r="A288" t="s">
        <v>1263</v>
      </c>
      <c r="B288" t="s">
        <v>1264</v>
      </c>
      <c r="C288">
        <v>1942</v>
      </c>
      <c r="D288" s="4">
        <v>0</v>
      </c>
      <c r="E288" s="4">
        <v>0</v>
      </c>
      <c r="F288" s="4">
        <v>0</v>
      </c>
      <c r="G288" s="5">
        <v>1.6746989999999999</v>
      </c>
      <c r="H288" s="6">
        <v>4.8092759999999997</v>
      </c>
      <c r="I288" s="6">
        <v>19.099658999999999</v>
      </c>
      <c r="J288" s="6">
        <v>12.037618</v>
      </c>
      <c r="K288" s="7">
        <f t="shared" si="8"/>
        <v>0.41867474999999998</v>
      </c>
      <c r="L288" s="8">
        <f t="shared" si="9"/>
        <v>11.982184333333334</v>
      </c>
      <c r="M288" s="9">
        <v>3.5242103619537098E-7</v>
      </c>
      <c r="N288" s="9">
        <v>4.5010552475153797E-6</v>
      </c>
      <c r="O288" s="2">
        <v>4.8999246087793598</v>
      </c>
      <c r="P288" t="s">
        <v>1263</v>
      </c>
      <c r="Q288" s="10">
        <f>IF(N288&lt;='[1]statistical criteria'!$B$2,IF(O288&gt;=LOG('[1]statistical criteria'!$B$3,2),1,IF(O288&lt;=-1*LOG('[1]statistical criteria'!$B$3,2),2,"-")),"-")</f>
        <v>1</v>
      </c>
      <c r="R288" t="s">
        <v>1265</v>
      </c>
      <c r="S288" t="s">
        <v>1266</v>
      </c>
      <c r="T288">
        <v>0</v>
      </c>
      <c r="U288" t="s">
        <v>1267</v>
      </c>
    </row>
    <row r="289" spans="1:21" x14ac:dyDescent="0.35">
      <c r="A289" t="s">
        <v>1268</v>
      </c>
      <c r="B289" t="s">
        <v>1269</v>
      </c>
      <c r="C289">
        <v>682</v>
      </c>
      <c r="D289" s="5">
        <v>3.6112500000000001</v>
      </c>
      <c r="E289" s="4">
        <v>0</v>
      </c>
      <c r="F289" s="5">
        <v>0.220444</v>
      </c>
      <c r="G289" s="5">
        <v>3.5133510000000001</v>
      </c>
      <c r="H289" s="6">
        <v>155.420862</v>
      </c>
      <c r="I289" s="6">
        <v>90.818534999999997</v>
      </c>
      <c r="J289" s="6">
        <v>135.44087400000001</v>
      </c>
      <c r="K289" s="7">
        <f t="shared" si="8"/>
        <v>1.8362612500000002</v>
      </c>
      <c r="L289" s="8">
        <f t="shared" si="9"/>
        <v>127.22675700000001</v>
      </c>
      <c r="M289" s="9">
        <v>3.2585459275626701E-9</v>
      </c>
      <c r="N289" s="9">
        <v>6.4126296795778206E-8</v>
      </c>
      <c r="O289" s="2">
        <v>4.8940709983688997</v>
      </c>
      <c r="P289" t="s">
        <v>1268</v>
      </c>
      <c r="Q289" s="10">
        <f>IF(N289&lt;='[1]statistical criteria'!$B$2,IF(O289&gt;=LOG('[1]statistical criteria'!$B$3,2),1,IF(O289&lt;=-1*LOG('[1]statistical criteria'!$B$3,2),2,"-")),"-")</f>
        <v>1</v>
      </c>
      <c r="R289" t="s">
        <v>436</v>
      </c>
      <c r="S289" t="s">
        <v>1270</v>
      </c>
      <c r="T289" s="9">
        <v>8.9999999999999995E-51</v>
      </c>
      <c r="U289" t="s">
        <v>443</v>
      </c>
    </row>
    <row r="290" spans="1:21" x14ac:dyDescent="0.35">
      <c r="A290" t="s">
        <v>1271</v>
      </c>
      <c r="C290">
        <v>981</v>
      </c>
      <c r="D290" s="4">
        <v>0</v>
      </c>
      <c r="E290" s="4">
        <v>0</v>
      </c>
      <c r="F290" s="4">
        <v>0</v>
      </c>
      <c r="G290" s="4">
        <v>0</v>
      </c>
      <c r="H290" s="6">
        <v>12.331723</v>
      </c>
      <c r="I290" s="6">
        <v>3.0917629999999998</v>
      </c>
      <c r="J290" s="6">
        <v>3.372411</v>
      </c>
      <c r="K290" s="7">
        <f t="shared" si="8"/>
        <v>0</v>
      </c>
      <c r="L290" s="8">
        <f t="shared" si="9"/>
        <v>6.2652989999999997</v>
      </c>
      <c r="M290" s="9">
        <v>3.3637526499643499E-10</v>
      </c>
      <c r="N290" s="9">
        <v>7.7921135640683704E-9</v>
      </c>
      <c r="O290" s="2">
        <v>4.8922668044374804</v>
      </c>
      <c r="P290" t="s">
        <v>1271</v>
      </c>
      <c r="Q290" s="10">
        <f>IF(N290&lt;='[1]statistical criteria'!$B$2,IF(O290&gt;=LOG('[1]statistical criteria'!$B$3,2),1,IF(O290&lt;=-1*LOG('[1]statistical criteria'!$B$3,2),2,"-")),"-")</f>
        <v>1</v>
      </c>
      <c r="R290" t="s">
        <v>1272</v>
      </c>
    </row>
    <row r="291" spans="1:21" x14ac:dyDescent="0.35">
      <c r="A291" t="s">
        <v>1273</v>
      </c>
      <c r="B291" t="s">
        <v>1274</v>
      </c>
      <c r="C291">
        <v>501</v>
      </c>
      <c r="D291" s="4">
        <v>0</v>
      </c>
      <c r="E291" s="4">
        <v>0</v>
      </c>
      <c r="F291" s="4">
        <v>0</v>
      </c>
      <c r="G291" s="4">
        <v>0</v>
      </c>
      <c r="H291" s="6">
        <v>25.338676</v>
      </c>
      <c r="I291" s="6">
        <v>4.420553</v>
      </c>
      <c r="J291" s="6">
        <v>40.642271000000001</v>
      </c>
      <c r="K291" s="7">
        <f t="shared" si="8"/>
        <v>0</v>
      </c>
      <c r="L291" s="8">
        <f t="shared" si="9"/>
        <v>23.467166666666667</v>
      </c>
      <c r="M291" s="9">
        <v>9.9609207314740705E-7</v>
      </c>
      <c r="N291" s="9">
        <v>1.14917442570447E-5</v>
      </c>
      <c r="O291" s="2">
        <v>4.8905271353092399</v>
      </c>
      <c r="P291" t="s">
        <v>1273</v>
      </c>
      <c r="Q291" s="10">
        <f>IF(N291&lt;='[1]statistical criteria'!$B$2,IF(O291&gt;=LOG('[1]statistical criteria'!$B$3,2),1,IF(O291&lt;=-1*LOG('[1]statistical criteria'!$B$3,2),2,"-")),"-")</f>
        <v>1</v>
      </c>
      <c r="R291" t="s">
        <v>1198</v>
      </c>
    </row>
    <row r="292" spans="1:21" x14ac:dyDescent="0.35">
      <c r="A292" t="s">
        <v>1275</v>
      </c>
      <c r="B292" t="s">
        <v>1276</v>
      </c>
      <c r="C292">
        <v>2055</v>
      </c>
      <c r="D292" s="4">
        <v>0</v>
      </c>
      <c r="E292" s="4">
        <v>0</v>
      </c>
      <c r="F292" s="4">
        <v>0</v>
      </c>
      <c r="G292" s="5">
        <v>0.67314399999999996</v>
      </c>
      <c r="H292" s="6">
        <v>11.986810999999999</v>
      </c>
      <c r="I292" s="6">
        <v>8.3342980000000004</v>
      </c>
      <c r="J292" s="6">
        <v>6.6995690000000003</v>
      </c>
      <c r="K292" s="7">
        <f t="shared" si="8"/>
        <v>0.16828599999999999</v>
      </c>
      <c r="L292" s="8">
        <f t="shared" si="9"/>
        <v>9.0068926666666673</v>
      </c>
      <c r="M292" s="9">
        <v>1.30941508438476E-17</v>
      </c>
      <c r="N292" s="9">
        <v>9.2978242745678802E-16</v>
      </c>
      <c r="O292" s="2">
        <v>4.88527125051972</v>
      </c>
      <c r="P292" t="s">
        <v>1275</v>
      </c>
      <c r="Q292" s="10">
        <f>IF(N292&lt;='[1]statistical criteria'!$B$2,IF(O292&gt;=LOG('[1]statistical criteria'!$B$3,2),1,IF(O292&lt;=-1*LOG('[1]statistical criteria'!$B$3,2),2,"-")),"-")</f>
        <v>1</v>
      </c>
      <c r="R292" t="s">
        <v>1277</v>
      </c>
      <c r="S292" t="s">
        <v>1278</v>
      </c>
      <c r="T292">
        <v>0</v>
      </c>
      <c r="U292" t="s">
        <v>1279</v>
      </c>
    </row>
    <row r="293" spans="1:21" x14ac:dyDescent="0.35">
      <c r="A293" t="s">
        <v>1280</v>
      </c>
      <c r="B293" t="s">
        <v>1281</v>
      </c>
      <c r="C293">
        <v>1065</v>
      </c>
      <c r="D293" s="4">
        <v>0</v>
      </c>
      <c r="E293" s="4">
        <v>0</v>
      </c>
      <c r="F293" s="4">
        <v>0</v>
      </c>
      <c r="G293" s="4">
        <v>0</v>
      </c>
      <c r="H293" s="6">
        <v>10.877328</v>
      </c>
      <c r="I293" s="6">
        <v>2.6923430000000002</v>
      </c>
      <c r="J293" s="6">
        <v>7.3500579999999998</v>
      </c>
      <c r="K293" s="7">
        <f t="shared" si="8"/>
        <v>0</v>
      </c>
      <c r="L293" s="8">
        <f t="shared" si="9"/>
        <v>6.9732430000000001</v>
      </c>
      <c r="M293" s="9">
        <v>1.1168920900842501E-7</v>
      </c>
      <c r="N293" s="9">
        <v>1.5855618406791E-6</v>
      </c>
      <c r="O293" s="2">
        <v>4.8838186136755297</v>
      </c>
      <c r="P293" t="s">
        <v>1280</v>
      </c>
      <c r="Q293" s="10">
        <f>IF(N293&lt;='[1]statistical criteria'!$B$2,IF(O293&gt;=LOG('[1]statistical criteria'!$B$3,2),1,IF(O293&lt;=-1*LOG('[1]statistical criteria'!$B$3,2),2,"-")),"-")</f>
        <v>1</v>
      </c>
      <c r="R293" t="s">
        <v>1282</v>
      </c>
      <c r="S293" t="s">
        <v>1283</v>
      </c>
      <c r="T293" s="9">
        <v>7.9999999999999992E-93</v>
      </c>
      <c r="U293" t="s">
        <v>1284</v>
      </c>
    </row>
    <row r="294" spans="1:21" x14ac:dyDescent="0.35">
      <c r="A294" t="s">
        <v>1285</v>
      </c>
      <c r="B294" t="s">
        <v>1286</v>
      </c>
      <c r="C294">
        <v>1444</v>
      </c>
      <c r="D294" s="5">
        <v>1.2008890000000001</v>
      </c>
      <c r="E294" s="4">
        <v>0</v>
      </c>
      <c r="F294" s="4">
        <v>0</v>
      </c>
      <c r="G294" s="5">
        <v>0.63640200000000002</v>
      </c>
      <c r="H294" s="6">
        <v>27.413709999999998</v>
      </c>
      <c r="I294" s="6">
        <v>15.580897</v>
      </c>
      <c r="J294" s="6">
        <v>31.665537</v>
      </c>
      <c r="K294" s="7">
        <f t="shared" si="8"/>
        <v>0.45932275</v>
      </c>
      <c r="L294" s="8">
        <f t="shared" si="9"/>
        <v>24.886714666666666</v>
      </c>
      <c r="M294" s="9">
        <v>3.5109881610601899E-7</v>
      </c>
      <c r="N294" s="9">
        <v>4.4886869133339302E-6</v>
      </c>
      <c r="O294" s="2">
        <v>4.8824174980284401</v>
      </c>
      <c r="P294" t="s">
        <v>1285</v>
      </c>
      <c r="Q294" s="10">
        <f>IF(N294&lt;='[1]statistical criteria'!$B$2,IF(O294&gt;=LOG('[1]statistical criteria'!$B$3,2),1,IF(O294&lt;=-1*LOG('[1]statistical criteria'!$B$3,2),2,"-")),"-")</f>
        <v>1</v>
      </c>
      <c r="R294" t="s">
        <v>1228</v>
      </c>
      <c r="S294" t="s">
        <v>1287</v>
      </c>
      <c r="T294">
        <v>0</v>
      </c>
      <c r="U294" t="s">
        <v>393</v>
      </c>
    </row>
    <row r="295" spans="1:21" x14ac:dyDescent="0.35">
      <c r="A295" t="s">
        <v>1288</v>
      </c>
      <c r="B295" t="s">
        <v>1289</v>
      </c>
      <c r="C295">
        <v>926</v>
      </c>
      <c r="D295" s="4">
        <v>0</v>
      </c>
      <c r="E295" s="4">
        <v>0</v>
      </c>
      <c r="F295" s="4">
        <v>0</v>
      </c>
      <c r="G295" s="4">
        <v>0</v>
      </c>
      <c r="H295" s="6">
        <v>16.190315999999999</v>
      </c>
      <c r="I295" s="6">
        <v>3.6037089999999998</v>
      </c>
      <c r="J295" s="6">
        <v>5.344964</v>
      </c>
      <c r="K295" s="7">
        <f t="shared" si="8"/>
        <v>0</v>
      </c>
      <c r="L295" s="8">
        <f t="shared" si="9"/>
        <v>8.379662999999999</v>
      </c>
      <c r="M295" s="9">
        <v>1.4934174499810401E-8</v>
      </c>
      <c r="N295" s="9">
        <v>2.5789232371269601E-7</v>
      </c>
      <c r="O295" s="2">
        <v>4.8791611543262796</v>
      </c>
      <c r="P295" t="s">
        <v>1288</v>
      </c>
      <c r="Q295" s="10">
        <f>IF(N295&lt;='[1]statistical criteria'!$B$2,IF(O295&gt;=LOG('[1]statistical criteria'!$B$3,2),1,IF(O295&lt;=-1*LOG('[1]statistical criteria'!$B$3,2),2,"-")),"-")</f>
        <v>1</v>
      </c>
      <c r="R295" t="s">
        <v>1290</v>
      </c>
      <c r="S295" t="s">
        <v>1291</v>
      </c>
      <c r="T295" s="9">
        <v>4.0000000000000002E-141</v>
      </c>
      <c r="U295" t="s">
        <v>1292</v>
      </c>
    </row>
    <row r="296" spans="1:21" x14ac:dyDescent="0.35">
      <c r="A296" t="s">
        <v>1293</v>
      </c>
      <c r="B296" t="s">
        <v>1294</v>
      </c>
      <c r="C296">
        <v>879</v>
      </c>
      <c r="D296" s="4">
        <v>0</v>
      </c>
      <c r="E296" s="4">
        <v>0</v>
      </c>
      <c r="F296" s="4">
        <v>0</v>
      </c>
      <c r="G296" s="4">
        <v>0</v>
      </c>
      <c r="H296" s="6">
        <v>5.2383220000000001</v>
      </c>
      <c r="I296" s="6">
        <v>14.39911</v>
      </c>
      <c r="J296" s="6">
        <v>2.52155</v>
      </c>
      <c r="K296" s="7">
        <f t="shared" si="8"/>
        <v>0</v>
      </c>
      <c r="L296" s="8">
        <f t="shared" si="9"/>
        <v>7.3863273333333339</v>
      </c>
      <c r="M296" s="9">
        <v>9.5989917672253606E-8</v>
      </c>
      <c r="N296" s="9">
        <v>1.3880608915676201E-6</v>
      </c>
      <c r="O296" s="2">
        <v>4.8758276450430102</v>
      </c>
      <c r="P296" t="s">
        <v>1293</v>
      </c>
      <c r="Q296" s="10">
        <f>IF(N296&lt;='[1]statistical criteria'!$B$2,IF(O296&gt;=LOG('[1]statistical criteria'!$B$3,2),1,IF(O296&lt;=-1*LOG('[1]statistical criteria'!$B$3,2),2,"-")),"-")</f>
        <v>1</v>
      </c>
      <c r="R296" t="s">
        <v>1295</v>
      </c>
      <c r="S296" t="s">
        <v>1296</v>
      </c>
      <c r="T296" s="9">
        <v>1.9999999999999999E-76</v>
      </c>
      <c r="U296" t="s">
        <v>1297</v>
      </c>
    </row>
    <row r="297" spans="1:21" x14ac:dyDescent="0.35">
      <c r="A297" t="s">
        <v>100</v>
      </c>
      <c r="B297" t="s">
        <v>101</v>
      </c>
      <c r="C297">
        <v>2601</v>
      </c>
      <c r="D297" s="5">
        <v>2.5150000000000001</v>
      </c>
      <c r="E297" s="4">
        <v>0</v>
      </c>
      <c r="F297" s="4">
        <v>0</v>
      </c>
      <c r="G297" s="5">
        <v>0.46244400000000002</v>
      </c>
      <c r="H297" s="6">
        <v>15.887111000000001</v>
      </c>
      <c r="I297" s="6">
        <v>29.669736</v>
      </c>
      <c r="J297" s="6">
        <v>16.128921999999999</v>
      </c>
      <c r="K297" s="7">
        <f t="shared" si="8"/>
        <v>0.74436100000000005</v>
      </c>
      <c r="L297" s="8">
        <f t="shared" si="9"/>
        <v>20.561923000000004</v>
      </c>
      <c r="M297" s="9">
        <v>2.8864731467986301E-6</v>
      </c>
      <c r="N297" s="9">
        <v>2.9659602582925501E-5</v>
      </c>
      <c r="O297" s="2">
        <v>4.8755475498505403</v>
      </c>
      <c r="P297" t="s">
        <v>100</v>
      </c>
      <c r="Q297" s="10">
        <f>IF(N297&lt;='[1]statistical criteria'!$B$2,IF(O297&gt;=LOG('[1]statistical criteria'!$B$3,2),1,IF(O297&lt;=-1*LOG('[1]statistical criteria'!$B$3,2),2,"-")),"-")</f>
        <v>1</v>
      </c>
      <c r="R297" t="s">
        <v>102</v>
      </c>
      <c r="S297" t="s">
        <v>103</v>
      </c>
      <c r="T297">
        <v>0</v>
      </c>
      <c r="U297" t="s">
        <v>104</v>
      </c>
    </row>
    <row r="298" spans="1:21" x14ac:dyDescent="0.35">
      <c r="A298" t="s">
        <v>1298</v>
      </c>
      <c r="B298" t="s">
        <v>1299</v>
      </c>
      <c r="C298">
        <v>1037</v>
      </c>
      <c r="D298" s="5">
        <v>4.9161780000000004</v>
      </c>
      <c r="E298" s="4">
        <v>0</v>
      </c>
      <c r="F298" s="4">
        <v>0</v>
      </c>
      <c r="G298" s="4">
        <v>0</v>
      </c>
      <c r="H298" s="6">
        <v>22.282101000000001</v>
      </c>
      <c r="I298" s="6">
        <v>14.868784</v>
      </c>
      <c r="J298" s="6">
        <v>19.646407</v>
      </c>
      <c r="K298" s="7">
        <f t="shared" si="8"/>
        <v>1.2290445000000001</v>
      </c>
      <c r="L298" s="8">
        <f t="shared" si="9"/>
        <v>18.932430666666665</v>
      </c>
      <c r="M298" s="9">
        <v>5.3169381849404102E-6</v>
      </c>
      <c r="N298" s="9">
        <v>5.1557367469766097E-5</v>
      </c>
      <c r="O298" s="2">
        <v>4.8732830668146399</v>
      </c>
      <c r="P298" t="s">
        <v>1298</v>
      </c>
      <c r="Q298" s="10">
        <f>IF(N298&lt;='[1]statistical criteria'!$B$2,IF(O298&gt;=LOG('[1]statistical criteria'!$B$3,2),1,IF(O298&lt;=-1*LOG('[1]statistical criteria'!$B$3,2),2,"-")),"-")</f>
        <v>1</v>
      </c>
      <c r="R298" t="s">
        <v>1300</v>
      </c>
      <c r="S298" t="s">
        <v>1301</v>
      </c>
      <c r="T298" s="9">
        <v>1.0000000000000001E-30</v>
      </c>
      <c r="U298" t="s">
        <v>61</v>
      </c>
    </row>
    <row r="299" spans="1:21" x14ac:dyDescent="0.35">
      <c r="A299" t="s">
        <v>87</v>
      </c>
      <c r="B299" t="s">
        <v>88</v>
      </c>
      <c r="C299">
        <v>996</v>
      </c>
      <c r="D299" s="4">
        <v>0</v>
      </c>
      <c r="E299" s="4">
        <v>0</v>
      </c>
      <c r="F299" s="4">
        <v>0</v>
      </c>
      <c r="G299" s="4">
        <v>0</v>
      </c>
      <c r="H299" s="6">
        <v>7.0583099999999996</v>
      </c>
      <c r="I299" s="6">
        <v>3.1803720000000002</v>
      </c>
      <c r="J299" s="6">
        <v>6.2503440000000001</v>
      </c>
      <c r="K299" s="7">
        <f t="shared" si="8"/>
        <v>0</v>
      </c>
      <c r="L299" s="8">
        <f t="shared" si="9"/>
        <v>5.4963420000000012</v>
      </c>
      <c r="M299" s="9">
        <v>1.0859740784934E-7</v>
      </c>
      <c r="N299" s="9">
        <v>1.54802147668385E-6</v>
      </c>
      <c r="O299" s="2">
        <v>4.8695439877409497</v>
      </c>
      <c r="P299" t="s">
        <v>87</v>
      </c>
      <c r="Q299" s="10">
        <f>IF(N299&lt;='[1]statistical criteria'!$B$2,IF(O299&gt;=LOG('[1]statistical criteria'!$B$3,2),1,IF(O299&lt;=-1*LOG('[1]statistical criteria'!$B$3,2),2,"-")),"-")</f>
        <v>1</v>
      </c>
      <c r="R299" t="s">
        <v>89</v>
      </c>
      <c r="S299" t="s">
        <v>90</v>
      </c>
      <c r="T299" s="9">
        <v>2.0000000000000001E-156</v>
      </c>
      <c r="U299" t="s">
        <v>91</v>
      </c>
    </row>
    <row r="300" spans="1:21" x14ac:dyDescent="0.35">
      <c r="A300" t="s">
        <v>1302</v>
      </c>
      <c r="B300" t="s">
        <v>1303</v>
      </c>
      <c r="C300">
        <v>1449</v>
      </c>
      <c r="D300" s="4">
        <v>0</v>
      </c>
      <c r="E300" s="4">
        <v>0</v>
      </c>
      <c r="F300" s="4">
        <v>0</v>
      </c>
      <c r="G300" s="4">
        <v>0</v>
      </c>
      <c r="H300" s="6">
        <v>8.194566</v>
      </c>
      <c r="I300" s="6">
        <v>1.5085059999999999</v>
      </c>
      <c r="J300" s="6">
        <v>6.8158630000000002</v>
      </c>
      <c r="K300" s="7">
        <f t="shared" si="8"/>
        <v>0</v>
      </c>
      <c r="L300" s="8">
        <f t="shared" si="9"/>
        <v>5.506311666666666</v>
      </c>
      <c r="M300" s="9">
        <v>6.0262127908288102E-10</v>
      </c>
      <c r="N300" s="9">
        <v>1.3436366169160101E-8</v>
      </c>
      <c r="O300" s="2">
        <v>4.86886852101886</v>
      </c>
      <c r="P300" t="s">
        <v>1302</v>
      </c>
      <c r="Q300" s="10">
        <f>IF(N300&lt;='[1]statistical criteria'!$B$2,IF(O300&gt;=LOG('[1]statistical criteria'!$B$3,2),1,IF(O300&lt;=-1*LOG('[1]statistical criteria'!$B$3,2),2,"-")),"-")</f>
        <v>1</v>
      </c>
      <c r="R300" t="s">
        <v>878</v>
      </c>
      <c r="S300" t="s">
        <v>1304</v>
      </c>
      <c r="T300" s="9">
        <v>2.0000000000000001E-158</v>
      </c>
      <c r="U300" t="s">
        <v>880</v>
      </c>
    </row>
    <row r="301" spans="1:21" x14ac:dyDescent="0.35">
      <c r="A301" t="s">
        <v>1305</v>
      </c>
      <c r="B301" t="s">
        <v>1306</v>
      </c>
      <c r="C301">
        <v>960</v>
      </c>
      <c r="D301" s="4">
        <v>0</v>
      </c>
      <c r="E301" s="4">
        <v>0</v>
      </c>
      <c r="F301" s="4">
        <v>0</v>
      </c>
      <c r="G301" s="4">
        <v>0</v>
      </c>
      <c r="H301" s="6">
        <v>3.7750590000000002</v>
      </c>
      <c r="I301" s="6">
        <v>5.5978459999999997</v>
      </c>
      <c r="J301" s="6">
        <v>5.2438250000000002</v>
      </c>
      <c r="K301" s="7">
        <f t="shared" si="8"/>
        <v>0</v>
      </c>
      <c r="L301" s="8">
        <f t="shared" si="9"/>
        <v>4.8722433333333335</v>
      </c>
      <c r="M301" s="9">
        <v>1.5092474011825E-10</v>
      </c>
      <c r="N301" s="9">
        <v>3.7131193334845498E-9</v>
      </c>
      <c r="O301" s="2">
        <v>4.8648722780301297</v>
      </c>
      <c r="P301" t="s">
        <v>1305</v>
      </c>
      <c r="Q301" s="10">
        <f>IF(N301&lt;='[1]statistical criteria'!$B$2,IF(O301&gt;=LOG('[1]statistical criteria'!$B$3,2),1,IF(O301&lt;=-1*LOG('[1]statistical criteria'!$B$3,2),2,"-")),"-")</f>
        <v>1</v>
      </c>
      <c r="S301" t="s">
        <v>1307</v>
      </c>
      <c r="T301" s="9">
        <v>8E-41</v>
      </c>
      <c r="U301" t="s">
        <v>1308</v>
      </c>
    </row>
    <row r="302" spans="1:21" x14ac:dyDescent="0.35">
      <c r="A302" t="s">
        <v>1309</v>
      </c>
      <c r="B302" t="s">
        <v>1310</v>
      </c>
      <c r="C302">
        <v>792</v>
      </c>
      <c r="D302" s="5">
        <v>0.61490100000000003</v>
      </c>
      <c r="E302" s="4">
        <v>0</v>
      </c>
      <c r="F302" s="4">
        <v>0</v>
      </c>
      <c r="G302" s="4">
        <v>0</v>
      </c>
      <c r="H302" s="6">
        <v>16.830745</v>
      </c>
      <c r="I302" s="6">
        <v>15.352657000000001</v>
      </c>
      <c r="J302" s="6">
        <v>16.294304</v>
      </c>
      <c r="K302" s="7">
        <f t="shared" si="8"/>
        <v>0.15372525000000001</v>
      </c>
      <c r="L302" s="8">
        <f t="shared" si="9"/>
        <v>16.159235333333331</v>
      </c>
      <c r="M302" s="9">
        <v>1.13150465892038E-7</v>
      </c>
      <c r="N302" s="9">
        <v>1.6039131217322101E-6</v>
      </c>
      <c r="O302" s="2">
        <v>4.86377333052915</v>
      </c>
      <c r="P302" t="s">
        <v>1309</v>
      </c>
      <c r="Q302" s="10">
        <f>IF(N302&lt;='[1]statistical criteria'!$B$2,IF(O302&gt;=LOG('[1]statistical criteria'!$B$3,2),1,IF(O302&lt;=-1*LOG('[1]statistical criteria'!$B$3,2),2,"-")),"-")</f>
        <v>1</v>
      </c>
      <c r="R302" t="s">
        <v>1311</v>
      </c>
      <c r="S302" t="s">
        <v>1312</v>
      </c>
      <c r="T302">
        <v>0</v>
      </c>
      <c r="U302" t="s">
        <v>1313</v>
      </c>
    </row>
    <row r="303" spans="1:21" x14ac:dyDescent="0.35">
      <c r="A303" t="s">
        <v>1314</v>
      </c>
      <c r="B303" t="s">
        <v>1315</v>
      </c>
      <c r="C303">
        <v>207</v>
      </c>
      <c r="D303" s="4">
        <v>0</v>
      </c>
      <c r="E303" s="4">
        <v>0</v>
      </c>
      <c r="F303" s="4">
        <v>0</v>
      </c>
      <c r="G303" s="4">
        <v>0</v>
      </c>
      <c r="H303" s="6">
        <v>99.679152000000002</v>
      </c>
      <c r="I303" s="6">
        <v>134.048934</v>
      </c>
      <c r="J303" s="6">
        <v>111.936087</v>
      </c>
      <c r="K303" s="7">
        <f t="shared" si="8"/>
        <v>0</v>
      </c>
      <c r="L303" s="8">
        <f t="shared" si="9"/>
        <v>115.221391</v>
      </c>
      <c r="M303" s="9">
        <v>1.54746886030323E-7</v>
      </c>
      <c r="N303" s="9">
        <v>2.12853866364803E-6</v>
      </c>
      <c r="O303" s="2">
        <v>4.8505683570875</v>
      </c>
      <c r="P303" t="s">
        <v>1314</v>
      </c>
      <c r="Q303" s="10">
        <f>IF(N303&lt;='[1]statistical criteria'!$B$2,IF(O303&gt;=LOG('[1]statistical criteria'!$B$3,2),1,IF(O303&lt;=-1*LOG('[1]statistical criteria'!$B$3,2),2,"-")),"-")</f>
        <v>1</v>
      </c>
      <c r="R303" t="s">
        <v>1316</v>
      </c>
    </row>
    <row r="304" spans="1:21" x14ac:dyDescent="0.35">
      <c r="A304" t="s">
        <v>1317</v>
      </c>
      <c r="B304" t="s">
        <v>1318</v>
      </c>
      <c r="C304">
        <v>3075</v>
      </c>
      <c r="D304" s="5">
        <v>6.7113999999999993E-2</v>
      </c>
      <c r="E304" s="4">
        <v>0</v>
      </c>
      <c r="F304" s="4">
        <v>0</v>
      </c>
      <c r="G304" s="5">
        <v>0.51261800000000002</v>
      </c>
      <c r="H304" s="6">
        <v>14.567693</v>
      </c>
      <c r="I304" s="6">
        <v>10.052562999999999</v>
      </c>
      <c r="J304" s="6">
        <v>5.8754530000000003</v>
      </c>
      <c r="K304" s="7">
        <f t="shared" si="8"/>
        <v>0.14493300000000001</v>
      </c>
      <c r="L304" s="8">
        <f t="shared" si="9"/>
        <v>10.165236333333333</v>
      </c>
      <c r="M304" s="9">
        <v>5.3433977608531801E-9</v>
      </c>
      <c r="N304" s="9">
        <v>1.00877836695472E-7</v>
      </c>
      <c r="O304" s="2">
        <v>4.8460142534697797</v>
      </c>
      <c r="P304" t="s">
        <v>1317</v>
      </c>
      <c r="Q304" s="10">
        <f>IF(N304&lt;='[1]statistical criteria'!$B$2,IF(O304&gt;=LOG('[1]statistical criteria'!$B$3,2),1,IF(O304&lt;=-1*LOG('[1]statistical criteria'!$B$3,2),2,"-")),"-")</f>
        <v>1</v>
      </c>
      <c r="S304" t="s">
        <v>1319</v>
      </c>
      <c r="T304" s="9">
        <v>3E-11</v>
      </c>
      <c r="U304" t="s">
        <v>1320</v>
      </c>
    </row>
    <row r="305" spans="1:21" x14ac:dyDescent="0.35">
      <c r="A305" t="s">
        <v>1321</v>
      </c>
      <c r="B305" t="s">
        <v>276</v>
      </c>
      <c r="C305">
        <v>333</v>
      </c>
      <c r="D305" s="5">
        <v>23.783194000000002</v>
      </c>
      <c r="E305" s="4">
        <v>0</v>
      </c>
      <c r="F305" s="5">
        <v>1.0760320000000001</v>
      </c>
      <c r="G305" s="4">
        <v>0</v>
      </c>
      <c r="H305" s="6">
        <v>251.06568100000001</v>
      </c>
      <c r="I305" s="6">
        <v>122.338984</v>
      </c>
      <c r="J305" s="6">
        <v>138.61372900000001</v>
      </c>
      <c r="K305" s="7">
        <f t="shared" si="8"/>
        <v>6.2148065000000008</v>
      </c>
      <c r="L305" s="8">
        <f t="shared" si="9"/>
        <v>170.67279800000003</v>
      </c>
      <c r="M305" s="9">
        <v>1.7399615818791699E-7</v>
      </c>
      <c r="N305" s="9">
        <v>2.3676416805978202E-6</v>
      </c>
      <c r="O305" s="2">
        <v>4.8456875881171202</v>
      </c>
      <c r="P305" t="s">
        <v>1321</v>
      </c>
      <c r="Q305" s="10">
        <f>IF(N305&lt;='[1]statistical criteria'!$B$2,IF(O305&gt;=LOG('[1]statistical criteria'!$B$3,2),1,IF(O305&lt;=-1*LOG('[1]statistical criteria'!$B$3,2),2,"-")),"-")</f>
        <v>1</v>
      </c>
      <c r="R305" t="s">
        <v>277</v>
      </c>
    </row>
    <row r="306" spans="1:21" x14ac:dyDescent="0.35">
      <c r="A306" t="s">
        <v>1322</v>
      </c>
      <c r="B306" t="s">
        <v>1323</v>
      </c>
      <c r="C306">
        <v>1680</v>
      </c>
      <c r="D306" s="5">
        <v>2.0055200000000002</v>
      </c>
      <c r="E306" s="4">
        <v>0</v>
      </c>
      <c r="F306" s="4">
        <v>0</v>
      </c>
      <c r="G306" s="5">
        <v>1.3905890000000001</v>
      </c>
      <c r="H306" s="6">
        <v>38.807073000000003</v>
      </c>
      <c r="I306" s="6">
        <v>35.117640000000002</v>
      </c>
      <c r="J306" s="6">
        <v>22.083487999999999</v>
      </c>
      <c r="K306" s="7">
        <f t="shared" si="8"/>
        <v>0.84902725000000001</v>
      </c>
      <c r="L306" s="8">
        <f t="shared" si="9"/>
        <v>32.002733666666664</v>
      </c>
      <c r="M306" s="9">
        <v>1.84765617694947E-10</v>
      </c>
      <c r="N306" s="9">
        <v>4.4677124583670097E-9</v>
      </c>
      <c r="O306" s="2">
        <v>4.8366816514598403</v>
      </c>
      <c r="P306" t="s">
        <v>1322</v>
      </c>
      <c r="Q306" s="10">
        <f>IF(N306&lt;='[1]statistical criteria'!$B$2,IF(O306&gt;=LOG('[1]statistical criteria'!$B$3,2),1,IF(O306&lt;=-1*LOG('[1]statistical criteria'!$B$3,2),2,"-")),"-")</f>
        <v>1</v>
      </c>
      <c r="R306" t="s">
        <v>1324</v>
      </c>
      <c r="S306" t="s">
        <v>1325</v>
      </c>
      <c r="T306">
        <v>0</v>
      </c>
      <c r="U306" t="s">
        <v>1326</v>
      </c>
    </row>
    <row r="307" spans="1:21" x14ac:dyDescent="0.35">
      <c r="A307" t="s">
        <v>29</v>
      </c>
      <c r="C307">
        <v>210</v>
      </c>
      <c r="D307" s="4">
        <v>0</v>
      </c>
      <c r="E307" s="4">
        <v>0</v>
      </c>
      <c r="F307" s="4">
        <v>0</v>
      </c>
      <c r="G307" s="4">
        <v>0</v>
      </c>
      <c r="H307" s="6">
        <v>109.820207</v>
      </c>
      <c r="I307" s="6">
        <v>202.23759699999999</v>
      </c>
      <c r="J307" s="6">
        <v>54.455393999999998</v>
      </c>
      <c r="K307" s="7">
        <f t="shared" si="8"/>
        <v>0</v>
      </c>
      <c r="L307" s="8">
        <f t="shared" si="9"/>
        <v>122.171066</v>
      </c>
      <c r="M307" s="9">
        <v>3.0349284297075202E-7</v>
      </c>
      <c r="N307" s="9">
        <v>3.9315648752439899E-6</v>
      </c>
      <c r="O307" s="2">
        <v>4.8253269750380197</v>
      </c>
      <c r="P307" t="s">
        <v>29</v>
      </c>
      <c r="Q307" s="10">
        <f>IF(N307&lt;='[1]statistical criteria'!$B$2,IF(O307&gt;=LOG('[1]statistical criteria'!$B$3,2),1,IF(O307&lt;=-1*LOG('[1]statistical criteria'!$B$3,2),2,"-")),"-")</f>
        <v>1</v>
      </c>
    </row>
    <row r="308" spans="1:21" x14ac:dyDescent="0.35">
      <c r="A308" t="s">
        <v>1327</v>
      </c>
      <c r="B308" t="s">
        <v>1328</v>
      </c>
      <c r="C308">
        <v>2868</v>
      </c>
      <c r="D308" s="4">
        <v>0</v>
      </c>
      <c r="E308" s="4">
        <v>0</v>
      </c>
      <c r="F308" s="4">
        <v>0</v>
      </c>
      <c r="G308" s="4">
        <v>0</v>
      </c>
      <c r="H308" s="6">
        <v>1.3688670000000001</v>
      </c>
      <c r="I308" s="6">
        <v>1.1039600000000001</v>
      </c>
      <c r="J308" s="6">
        <v>4.9231509999999998</v>
      </c>
      <c r="K308" s="7">
        <f t="shared" si="8"/>
        <v>0</v>
      </c>
      <c r="L308" s="8">
        <f t="shared" si="9"/>
        <v>2.4653259999999997</v>
      </c>
      <c r="M308" s="9">
        <v>2.2030163476466199E-7</v>
      </c>
      <c r="N308" s="9">
        <v>2.9358124016607301E-6</v>
      </c>
      <c r="O308" s="2">
        <v>4.8118516563444897</v>
      </c>
      <c r="P308" t="s">
        <v>1327</v>
      </c>
      <c r="Q308" s="10">
        <f>IF(N308&lt;='[1]statistical criteria'!$B$2,IF(O308&gt;=LOG('[1]statistical criteria'!$B$3,2),1,IF(O308&lt;=-1*LOG('[1]statistical criteria'!$B$3,2),2,"-")),"-")</f>
        <v>1</v>
      </c>
      <c r="S308" t="s">
        <v>1329</v>
      </c>
      <c r="T308" s="9">
        <v>2.9999999999999999E-145</v>
      </c>
      <c r="U308" t="s">
        <v>1330</v>
      </c>
    </row>
    <row r="309" spans="1:21" x14ac:dyDescent="0.35">
      <c r="A309" t="s">
        <v>1331</v>
      </c>
      <c r="B309" t="s">
        <v>1332</v>
      </c>
      <c r="C309">
        <v>861</v>
      </c>
      <c r="D309" s="4">
        <v>0</v>
      </c>
      <c r="E309" s="4">
        <v>0</v>
      </c>
      <c r="F309" s="4">
        <v>0</v>
      </c>
      <c r="G309" s="4">
        <v>0</v>
      </c>
      <c r="H309" s="6">
        <v>11.439799000000001</v>
      </c>
      <c r="I309" s="6">
        <v>15.881527</v>
      </c>
      <c r="J309" s="6">
        <v>1.738742</v>
      </c>
      <c r="K309" s="7">
        <f t="shared" si="8"/>
        <v>0</v>
      </c>
      <c r="L309" s="8">
        <f t="shared" si="9"/>
        <v>9.6866893333333319</v>
      </c>
      <c r="M309" s="9">
        <v>4.15755103794319E-8</v>
      </c>
      <c r="N309" s="9">
        <v>6.5441022540991595E-7</v>
      </c>
      <c r="O309" s="2">
        <v>4.8102846387689198</v>
      </c>
      <c r="P309" t="s">
        <v>1331</v>
      </c>
      <c r="Q309" s="10">
        <f>IF(N309&lt;='[1]statistical criteria'!$B$2,IF(O309&gt;=LOG('[1]statistical criteria'!$B$3,2),1,IF(O309&lt;=-1*LOG('[1]statistical criteria'!$B$3,2),2,"-")),"-")</f>
        <v>1</v>
      </c>
      <c r="R309" t="s">
        <v>1333</v>
      </c>
      <c r="S309" t="s">
        <v>1334</v>
      </c>
      <c r="T309" s="9">
        <v>4E-159</v>
      </c>
      <c r="U309" t="s">
        <v>1335</v>
      </c>
    </row>
    <row r="310" spans="1:21" x14ac:dyDescent="0.35">
      <c r="A310" t="s">
        <v>1336</v>
      </c>
      <c r="B310" t="s">
        <v>1337</v>
      </c>
      <c r="C310">
        <v>462</v>
      </c>
      <c r="D310" s="4">
        <v>0</v>
      </c>
      <c r="E310" s="4">
        <v>0</v>
      </c>
      <c r="F310" s="5">
        <v>0.65900599999999998</v>
      </c>
      <c r="G310" s="4">
        <v>0</v>
      </c>
      <c r="H310" s="6">
        <v>24.267348999999999</v>
      </c>
      <c r="I310" s="6">
        <v>28.498868000000002</v>
      </c>
      <c r="J310" s="6">
        <v>45.467610000000001</v>
      </c>
      <c r="K310" s="7">
        <f t="shared" si="8"/>
        <v>0.1647515</v>
      </c>
      <c r="L310" s="8">
        <f t="shared" si="9"/>
        <v>32.744608999999997</v>
      </c>
      <c r="M310" s="9">
        <v>1.2823756431778399E-7</v>
      </c>
      <c r="N310" s="9">
        <v>1.7921433903111599E-6</v>
      </c>
      <c r="O310" s="2">
        <v>4.8007944876219302</v>
      </c>
      <c r="P310" t="s">
        <v>1336</v>
      </c>
      <c r="Q310" s="10">
        <f>IF(N310&lt;='[1]statistical criteria'!$B$2,IF(O310&gt;=LOG('[1]statistical criteria'!$B$3,2),1,IF(O310&lt;=-1*LOG('[1]statistical criteria'!$B$3,2),2,"-")),"-")</f>
        <v>1</v>
      </c>
    </row>
    <row r="311" spans="1:21" x14ac:dyDescent="0.35">
      <c r="A311" t="s">
        <v>181</v>
      </c>
      <c r="B311" t="s">
        <v>76</v>
      </c>
      <c r="C311">
        <v>1407</v>
      </c>
      <c r="D311" s="5">
        <v>0.73779300000000003</v>
      </c>
      <c r="E311" s="4">
        <v>0</v>
      </c>
      <c r="F311" s="4">
        <v>0</v>
      </c>
      <c r="G311" s="5">
        <v>1.372852</v>
      </c>
      <c r="H311" s="6">
        <v>17.212577</v>
      </c>
      <c r="I311" s="6">
        <v>24.274084999999999</v>
      </c>
      <c r="J311" s="6">
        <v>28.353943000000001</v>
      </c>
      <c r="K311" s="7">
        <f t="shared" si="8"/>
        <v>0.52766124999999997</v>
      </c>
      <c r="L311" s="8">
        <f t="shared" si="9"/>
        <v>23.280201666666667</v>
      </c>
      <c r="M311" s="9">
        <v>1.20078473678641E-11</v>
      </c>
      <c r="N311" s="9">
        <v>3.51012804009912E-10</v>
      </c>
      <c r="O311" s="2">
        <v>4.7981227435962701</v>
      </c>
      <c r="P311" t="s">
        <v>181</v>
      </c>
      <c r="Q311" s="10">
        <f>IF(N311&lt;='[1]statistical criteria'!$B$2,IF(O311&gt;=LOG('[1]statistical criteria'!$B$3,2),1,IF(O311&lt;=-1*LOG('[1]statistical criteria'!$B$3,2),2,"-")),"-")</f>
        <v>1</v>
      </c>
      <c r="R311" t="s">
        <v>182</v>
      </c>
      <c r="S311" t="s">
        <v>78</v>
      </c>
      <c r="T311" s="9">
        <v>3E-10</v>
      </c>
      <c r="U311" t="s">
        <v>79</v>
      </c>
    </row>
    <row r="312" spans="1:21" x14ac:dyDescent="0.35">
      <c r="A312" t="s">
        <v>1338</v>
      </c>
      <c r="B312" t="s">
        <v>1339</v>
      </c>
      <c r="C312">
        <v>1302</v>
      </c>
      <c r="D312" s="5">
        <v>1.4472739999999999</v>
      </c>
      <c r="E312" s="4">
        <v>0</v>
      </c>
      <c r="F312" s="4">
        <v>0</v>
      </c>
      <c r="G312" s="4">
        <v>0</v>
      </c>
      <c r="H312" s="6">
        <v>7.4749040000000004</v>
      </c>
      <c r="I312" s="6">
        <v>14.49901</v>
      </c>
      <c r="J312" s="6">
        <v>13.241402000000001</v>
      </c>
      <c r="K312" s="7">
        <f t="shared" si="8"/>
        <v>0.36181849999999999</v>
      </c>
      <c r="L312" s="8">
        <f t="shared" si="9"/>
        <v>11.738438666666667</v>
      </c>
      <c r="M312" s="9">
        <v>3.5233803327348301E-7</v>
      </c>
      <c r="N312" s="9">
        <v>4.5010552475153797E-6</v>
      </c>
      <c r="O312" s="2">
        <v>4.7850989354866202</v>
      </c>
      <c r="P312" t="s">
        <v>1338</v>
      </c>
      <c r="Q312" s="10">
        <f>IF(N312&lt;='[1]statistical criteria'!$B$2,IF(O312&gt;=LOG('[1]statistical criteria'!$B$3,2),1,IF(O312&lt;=-1*LOG('[1]statistical criteria'!$B$3,2),2,"-")),"-")</f>
        <v>1</v>
      </c>
      <c r="R312" t="s">
        <v>1340</v>
      </c>
      <c r="S312" t="s">
        <v>1341</v>
      </c>
      <c r="T312" s="9">
        <v>9.9999999999999995E-178</v>
      </c>
      <c r="U312" t="s">
        <v>1342</v>
      </c>
    </row>
    <row r="313" spans="1:21" x14ac:dyDescent="0.35">
      <c r="A313" t="s">
        <v>1343</v>
      </c>
      <c r="C313">
        <v>258</v>
      </c>
      <c r="D313" s="4">
        <v>0</v>
      </c>
      <c r="E313" s="5">
        <v>2.6662840000000001</v>
      </c>
      <c r="F313" s="4">
        <v>0</v>
      </c>
      <c r="G313" s="4">
        <v>0</v>
      </c>
      <c r="H313" s="6">
        <v>214.81035800000001</v>
      </c>
      <c r="I313" s="6">
        <v>31.950731000000001</v>
      </c>
      <c r="J313" s="6">
        <v>104.10590000000001</v>
      </c>
      <c r="K313" s="7">
        <f t="shared" si="8"/>
        <v>0.66657100000000002</v>
      </c>
      <c r="L313" s="8">
        <f t="shared" si="9"/>
        <v>116.955663</v>
      </c>
      <c r="M313" s="9">
        <v>1.71765100230729E-6</v>
      </c>
      <c r="N313" s="9">
        <v>1.86409458647892E-5</v>
      </c>
      <c r="O313" s="2">
        <v>4.7770173536302902</v>
      </c>
      <c r="P313" t="s">
        <v>1343</v>
      </c>
      <c r="Q313" s="10">
        <f>IF(N313&lt;='[1]statistical criteria'!$B$2,IF(O313&gt;=LOG('[1]statistical criteria'!$B$3,2),1,IF(O313&lt;=-1*LOG('[1]statistical criteria'!$B$3,2),2,"-")),"-")</f>
        <v>1</v>
      </c>
    </row>
    <row r="314" spans="1:21" x14ac:dyDescent="0.35">
      <c r="A314" t="s">
        <v>1344</v>
      </c>
      <c r="B314" t="s">
        <v>1345</v>
      </c>
      <c r="C314">
        <v>1407</v>
      </c>
      <c r="D314" s="4">
        <v>0</v>
      </c>
      <c r="E314" s="4">
        <v>0</v>
      </c>
      <c r="F314" s="4">
        <v>0</v>
      </c>
      <c r="G314" s="4">
        <v>0</v>
      </c>
      <c r="H314" s="6">
        <v>4.2116090000000002</v>
      </c>
      <c r="I314" s="6">
        <v>7.9652820000000002</v>
      </c>
      <c r="J314" s="6">
        <v>2.1179679999999999</v>
      </c>
      <c r="K314" s="7">
        <f t="shared" si="8"/>
        <v>0</v>
      </c>
      <c r="L314" s="8">
        <f t="shared" si="9"/>
        <v>4.7649530000000002</v>
      </c>
      <c r="M314" s="9">
        <v>1.9913440395090901E-7</v>
      </c>
      <c r="N314" s="9">
        <v>2.6762201321933599E-6</v>
      </c>
      <c r="O314" s="2">
        <v>4.77540534868682</v>
      </c>
      <c r="P314" t="s">
        <v>1344</v>
      </c>
      <c r="Q314" s="10">
        <f>IF(N314&lt;='[1]statistical criteria'!$B$2,IF(O314&gt;=LOG('[1]statistical criteria'!$B$3,2),1,IF(O314&lt;=-1*LOG('[1]statistical criteria'!$B$3,2),2,"-")),"-")</f>
        <v>1</v>
      </c>
      <c r="R314" t="s">
        <v>1346</v>
      </c>
      <c r="S314" t="s">
        <v>1347</v>
      </c>
      <c r="T314" s="9">
        <v>4.9999999999999998E-65</v>
      </c>
      <c r="U314" t="s">
        <v>509</v>
      </c>
    </row>
    <row r="315" spans="1:21" x14ac:dyDescent="0.35">
      <c r="A315" t="s">
        <v>1348</v>
      </c>
      <c r="B315" t="s">
        <v>1349</v>
      </c>
      <c r="C315">
        <v>918</v>
      </c>
      <c r="D315" s="4">
        <v>0</v>
      </c>
      <c r="E315" s="4">
        <v>0</v>
      </c>
      <c r="F315" s="4">
        <v>0</v>
      </c>
      <c r="G315" s="4">
        <v>0</v>
      </c>
      <c r="H315" s="6">
        <v>6.9688639999999999</v>
      </c>
      <c r="I315" s="6">
        <v>2.960626</v>
      </c>
      <c r="J315" s="6">
        <v>10.130693000000001</v>
      </c>
      <c r="K315" s="7">
        <f t="shared" si="8"/>
        <v>0</v>
      </c>
      <c r="L315" s="8">
        <f t="shared" si="9"/>
        <v>6.6867276666666671</v>
      </c>
      <c r="M315" s="9">
        <v>1.19983433076695E-7</v>
      </c>
      <c r="N315" s="9">
        <v>1.68944486233777E-6</v>
      </c>
      <c r="O315" s="2">
        <v>4.7621208544942499</v>
      </c>
      <c r="P315" t="s">
        <v>1348</v>
      </c>
      <c r="Q315" s="10">
        <f>IF(N315&lt;='[1]statistical criteria'!$B$2,IF(O315&gt;=LOG('[1]statistical criteria'!$B$3,2),1,IF(O315&lt;=-1*LOG('[1]statistical criteria'!$B$3,2),2,"-")),"-")</f>
        <v>1</v>
      </c>
      <c r="R315" t="s">
        <v>1350</v>
      </c>
      <c r="S315" t="s">
        <v>1351</v>
      </c>
      <c r="T315" s="9">
        <v>2E-109</v>
      </c>
      <c r="U315" t="s">
        <v>1352</v>
      </c>
    </row>
    <row r="316" spans="1:21" x14ac:dyDescent="0.35">
      <c r="A316" t="s">
        <v>1353</v>
      </c>
      <c r="B316" t="s">
        <v>1354</v>
      </c>
      <c r="C316">
        <v>1458</v>
      </c>
      <c r="D316" s="4">
        <v>0</v>
      </c>
      <c r="E316" s="4">
        <v>0</v>
      </c>
      <c r="F316" s="4">
        <v>0</v>
      </c>
      <c r="G316" s="4">
        <v>0</v>
      </c>
      <c r="H316" s="6">
        <v>4.6433749999999998</v>
      </c>
      <c r="I316" s="6">
        <v>1.373831</v>
      </c>
      <c r="J316" s="6">
        <v>5.4200590000000002</v>
      </c>
      <c r="K316" s="7">
        <f t="shared" si="8"/>
        <v>0</v>
      </c>
      <c r="L316" s="8">
        <f t="shared" si="9"/>
        <v>3.8124216666666668</v>
      </c>
      <c r="M316" s="9">
        <v>1.90493209232093E-8</v>
      </c>
      <c r="N316" s="9">
        <v>3.22947507499932E-7</v>
      </c>
      <c r="O316" s="2">
        <v>4.7569831444582</v>
      </c>
      <c r="P316" t="s">
        <v>1353</v>
      </c>
      <c r="Q316" s="10">
        <f>IF(N316&lt;='[1]statistical criteria'!$B$2,IF(O316&gt;=LOG('[1]statistical criteria'!$B$3,2),1,IF(O316&lt;=-1*LOG('[1]statistical criteria'!$B$3,2),2,"-")),"-")</f>
        <v>1</v>
      </c>
      <c r="R316" t="s">
        <v>1355</v>
      </c>
      <c r="S316" t="s">
        <v>1356</v>
      </c>
      <c r="T316" s="9">
        <v>3.9999999999999998E-177</v>
      </c>
      <c r="U316" t="s">
        <v>1357</v>
      </c>
    </row>
    <row r="317" spans="1:21" x14ac:dyDescent="0.35">
      <c r="A317" t="s">
        <v>1358</v>
      </c>
      <c r="B317" t="s">
        <v>1359</v>
      </c>
      <c r="C317">
        <v>1044</v>
      </c>
      <c r="D317" s="4">
        <v>0</v>
      </c>
      <c r="E317" s="4">
        <v>0</v>
      </c>
      <c r="F317" s="4">
        <v>0</v>
      </c>
      <c r="G317" s="4">
        <v>0</v>
      </c>
      <c r="H317" s="6">
        <v>8.3051689999999994</v>
      </c>
      <c r="I317" s="6">
        <v>4.0500259999999999</v>
      </c>
      <c r="J317" s="6">
        <v>8.5663119999999999</v>
      </c>
      <c r="K317" s="7">
        <f t="shared" si="8"/>
        <v>0</v>
      </c>
      <c r="L317" s="8">
        <f t="shared" si="9"/>
        <v>6.9738356666666661</v>
      </c>
      <c r="M317" s="9">
        <v>2.7836730229499901E-8</v>
      </c>
      <c r="N317" s="9">
        <v>4.56273020040812E-7</v>
      </c>
      <c r="O317" s="2">
        <v>4.7535208556900503</v>
      </c>
      <c r="P317" t="s">
        <v>1358</v>
      </c>
      <c r="Q317" s="10">
        <f>IF(N317&lt;='[1]statistical criteria'!$B$2,IF(O317&gt;=LOG('[1]statistical criteria'!$B$3,2),1,IF(O317&lt;=-1*LOG('[1]statistical criteria'!$B$3,2),2,"-")),"-")</f>
        <v>1</v>
      </c>
      <c r="R317" t="s">
        <v>189</v>
      </c>
    </row>
    <row r="318" spans="1:21" x14ac:dyDescent="0.35">
      <c r="A318" t="s">
        <v>295</v>
      </c>
      <c r="B318" t="s">
        <v>296</v>
      </c>
      <c r="C318">
        <v>984</v>
      </c>
      <c r="D318" s="4">
        <v>0</v>
      </c>
      <c r="E318" s="4">
        <v>0</v>
      </c>
      <c r="F318" s="4">
        <v>0</v>
      </c>
      <c r="G318" s="4">
        <v>0</v>
      </c>
      <c r="H318" s="6">
        <v>8.9432880000000008</v>
      </c>
      <c r="I318" s="6">
        <v>5.6241750000000001</v>
      </c>
      <c r="J318" s="6">
        <v>2.3722400000000001</v>
      </c>
      <c r="K318" s="7">
        <f t="shared" si="8"/>
        <v>0</v>
      </c>
      <c r="L318" s="8">
        <f t="shared" si="9"/>
        <v>5.6465676666666669</v>
      </c>
      <c r="M318" s="9">
        <v>3.4531891337114302E-9</v>
      </c>
      <c r="N318" s="9">
        <v>6.7579932358165505E-8</v>
      </c>
      <c r="O318" s="2">
        <v>4.7528537399715001</v>
      </c>
      <c r="P318" t="s">
        <v>295</v>
      </c>
      <c r="Q318" s="10">
        <f>IF(N318&lt;='[1]statistical criteria'!$B$2,IF(O318&gt;=LOG('[1]statistical criteria'!$B$3,2),1,IF(O318&lt;=-1*LOG('[1]statistical criteria'!$B$3,2),2,"-")),"-")</f>
        <v>1</v>
      </c>
      <c r="R318" t="s">
        <v>297</v>
      </c>
      <c r="S318" t="s">
        <v>298</v>
      </c>
      <c r="T318" s="9">
        <v>2E-149</v>
      </c>
      <c r="U318" t="s">
        <v>299</v>
      </c>
    </row>
    <row r="319" spans="1:21" x14ac:dyDescent="0.35">
      <c r="A319" t="s">
        <v>1360</v>
      </c>
      <c r="B319" t="s">
        <v>1361</v>
      </c>
      <c r="C319">
        <v>252</v>
      </c>
      <c r="D319" s="4">
        <v>0</v>
      </c>
      <c r="E319" s="4">
        <v>0</v>
      </c>
      <c r="F319" s="4">
        <v>0</v>
      </c>
      <c r="G319" s="4">
        <v>0</v>
      </c>
      <c r="H319" s="6">
        <v>74.579393999999994</v>
      </c>
      <c r="I319" s="6">
        <v>58.860196000000002</v>
      </c>
      <c r="J319" s="6">
        <v>44.376789000000002</v>
      </c>
      <c r="K319" s="7">
        <f t="shared" si="8"/>
        <v>0</v>
      </c>
      <c r="L319" s="8">
        <f t="shared" si="9"/>
        <v>59.27212633333334</v>
      </c>
      <c r="M319" s="9">
        <v>3.3368620340102502E-13</v>
      </c>
      <c r="N319" s="9">
        <v>1.2402741063223E-11</v>
      </c>
      <c r="O319" s="2">
        <v>4.7507015175328897</v>
      </c>
      <c r="P319" t="s">
        <v>1360</v>
      </c>
      <c r="Q319" s="10">
        <f>IF(N319&lt;='[1]statistical criteria'!$B$2,IF(O319&gt;=LOG('[1]statistical criteria'!$B$3,2),1,IF(O319&lt;=-1*LOG('[1]statistical criteria'!$B$3,2),2,"-")),"-")</f>
        <v>1</v>
      </c>
      <c r="R319" t="s">
        <v>1166</v>
      </c>
      <c r="S319" t="s">
        <v>1167</v>
      </c>
      <c r="T319" s="9">
        <v>1E-35</v>
      </c>
      <c r="U319" t="s">
        <v>61</v>
      </c>
    </row>
    <row r="320" spans="1:21" x14ac:dyDescent="0.35">
      <c r="A320" t="s">
        <v>141</v>
      </c>
      <c r="B320" t="s">
        <v>142</v>
      </c>
      <c r="C320">
        <v>918</v>
      </c>
      <c r="D320" s="4">
        <v>0</v>
      </c>
      <c r="E320" s="4">
        <v>0</v>
      </c>
      <c r="F320" s="4">
        <v>0</v>
      </c>
      <c r="G320" s="4">
        <v>0</v>
      </c>
      <c r="H320" s="6">
        <v>3.0656330000000001</v>
      </c>
      <c r="I320" s="6">
        <v>8.1587359999999993</v>
      </c>
      <c r="J320" s="6">
        <v>4.0527290000000002</v>
      </c>
      <c r="K320" s="7">
        <f t="shared" si="8"/>
        <v>0</v>
      </c>
      <c r="L320" s="8">
        <f t="shared" si="9"/>
        <v>5.0923659999999993</v>
      </c>
      <c r="M320" s="9">
        <v>3.5805396172186602E-7</v>
      </c>
      <c r="N320" s="9">
        <v>4.5668678897902904E-6</v>
      </c>
      <c r="O320" s="2">
        <v>4.74624573793694</v>
      </c>
      <c r="P320" t="s">
        <v>141</v>
      </c>
      <c r="Q320" s="10">
        <f>IF(N320&lt;='[1]statistical criteria'!$B$2,IF(O320&gt;=LOG('[1]statistical criteria'!$B$3,2),1,IF(O320&lt;=-1*LOG('[1]statistical criteria'!$B$3,2),2,"-")),"-")</f>
        <v>1</v>
      </c>
      <c r="R320" t="s">
        <v>64</v>
      </c>
    </row>
    <row r="321" spans="1:21" x14ac:dyDescent="0.35">
      <c r="A321" t="s">
        <v>1362</v>
      </c>
      <c r="B321" t="s">
        <v>1363</v>
      </c>
      <c r="C321">
        <v>514</v>
      </c>
      <c r="D321" s="5">
        <v>1.2779670000000001</v>
      </c>
      <c r="E321" s="4">
        <v>0</v>
      </c>
      <c r="F321" s="5">
        <v>4.870736</v>
      </c>
      <c r="G321" s="5">
        <v>2.3842349999999999</v>
      </c>
      <c r="H321" s="6">
        <v>226.72855899999999</v>
      </c>
      <c r="I321" s="6">
        <v>274.828396</v>
      </c>
      <c r="J321" s="6">
        <v>168.45657800000001</v>
      </c>
      <c r="K321" s="7">
        <f t="shared" si="8"/>
        <v>2.1332344999999999</v>
      </c>
      <c r="L321" s="8">
        <f t="shared" si="9"/>
        <v>223.33784433333335</v>
      </c>
      <c r="M321" s="9">
        <v>3.0656146926107698E-10</v>
      </c>
      <c r="N321" s="9">
        <v>7.1275073427468498E-9</v>
      </c>
      <c r="O321" s="2">
        <v>4.7437983967459996</v>
      </c>
      <c r="P321" t="s">
        <v>1362</v>
      </c>
      <c r="Q321" s="10">
        <f>IF(N321&lt;='[1]statistical criteria'!$B$2,IF(O321&gt;=LOG('[1]statistical criteria'!$B$3,2),1,IF(O321&lt;=-1*LOG('[1]statistical criteria'!$B$3,2),2,"-")),"-")</f>
        <v>1</v>
      </c>
      <c r="S321" t="s">
        <v>478</v>
      </c>
      <c r="T321">
        <v>5.6</v>
      </c>
      <c r="U321" t="s">
        <v>479</v>
      </c>
    </row>
    <row r="322" spans="1:21" x14ac:dyDescent="0.35">
      <c r="A322" t="s">
        <v>1364</v>
      </c>
      <c r="B322" t="s">
        <v>1365</v>
      </c>
      <c r="C322">
        <v>762</v>
      </c>
      <c r="D322" s="4">
        <v>0</v>
      </c>
      <c r="E322" s="4">
        <v>0</v>
      </c>
      <c r="F322" s="4">
        <v>0</v>
      </c>
      <c r="G322" s="5">
        <v>0.83876300000000004</v>
      </c>
      <c r="H322" s="6">
        <v>27.279920000000001</v>
      </c>
      <c r="I322" s="6">
        <v>17.282720999999999</v>
      </c>
      <c r="J322" s="6">
        <v>9.7654759999999996</v>
      </c>
      <c r="K322" s="7">
        <f t="shared" si="8"/>
        <v>0.20969075000000001</v>
      </c>
      <c r="L322" s="8">
        <f t="shared" si="9"/>
        <v>18.109372333333333</v>
      </c>
      <c r="M322" s="9">
        <v>4.01255060326614E-9</v>
      </c>
      <c r="N322" s="9">
        <v>7.7286273259265806E-8</v>
      </c>
      <c r="O322" s="2">
        <v>4.7390798169276902</v>
      </c>
      <c r="P322" t="s">
        <v>1364</v>
      </c>
      <c r="Q322" s="10">
        <f>IF(N322&lt;='[1]statistical criteria'!$B$2,IF(O322&gt;=LOG('[1]statistical criteria'!$B$3,2),1,IF(O322&lt;=-1*LOG('[1]statistical criteria'!$B$3,2),2,"-")),"-")</f>
        <v>1</v>
      </c>
      <c r="R322" t="s">
        <v>1366</v>
      </c>
      <c r="S322" t="s">
        <v>1367</v>
      </c>
      <c r="T322" s="9">
        <v>4.0000000000000001E-119</v>
      </c>
      <c r="U322" t="s">
        <v>1368</v>
      </c>
    </row>
    <row r="323" spans="1:21" x14ac:dyDescent="0.35">
      <c r="A323" t="s">
        <v>1369</v>
      </c>
      <c r="B323" t="s">
        <v>1370</v>
      </c>
      <c r="C323">
        <v>1290</v>
      </c>
      <c r="D323" s="5">
        <v>6.9297870000000001</v>
      </c>
      <c r="E323" s="4">
        <v>0</v>
      </c>
      <c r="F323" s="5">
        <v>1.906026</v>
      </c>
      <c r="G323" s="5">
        <v>6.099253</v>
      </c>
      <c r="H323" s="6">
        <v>93.333720999999997</v>
      </c>
      <c r="I323" s="6">
        <v>142.87231199999999</v>
      </c>
      <c r="J323" s="6">
        <v>128.333541</v>
      </c>
      <c r="K323" s="7">
        <f t="shared" ref="K323:K386" si="10">AVERAGE(D323:G323)</f>
        <v>3.7337664999999998</v>
      </c>
      <c r="L323" s="8">
        <f t="shared" ref="L323:L386" si="11">AVERAGE(H323:J323)</f>
        <v>121.51319133333334</v>
      </c>
      <c r="M323" s="9">
        <v>3.7934449616856497E-8</v>
      </c>
      <c r="N323" s="9">
        <v>6.0199926584190098E-7</v>
      </c>
      <c r="O323" s="2">
        <v>4.7367568110821301</v>
      </c>
      <c r="P323" t="s">
        <v>1369</v>
      </c>
      <c r="Q323" s="10">
        <f>IF(N323&lt;='[1]statistical criteria'!$B$2,IF(O323&gt;=LOG('[1]statistical criteria'!$B$3,2),1,IF(O323&lt;=-1*LOG('[1]statistical criteria'!$B$3,2),2,"-")),"-")</f>
        <v>1</v>
      </c>
      <c r="R323" t="s">
        <v>1371</v>
      </c>
      <c r="S323" t="s">
        <v>1372</v>
      </c>
      <c r="T323" s="9">
        <v>4E-35</v>
      </c>
      <c r="U323" t="s">
        <v>529</v>
      </c>
    </row>
    <row r="324" spans="1:21" x14ac:dyDescent="0.35">
      <c r="A324" t="s">
        <v>1373</v>
      </c>
      <c r="B324" t="s">
        <v>1374</v>
      </c>
      <c r="C324">
        <v>903</v>
      </c>
      <c r="D324" s="5">
        <v>7.465598</v>
      </c>
      <c r="E324" s="4">
        <v>0</v>
      </c>
      <c r="F324" s="4">
        <v>0</v>
      </c>
      <c r="G324" s="4">
        <v>0</v>
      </c>
      <c r="H324" s="6">
        <v>32.315257000000003</v>
      </c>
      <c r="I324" s="6">
        <v>7.4602510000000004</v>
      </c>
      <c r="J324" s="6">
        <v>29.913430000000002</v>
      </c>
      <c r="K324" s="7">
        <f t="shared" si="10"/>
        <v>1.8663995</v>
      </c>
      <c r="L324" s="8">
        <f t="shared" si="11"/>
        <v>23.229646000000002</v>
      </c>
      <c r="M324" s="9">
        <v>1.7223180056507801E-6</v>
      </c>
      <c r="N324" s="9">
        <v>1.8680941377905001E-5</v>
      </c>
      <c r="O324" s="2">
        <v>4.73223702396389</v>
      </c>
      <c r="P324" t="s">
        <v>1373</v>
      </c>
      <c r="Q324" s="10">
        <f>IF(N324&lt;='[1]statistical criteria'!$B$2,IF(O324&gt;=LOG('[1]statistical criteria'!$B$3,2),1,IF(O324&lt;=-1*LOG('[1]statistical criteria'!$B$3,2),2,"-")),"-")</f>
        <v>1</v>
      </c>
      <c r="R324" t="s">
        <v>1015</v>
      </c>
      <c r="S324" t="s">
        <v>1375</v>
      </c>
      <c r="T324" s="9">
        <v>7.0000000000000006E-104</v>
      </c>
      <c r="U324" t="s">
        <v>1376</v>
      </c>
    </row>
    <row r="325" spans="1:21" x14ac:dyDescent="0.35">
      <c r="A325" t="s">
        <v>1377</v>
      </c>
      <c r="B325" t="s">
        <v>1378</v>
      </c>
      <c r="C325">
        <v>714</v>
      </c>
      <c r="D325" s="4">
        <v>0</v>
      </c>
      <c r="E325" s="5">
        <v>4.1544650000000001</v>
      </c>
      <c r="F325" s="5">
        <v>1.4092100000000001</v>
      </c>
      <c r="G325" s="4">
        <v>0</v>
      </c>
      <c r="H325" s="6">
        <v>45.216171000000003</v>
      </c>
      <c r="I325" s="6">
        <v>90.882603000000003</v>
      </c>
      <c r="J325" s="6">
        <v>38.055643000000003</v>
      </c>
      <c r="K325" s="7">
        <f t="shared" si="10"/>
        <v>1.39091875</v>
      </c>
      <c r="L325" s="8">
        <f t="shared" si="11"/>
        <v>58.051472333333329</v>
      </c>
      <c r="M325" s="9">
        <v>3.84352489273319E-7</v>
      </c>
      <c r="N325" s="9">
        <v>4.8745270715569802E-6</v>
      </c>
      <c r="O325" s="2">
        <v>4.7313053669969198</v>
      </c>
      <c r="P325" t="s">
        <v>1377</v>
      </c>
      <c r="Q325" s="10">
        <f>IF(N325&lt;='[1]statistical criteria'!$B$2,IF(O325&gt;=LOG('[1]statistical criteria'!$B$3,2),1,IF(O325&lt;=-1*LOG('[1]statistical criteria'!$B$3,2),2,"-")),"-")</f>
        <v>1</v>
      </c>
      <c r="R325" t="s">
        <v>495</v>
      </c>
      <c r="S325" t="s">
        <v>496</v>
      </c>
      <c r="T325" s="9">
        <v>1.0000000000000001E-123</v>
      </c>
      <c r="U325" t="s">
        <v>497</v>
      </c>
    </row>
    <row r="326" spans="1:21" x14ac:dyDescent="0.35">
      <c r="A326" t="s">
        <v>1379</v>
      </c>
      <c r="B326" t="s">
        <v>1380</v>
      </c>
      <c r="C326">
        <v>2922</v>
      </c>
      <c r="D326" s="4">
        <v>0</v>
      </c>
      <c r="E326" s="4">
        <v>0</v>
      </c>
      <c r="F326" s="4">
        <v>0</v>
      </c>
      <c r="G326" s="4">
        <v>0</v>
      </c>
      <c r="H326" s="6">
        <v>2.0559479999999999</v>
      </c>
      <c r="I326" s="6">
        <v>1.3014650000000001</v>
      </c>
      <c r="J326" s="6">
        <v>4.1883600000000003</v>
      </c>
      <c r="K326" s="7">
        <f t="shared" si="10"/>
        <v>0</v>
      </c>
      <c r="L326" s="8">
        <f t="shared" si="11"/>
        <v>2.5152576666666668</v>
      </c>
      <c r="M326" s="9">
        <v>3.36750094669564E-7</v>
      </c>
      <c r="N326" s="9">
        <v>4.3197534894248699E-6</v>
      </c>
      <c r="O326" s="2">
        <v>4.7292816752589699</v>
      </c>
      <c r="P326" t="s">
        <v>1379</v>
      </c>
      <c r="Q326" s="10">
        <f>IF(N326&lt;='[1]statistical criteria'!$B$2,IF(O326&gt;=LOG('[1]statistical criteria'!$B$3,2),1,IF(O326&lt;=-1*LOG('[1]statistical criteria'!$B$3,2),2,"-")),"-")</f>
        <v>1</v>
      </c>
      <c r="R326" t="s">
        <v>1381</v>
      </c>
      <c r="S326" t="s">
        <v>1382</v>
      </c>
      <c r="T326">
        <v>0</v>
      </c>
      <c r="U326" t="s">
        <v>1383</v>
      </c>
    </row>
    <row r="327" spans="1:21" x14ac:dyDescent="0.35">
      <c r="A327" t="s">
        <v>1384</v>
      </c>
      <c r="B327" t="s">
        <v>1385</v>
      </c>
      <c r="C327">
        <v>828</v>
      </c>
      <c r="D327" s="4">
        <v>0</v>
      </c>
      <c r="E327" s="4">
        <v>0</v>
      </c>
      <c r="F327" s="4">
        <v>0</v>
      </c>
      <c r="G327" s="4">
        <v>0</v>
      </c>
      <c r="H327" s="6">
        <v>1.796799</v>
      </c>
      <c r="I327" s="6">
        <v>5.5485509999999998</v>
      </c>
      <c r="J327" s="6">
        <v>14.462857</v>
      </c>
      <c r="K327" s="7">
        <f t="shared" si="10"/>
        <v>0</v>
      </c>
      <c r="L327" s="8">
        <f t="shared" si="11"/>
        <v>7.2694023333333329</v>
      </c>
      <c r="M327" s="9">
        <v>7.04932856009931E-8</v>
      </c>
      <c r="N327" s="9">
        <v>1.05570041394427E-6</v>
      </c>
      <c r="O327" s="2">
        <v>4.7233873559535002</v>
      </c>
      <c r="P327" t="s">
        <v>1384</v>
      </c>
      <c r="Q327" s="10">
        <f>IF(N327&lt;='[1]statistical criteria'!$B$2,IF(O327&gt;=LOG('[1]statistical criteria'!$B$3,2),1,IF(O327&lt;=-1*LOG('[1]statistical criteria'!$B$3,2),2,"-")),"-")</f>
        <v>1</v>
      </c>
      <c r="R327" t="s">
        <v>941</v>
      </c>
      <c r="S327" t="s">
        <v>942</v>
      </c>
      <c r="T327" s="9">
        <v>9.9999999999999996E-81</v>
      </c>
      <c r="U327" t="s">
        <v>943</v>
      </c>
    </row>
    <row r="328" spans="1:21" x14ac:dyDescent="0.35">
      <c r="A328" t="s">
        <v>1386</v>
      </c>
      <c r="B328" t="s">
        <v>1387</v>
      </c>
      <c r="C328">
        <v>999</v>
      </c>
      <c r="D328" s="4">
        <v>0</v>
      </c>
      <c r="E328" s="4">
        <v>0</v>
      </c>
      <c r="F328" s="4">
        <v>0</v>
      </c>
      <c r="G328" s="4">
        <v>0</v>
      </c>
      <c r="H328" s="6">
        <v>4.9348770000000002</v>
      </c>
      <c r="I328" s="6">
        <v>7.4115190000000002</v>
      </c>
      <c r="J328" s="6">
        <v>3.4882119999999999</v>
      </c>
      <c r="K328" s="7">
        <f t="shared" si="10"/>
        <v>0</v>
      </c>
      <c r="L328" s="8">
        <f t="shared" si="11"/>
        <v>5.2782026666666662</v>
      </c>
      <c r="M328" s="9">
        <v>9.9017379427732505E-8</v>
      </c>
      <c r="N328" s="9">
        <v>1.4248020646576601E-6</v>
      </c>
      <c r="O328" s="2">
        <v>4.7220721651817099</v>
      </c>
      <c r="P328" t="s">
        <v>1386</v>
      </c>
      <c r="Q328" s="10">
        <f>IF(N328&lt;='[1]statistical criteria'!$B$2,IF(O328&gt;=LOG('[1]statistical criteria'!$B$3,2),1,IF(O328&lt;=-1*LOG('[1]statistical criteria'!$B$3,2),2,"-")),"-")</f>
        <v>1</v>
      </c>
      <c r="R328" t="s">
        <v>1388</v>
      </c>
      <c r="S328" t="s">
        <v>1389</v>
      </c>
      <c r="T328" s="9">
        <v>5.0000000000000003E-134</v>
      </c>
      <c r="U328" t="s">
        <v>1390</v>
      </c>
    </row>
    <row r="329" spans="1:21" x14ac:dyDescent="0.35">
      <c r="A329" t="s">
        <v>1391</v>
      </c>
      <c r="B329" t="s">
        <v>1392</v>
      </c>
      <c r="C329">
        <v>1008</v>
      </c>
      <c r="D329" s="4">
        <v>0</v>
      </c>
      <c r="E329" s="4">
        <v>0</v>
      </c>
      <c r="F329" s="5">
        <v>0.53031799999999996</v>
      </c>
      <c r="G329" s="4">
        <v>0</v>
      </c>
      <c r="H329" s="6">
        <v>10.373452</v>
      </c>
      <c r="I329" s="6">
        <v>27.531575</v>
      </c>
      <c r="J329" s="6">
        <v>4.6876480000000003</v>
      </c>
      <c r="K329" s="7">
        <f t="shared" si="10"/>
        <v>0.13257949999999999</v>
      </c>
      <c r="L329" s="8">
        <f t="shared" si="11"/>
        <v>14.197558333333335</v>
      </c>
      <c r="M329" s="9">
        <v>5.7482287909055499E-8</v>
      </c>
      <c r="N329" s="9">
        <v>8.8074713277723497E-7</v>
      </c>
      <c r="O329" s="2">
        <v>4.7202345147127103</v>
      </c>
      <c r="P329" t="s">
        <v>1391</v>
      </c>
      <c r="Q329" s="10">
        <f>IF(N329&lt;='[1]statistical criteria'!$B$2,IF(O329&gt;=LOG('[1]statistical criteria'!$B$3,2),1,IF(O329&lt;=-1*LOG('[1]statistical criteria'!$B$3,2),2,"-")),"-")</f>
        <v>1</v>
      </c>
      <c r="R329" t="s">
        <v>1393</v>
      </c>
      <c r="S329" t="s">
        <v>1394</v>
      </c>
      <c r="T329" s="9">
        <v>9.9999999999999991E-146</v>
      </c>
      <c r="U329" t="s">
        <v>1395</v>
      </c>
    </row>
    <row r="330" spans="1:21" x14ac:dyDescent="0.35">
      <c r="A330" t="s">
        <v>1396</v>
      </c>
      <c r="C330">
        <v>1206</v>
      </c>
      <c r="D330" s="4">
        <v>0</v>
      </c>
      <c r="E330" s="4">
        <v>0</v>
      </c>
      <c r="F330" s="4">
        <v>0</v>
      </c>
      <c r="G330" s="4">
        <v>0</v>
      </c>
      <c r="H330" s="6">
        <v>3.6306419999999999</v>
      </c>
      <c r="I330" s="6">
        <v>4.6996130000000003</v>
      </c>
      <c r="J330" s="6">
        <v>5.8493050000000002</v>
      </c>
      <c r="K330" s="7">
        <f t="shared" si="10"/>
        <v>0</v>
      </c>
      <c r="L330" s="8">
        <f t="shared" si="11"/>
        <v>4.7265200000000007</v>
      </c>
      <c r="M330" s="9">
        <v>4.8846696785679501E-12</v>
      </c>
      <c r="N330" s="9">
        <v>1.5102398697505799E-10</v>
      </c>
      <c r="O330" s="2">
        <v>4.7158885956100596</v>
      </c>
      <c r="P330" t="s">
        <v>1396</v>
      </c>
      <c r="Q330" s="10">
        <f>IF(N330&lt;='[1]statistical criteria'!$B$2,IF(O330&gt;=LOG('[1]statistical criteria'!$B$3,2),1,IF(O330&lt;=-1*LOG('[1]statistical criteria'!$B$3,2),2,"-")),"-")</f>
        <v>1</v>
      </c>
      <c r="R330" t="s">
        <v>1397</v>
      </c>
      <c r="S330" t="s">
        <v>1398</v>
      </c>
      <c r="T330" s="9">
        <v>9.9999999999999996E-95</v>
      </c>
      <c r="U330" t="s">
        <v>1399</v>
      </c>
    </row>
    <row r="331" spans="1:21" x14ac:dyDescent="0.35">
      <c r="A331" t="s">
        <v>1400</v>
      </c>
      <c r="B331" t="s">
        <v>1401</v>
      </c>
      <c r="C331">
        <v>852</v>
      </c>
      <c r="D331" s="4">
        <v>0</v>
      </c>
      <c r="E331" s="4">
        <v>0</v>
      </c>
      <c r="F331" s="4">
        <v>0</v>
      </c>
      <c r="G331" s="4">
        <v>0</v>
      </c>
      <c r="H331" s="6">
        <v>9.4051310000000008</v>
      </c>
      <c r="I331" s="6">
        <v>3.3128099999999998</v>
      </c>
      <c r="J331" s="6">
        <v>7.7060950000000004</v>
      </c>
      <c r="K331" s="7">
        <f t="shared" si="10"/>
        <v>0</v>
      </c>
      <c r="L331" s="8">
        <f t="shared" si="11"/>
        <v>6.8080120000000006</v>
      </c>
      <c r="M331" s="9">
        <v>3.93902947282908E-10</v>
      </c>
      <c r="N331" s="9">
        <v>9.0312928756551107E-9</v>
      </c>
      <c r="O331" s="2">
        <v>4.7098046528142499</v>
      </c>
      <c r="P331" t="s">
        <v>1400</v>
      </c>
      <c r="Q331" s="10">
        <f>IF(N331&lt;='[1]statistical criteria'!$B$2,IF(O331&gt;=LOG('[1]statistical criteria'!$B$3,2),1,IF(O331&lt;=-1*LOG('[1]statistical criteria'!$B$3,2),2,"-")),"-")</f>
        <v>1</v>
      </c>
      <c r="R331" t="s">
        <v>314</v>
      </c>
      <c r="S331" t="s">
        <v>1402</v>
      </c>
      <c r="T331" s="9">
        <v>5.9999999999999997E-46</v>
      </c>
      <c r="U331" t="s">
        <v>316</v>
      </c>
    </row>
    <row r="332" spans="1:21" x14ac:dyDescent="0.35">
      <c r="A332" t="s">
        <v>1403</v>
      </c>
      <c r="B332" t="s">
        <v>1404</v>
      </c>
      <c r="C332">
        <v>972</v>
      </c>
      <c r="D332" s="4">
        <v>0</v>
      </c>
      <c r="E332" s="4">
        <v>0</v>
      </c>
      <c r="F332" s="4">
        <v>0</v>
      </c>
      <c r="G332" s="4">
        <v>0</v>
      </c>
      <c r="H332" s="6">
        <v>3.821145</v>
      </c>
      <c r="I332" s="6">
        <v>7.786486</v>
      </c>
      <c r="J332" s="6">
        <v>3.3261539999999998</v>
      </c>
      <c r="K332" s="7">
        <f t="shared" si="10"/>
        <v>0</v>
      </c>
      <c r="L332" s="8">
        <f t="shared" si="11"/>
        <v>4.9779283333333337</v>
      </c>
      <c r="M332" s="9">
        <v>9.8021718318851695E-8</v>
      </c>
      <c r="N332" s="9">
        <v>1.4131464390967799E-6</v>
      </c>
      <c r="O332" s="2">
        <v>4.70963331684945</v>
      </c>
      <c r="P332" t="s">
        <v>1403</v>
      </c>
      <c r="Q332" s="10">
        <f>IF(N332&lt;='[1]statistical criteria'!$B$2,IF(O332&gt;=LOG('[1]statistical criteria'!$B$3,2),1,IF(O332&lt;=-1*LOG('[1]statistical criteria'!$B$3,2),2,"-")),"-")</f>
        <v>1</v>
      </c>
      <c r="R332" t="s">
        <v>310</v>
      </c>
      <c r="S332" t="s">
        <v>1405</v>
      </c>
      <c r="T332" s="9">
        <v>9.0000000000000001E-77</v>
      </c>
      <c r="U332" t="s">
        <v>311</v>
      </c>
    </row>
    <row r="333" spans="1:21" x14ac:dyDescent="0.35">
      <c r="A333" t="s">
        <v>269</v>
      </c>
      <c r="B333" t="s">
        <v>270</v>
      </c>
      <c r="C333">
        <v>354</v>
      </c>
      <c r="D333" s="4">
        <v>0</v>
      </c>
      <c r="E333" s="4">
        <v>0</v>
      </c>
      <c r="F333" s="4">
        <v>0</v>
      </c>
      <c r="G333" s="4">
        <v>0</v>
      </c>
      <c r="H333" s="6">
        <v>48.046340000000001</v>
      </c>
      <c r="I333" s="6">
        <v>5.2330589999999999</v>
      </c>
      <c r="J333" s="6">
        <v>51.930971</v>
      </c>
      <c r="K333" s="7">
        <f t="shared" si="10"/>
        <v>0</v>
      </c>
      <c r="L333" s="8">
        <f t="shared" si="11"/>
        <v>35.070123333333335</v>
      </c>
      <c r="M333" s="9">
        <v>2.9767318859078401E-8</v>
      </c>
      <c r="N333" s="9">
        <v>4.83544240621649E-7</v>
      </c>
      <c r="O333" s="2">
        <v>4.7080664641232</v>
      </c>
      <c r="P333" t="s">
        <v>269</v>
      </c>
      <c r="Q333" s="10">
        <f>IF(N333&lt;='[1]statistical criteria'!$B$2,IF(O333&gt;=LOG('[1]statistical criteria'!$B$3,2),1,IF(O333&lt;=-1*LOG('[1]statistical criteria'!$B$3,2),2,"-")),"-")</f>
        <v>1</v>
      </c>
      <c r="R333" t="s">
        <v>271</v>
      </c>
      <c r="S333" t="s">
        <v>272</v>
      </c>
      <c r="T333" s="9">
        <v>7.0000000000000005E-13</v>
      </c>
      <c r="U333" t="s">
        <v>61</v>
      </c>
    </row>
    <row r="334" spans="1:21" x14ac:dyDescent="0.35">
      <c r="A334" t="s">
        <v>1406</v>
      </c>
      <c r="B334" t="s">
        <v>1407</v>
      </c>
      <c r="C334">
        <v>2655</v>
      </c>
      <c r="D334" s="4">
        <v>0</v>
      </c>
      <c r="E334" s="4">
        <v>0</v>
      </c>
      <c r="F334" s="4">
        <v>0</v>
      </c>
      <c r="G334" s="4">
        <v>0</v>
      </c>
      <c r="H334" s="6">
        <v>2.3065549999999999</v>
      </c>
      <c r="I334" s="6">
        <v>0.746645</v>
      </c>
      <c r="J334" s="6">
        <v>4.8751040000000003</v>
      </c>
      <c r="K334" s="7">
        <f t="shared" si="10"/>
        <v>0</v>
      </c>
      <c r="L334" s="8">
        <f t="shared" si="11"/>
        <v>2.6427680000000002</v>
      </c>
      <c r="M334" s="9">
        <v>1.5518183186621699E-7</v>
      </c>
      <c r="N334" s="9">
        <v>2.1329796030437801E-6</v>
      </c>
      <c r="O334" s="2">
        <v>4.7051485265623203</v>
      </c>
      <c r="P334" t="s">
        <v>1406</v>
      </c>
      <c r="Q334" s="10">
        <f>IF(N334&lt;='[1]statistical criteria'!$B$2,IF(O334&gt;=LOG('[1]statistical criteria'!$B$3,2),1,IF(O334&lt;=-1*LOG('[1]statistical criteria'!$B$3,2),2,"-")),"-")</f>
        <v>1</v>
      </c>
      <c r="R334" t="s">
        <v>1408</v>
      </c>
      <c r="S334" t="s">
        <v>1409</v>
      </c>
      <c r="T334" s="9">
        <v>3E-32</v>
      </c>
      <c r="U334" t="s">
        <v>1410</v>
      </c>
    </row>
    <row r="335" spans="1:21" x14ac:dyDescent="0.35">
      <c r="A335" t="s">
        <v>1411</v>
      </c>
      <c r="B335" t="s">
        <v>1412</v>
      </c>
      <c r="C335">
        <v>1220</v>
      </c>
      <c r="D335" s="4">
        <v>0</v>
      </c>
      <c r="E335" s="4">
        <v>0</v>
      </c>
      <c r="F335" s="4">
        <v>0</v>
      </c>
      <c r="G335" s="4">
        <v>0</v>
      </c>
      <c r="H335" s="6">
        <v>3.5732339999999998</v>
      </c>
      <c r="I335" s="6">
        <v>5.6792309999999997</v>
      </c>
      <c r="J335" s="6">
        <v>7.9150450000000001</v>
      </c>
      <c r="K335" s="7">
        <f t="shared" si="10"/>
        <v>0</v>
      </c>
      <c r="L335" s="8">
        <f t="shared" si="11"/>
        <v>5.7225033333333331</v>
      </c>
      <c r="M335" s="9">
        <v>1.10657623019999E-7</v>
      </c>
      <c r="N335" s="9">
        <v>1.5732645245204199E-6</v>
      </c>
      <c r="O335" s="2">
        <v>4.7051438408861701</v>
      </c>
      <c r="P335" t="s">
        <v>1411</v>
      </c>
      <c r="Q335" s="10">
        <f>IF(N335&lt;='[1]statistical criteria'!$B$2,IF(O335&gt;=LOG('[1]statistical criteria'!$B$3,2),1,IF(O335&lt;=-1*LOG('[1]statistical criteria'!$B$3,2),2,"-")),"-")</f>
        <v>1</v>
      </c>
      <c r="R335" t="s">
        <v>1413</v>
      </c>
      <c r="S335" t="s">
        <v>1414</v>
      </c>
      <c r="T335">
        <v>0</v>
      </c>
      <c r="U335" t="s">
        <v>1415</v>
      </c>
    </row>
    <row r="336" spans="1:21" x14ac:dyDescent="0.35">
      <c r="A336" t="s">
        <v>1416</v>
      </c>
      <c r="B336" t="s">
        <v>1417</v>
      </c>
      <c r="C336">
        <v>1212</v>
      </c>
      <c r="D336" s="4">
        <v>0</v>
      </c>
      <c r="E336" s="4">
        <v>0</v>
      </c>
      <c r="F336" s="4">
        <v>0</v>
      </c>
      <c r="G336" s="4">
        <v>0</v>
      </c>
      <c r="H336" s="6">
        <v>3.0608580000000001</v>
      </c>
      <c r="I336" s="6">
        <v>6.4900339999999996</v>
      </c>
      <c r="J336" s="6">
        <v>5.0536560000000001</v>
      </c>
      <c r="K336" s="7">
        <f t="shared" si="10"/>
        <v>0</v>
      </c>
      <c r="L336" s="8">
        <f t="shared" si="11"/>
        <v>4.8681826666666668</v>
      </c>
      <c r="M336" s="9">
        <v>4.6435522861017602E-7</v>
      </c>
      <c r="N336" s="9">
        <v>5.77372100650223E-6</v>
      </c>
      <c r="O336" s="2">
        <v>4.7039409053771797</v>
      </c>
      <c r="P336" t="s">
        <v>1416</v>
      </c>
      <c r="Q336" s="10">
        <f>IF(N336&lt;='[1]statistical criteria'!$B$2,IF(O336&gt;=LOG('[1]statistical criteria'!$B$3,2),1,IF(O336&lt;=-1*LOG('[1]statistical criteria'!$B$3,2),2,"-")),"-")</f>
        <v>1</v>
      </c>
      <c r="R336" t="s">
        <v>1418</v>
      </c>
      <c r="S336" t="s">
        <v>1419</v>
      </c>
      <c r="T336">
        <v>0</v>
      </c>
      <c r="U336" t="s">
        <v>1420</v>
      </c>
    </row>
    <row r="337" spans="1:21" x14ac:dyDescent="0.35">
      <c r="A337" t="s">
        <v>273</v>
      </c>
      <c r="B337" t="s">
        <v>274</v>
      </c>
      <c r="C337">
        <v>390</v>
      </c>
      <c r="D337" s="4">
        <v>0</v>
      </c>
      <c r="E337" s="4">
        <v>0</v>
      </c>
      <c r="F337" s="4">
        <v>0</v>
      </c>
      <c r="G337" s="4">
        <v>0</v>
      </c>
      <c r="H337" s="6">
        <v>44.854191999999998</v>
      </c>
      <c r="I337" s="6">
        <v>7.5098079999999996</v>
      </c>
      <c r="J337" s="6">
        <v>20.493964999999999</v>
      </c>
      <c r="K337" s="7">
        <f t="shared" si="10"/>
        <v>0</v>
      </c>
      <c r="L337" s="8">
        <f t="shared" si="11"/>
        <v>24.285988333333332</v>
      </c>
      <c r="M337" s="9">
        <v>3.3852476248394799E-7</v>
      </c>
      <c r="N337" s="9">
        <v>4.3410554110980703E-6</v>
      </c>
      <c r="O337" s="2">
        <v>4.7038628302994603</v>
      </c>
      <c r="P337" t="s">
        <v>273</v>
      </c>
      <c r="Q337" s="10">
        <f>IF(N337&lt;='[1]statistical criteria'!$B$2,IF(O337&gt;=LOG('[1]statistical criteria'!$B$3,2),1,IF(O337&lt;=-1*LOG('[1]statistical criteria'!$B$3,2),2,"-")),"-")</f>
        <v>1</v>
      </c>
      <c r="R337" t="s">
        <v>214</v>
      </c>
    </row>
    <row r="338" spans="1:21" x14ac:dyDescent="0.35">
      <c r="A338" t="s">
        <v>1421</v>
      </c>
      <c r="B338" t="s">
        <v>1422</v>
      </c>
      <c r="C338">
        <v>1116</v>
      </c>
      <c r="D338" s="5">
        <v>2.2872859999999999</v>
      </c>
      <c r="E338" s="4">
        <v>0</v>
      </c>
      <c r="F338" s="4">
        <v>0</v>
      </c>
      <c r="G338" s="5">
        <v>0.85269700000000004</v>
      </c>
      <c r="H338" s="6">
        <v>32.953772999999998</v>
      </c>
      <c r="I338" s="6">
        <v>18.990645000000001</v>
      </c>
      <c r="J338" s="6">
        <v>36.051870999999998</v>
      </c>
      <c r="K338" s="7">
        <f t="shared" si="10"/>
        <v>0.78499574999999999</v>
      </c>
      <c r="L338" s="8">
        <f t="shared" si="11"/>
        <v>29.332096333333329</v>
      </c>
      <c r="M338" s="9">
        <v>9.3627928774020099E-7</v>
      </c>
      <c r="N338" s="9">
        <v>1.08576446347934E-5</v>
      </c>
      <c r="O338" s="2">
        <v>4.7037041674404296</v>
      </c>
      <c r="P338" t="s">
        <v>1421</v>
      </c>
      <c r="Q338" s="10">
        <f>IF(N338&lt;='[1]statistical criteria'!$B$2,IF(O338&gt;=LOG('[1]statistical criteria'!$B$3,2),1,IF(O338&lt;=-1*LOG('[1]statistical criteria'!$B$3,2),2,"-")),"-")</f>
        <v>1</v>
      </c>
      <c r="R338" t="s">
        <v>1423</v>
      </c>
    </row>
    <row r="339" spans="1:21" x14ac:dyDescent="0.35">
      <c r="A339" t="s">
        <v>1424</v>
      </c>
      <c r="C339">
        <v>297</v>
      </c>
      <c r="D339" s="4">
        <v>0</v>
      </c>
      <c r="E339" s="4">
        <v>0</v>
      </c>
      <c r="F339" s="4">
        <v>0</v>
      </c>
      <c r="G339" s="4">
        <v>0</v>
      </c>
      <c r="H339" s="6">
        <v>43.470497999999999</v>
      </c>
      <c r="I339" s="6">
        <v>54.772683000000001</v>
      </c>
      <c r="J339" s="6">
        <v>18.514834</v>
      </c>
      <c r="K339" s="7">
        <f t="shared" si="10"/>
        <v>0</v>
      </c>
      <c r="L339" s="8">
        <f t="shared" si="11"/>
        <v>38.919338333333336</v>
      </c>
      <c r="M339" s="9">
        <v>6.74215265819415E-8</v>
      </c>
      <c r="N339" s="9">
        <v>1.0146553189832701E-6</v>
      </c>
      <c r="O339" s="2">
        <v>4.7019307798894596</v>
      </c>
      <c r="P339" t="s">
        <v>1424</v>
      </c>
      <c r="Q339" s="10">
        <f>IF(N339&lt;='[1]statistical criteria'!$B$2,IF(O339&gt;=LOG('[1]statistical criteria'!$B$3,2),1,IF(O339&lt;=-1*LOG('[1]statistical criteria'!$B$3,2),2,"-")),"-")</f>
        <v>1</v>
      </c>
      <c r="R339" t="s">
        <v>1425</v>
      </c>
    </row>
    <row r="340" spans="1:21" x14ac:dyDescent="0.35">
      <c r="A340" t="s">
        <v>1426</v>
      </c>
      <c r="B340" t="s">
        <v>1427</v>
      </c>
      <c r="C340">
        <v>882</v>
      </c>
      <c r="D340" s="4">
        <v>0</v>
      </c>
      <c r="E340" s="4">
        <v>0</v>
      </c>
      <c r="F340" s="4">
        <v>0</v>
      </c>
      <c r="G340" s="4">
        <v>0</v>
      </c>
      <c r="H340" s="6">
        <v>5.0133830000000001</v>
      </c>
      <c r="I340" s="6">
        <v>22.890632</v>
      </c>
      <c r="J340" s="6">
        <v>1.7553019999999999</v>
      </c>
      <c r="K340" s="7">
        <f t="shared" si="10"/>
        <v>0</v>
      </c>
      <c r="L340" s="8">
        <f t="shared" si="11"/>
        <v>9.8864390000000011</v>
      </c>
      <c r="M340" s="9">
        <v>1.6642097988621601E-7</v>
      </c>
      <c r="N340" s="9">
        <v>2.2743204648004899E-6</v>
      </c>
      <c r="O340" s="2">
        <v>4.6966094875569002</v>
      </c>
      <c r="P340" t="s">
        <v>1426</v>
      </c>
      <c r="Q340" s="10">
        <f>IF(N340&lt;='[1]statistical criteria'!$B$2,IF(O340&gt;=LOG('[1]statistical criteria'!$B$3,2),1,IF(O340&lt;=-1*LOG('[1]statistical criteria'!$B$3,2),2,"-")),"-")</f>
        <v>1</v>
      </c>
      <c r="R340" t="s">
        <v>1428</v>
      </c>
      <c r="S340" t="s">
        <v>1429</v>
      </c>
      <c r="T340" s="9">
        <v>8E-174</v>
      </c>
      <c r="U340" t="s">
        <v>1430</v>
      </c>
    </row>
    <row r="341" spans="1:21" x14ac:dyDescent="0.35">
      <c r="A341" t="s">
        <v>1431</v>
      </c>
      <c r="C341">
        <v>738</v>
      </c>
      <c r="D341" s="4">
        <v>0</v>
      </c>
      <c r="E341" s="4">
        <v>0</v>
      </c>
      <c r="F341" s="4">
        <v>0</v>
      </c>
      <c r="G341" s="4">
        <v>0</v>
      </c>
      <c r="H341" s="6">
        <v>7.0939379999999996</v>
      </c>
      <c r="I341" s="6">
        <v>5.70261</v>
      </c>
      <c r="J341" s="6">
        <v>4.4435900000000004</v>
      </c>
      <c r="K341" s="7">
        <f t="shared" si="10"/>
        <v>0</v>
      </c>
      <c r="L341" s="8">
        <f t="shared" si="11"/>
        <v>5.7467126666666672</v>
      </c>
      <c r="M341" s="9">
        <v>3.7416553607147999E-8</v>
      </c>
      <c r="N341" s="9">
        <v>5.94851307555578E-7</v>
      </c>
      <c r="O341" s="2">
        <v>4.6963102526069802</v>
      </c>
      <c r="P341" t="s">
        <v>1431</v>
      </c>
      <c r="Q341" s="10">
        <f>IF(N341&lt;='[1]statistical criteria'!$B$2,IF(O341&gt;=LOG('[1]statistical criteria'!$B$3,2),1,IF(O341&lt;=-1*LOG('[1]statistical criteria'!$B$3,2),2,"-")),"-")</f>
        <v>1</v>
      </c>
    </row>
    <row r="342" spans="1:21" x14ac:dyDescent="0.35">
      <c r="A342" t="s">
        <v>257</v>
      </c>
      <c r="B342" t="s">
        <v>258</v>
      </c>
      <c r="C342">
        <v>742</v>
      </c>
      <c r="D342" s="5">
        <v>2.3892289999999998</v>
      </c>
      <c r="E342" s="5">
        <v>1.4153910000000001</v>
      </c>
      <c r="F342" s="5">
        <v>0.19867399999999999</v>
      </c>
      <c r="G342" s="5">
        <v>0.68742099999999995</v>
      </c>
      <c r="H342" s="6">
        <v>200.405756</v>
      </c>
      <c r="I342" s="6">
        <v>107.118298</v>
      </c>
      <c r="J342" s="6">
        <v>167.67095</v>
      </c>
      <c r="K342" s="7">
        <f t="shared" si="10"/>
        <v>1.1726787499999998</v>
      </c>
      <c r="L342" s="8">
        <f t="shared" si="11"/>
        <v>158.39833466666667</v>
      </c>
      <c r="M342" s="9">
        <v>1.2639917828611399E-22</v>
      </c>
      <c r="N342" s="9">
        <v>1.64189512818072E-20</v>
      </c>
      <c r="O342" s="2">
        <v>4.6942694738999098</v>
      </c>
      <c r="P342" t="s">
        <v>257</v>
      </c>
      <c r="Q342" s="10">
        <f>IF(N342&lt;='[1]statistical criteria'!$B$2,IF(O342&gt;=LOG('[1]statistical criteria'!$B$3,2),1,IF(O342&lt;=-1*LOG('[1]statistical criteria'!$B$3,2),2,"-")),"-")</f>
        <v>1</v>
      </c>
      <c r="R342" t="s">
        <v>259</v>
      </c>
      <c r="S342" t="s">
        <v>260</v>
      </c>
      <c r="T342" s="9">
        <v>2E-91</v>
      </c>
      <c r="U342" t="s">
        <v>261</v>
      </c>
    </row>
    <row r="343" spans="1:21" x14ac:dyDescent="0.35">
      <c r="A343" t="s">
        <v>1432</v>
      </c>
      <c r="B343" t="s">
        <v>1433</v>
      </c>
      <c r="C343">
        <v>2058</v>
      </c>
      <c r="D343" s="4">
        <v>0</v>
      </c>
      <c r="E343" s="4">
        <v>0</v>
      </c>
      <c r="F343" s="4">
        <v>0</v>
      </c>
      <c r="G343" s="4">
        <v>0</v>
      </c>
      <c r="H343" s="6">
        <v>2.2507570000000001</v>
      </c>
      <c r="I343" s="6">
        <v>4.2856920000000001</v>
      </c>
      <c r="J343" s="6">
        <v>9.7827389999999994</v>
      </c>
      <c r="K343" s="7">
        <f t="shared" si="10"/>
        <v>0</v>
      </c>
      <c r="L343" s="8">
        <f t="shared" si="11"/>
        <v>5.4397293333333332</v>
      </c>
      <c r="M343" s="9">
        <v>3.9393895248300699E-7</v>
      </c>
      <c r="N343" s="9">
        <v>4.9778607342308303E-6</v>
      </c>
      <c r="O343" s="2">
        <v>4.6927533240138004</v>
      </c>
      <c r="P343" t="s">
        <v>1432</v>
      </c>
      <c r="Q343" s="10">
        <f>IF(N343&lt;='[1]statistical criteria'!$B$2,IF(O343&gt;=LOG('[1]statistical criteria'!$B$3,2),1,IF(O343&lt;=-1*LOG('[1]statistical criteria'!$B$3,2),2,"-")),"-")</f>
        <v>1</v>
      </c>
      <c r="S343" t="s">
        <v>1434</v>
      </c>
      <c r="T343" s="9">
        <v>7.9999999999999997E-23</v>
      </c>
      <c r="U343" t="s">
        <v>61</v>
      </c>
    </row>
    <row r="344" spans="1:21" x14ac:dyDescent="0.35">
      <c r="A344" t="s">
        <v>1435</v>
      </c>
      <c r="B344" t="s">
        <v>1436</v>
      </c>
      <c r="C344">
        <v>682</v>
      </c>
      <c r="D344" s="5">
        <v>3.9956330000000002</v>
      </c>
      <c r="E344" s="4">
        <v>0</v>
      </c>
      <c r="F344" s="5">
        <v>1.219576</v>
      </c>
      <c r="G344" s="5">
        <v>6.108174</v>
      </c>
      <c r="H344" s="6">
        <v>198.24929</v>
      </c>
      <c r="I344" s="6">
        <v>153.62474499999999</v>
      </c>
      <c r="J344" s="6">
        <v>236.45369099999999</v>
      </c>
      <c r="K344" s="7">
        <f t="shared" si="10"/>
        <v>2.8308457499999999</v>
      </c>
      <c r="L344" s="8">
        <f t="shared" si="11"/>
        <v>196.10924199999999</v>
      </c>
      <c r="M344" s="9">
        <v>9.1511295768184296E-6</v>
      </c>
      <c r="N344" s="9">
        <v>8.35232593989711E-5</v>
      </c>
      <c r="O344" s="2">
        <v>4.6869782331270899</v>
      </c>
      <c r="P344" t="s">
        <v>1435</v>
      </c>
      <c r="Q344" s="10">
        <f>IF(N344&lt;='[1]statistical criteria'!$B$2,IF(O344&gt;=LOG('[1]statistical criteria'!$B$3,2),1,IF(O344&lt;=-1*LOG('[1]statistical criteria'!$B$3,2),2,"-")),"-")</f>
        <v>1</v>
      </c>
      <c r="S344" t="s">
        <v>1437</v>
      </c>
      <c r="T344">
        <v>4.9000000000000004</v>
      </c>
      <c r="U344" t="s">
        <v>1438</v>
      </c>
    </row>
    <row r="345" spans="1:21" x14ac:dyDescent="0.35">
      <c r="A345" t="s">
        <v>1439</v>
      </c>
      <c r="B345" t="s">
        <v>1440</v>
      </c>
      <c r="C345">
        <v>738</v>
      </c>
      <c r="D345" s="4">
        <v>0</v>
      </c>
      <c r="E345" s="4">
        <v>0</v>
      </c>
      <c r="F345" s="4">
        <v>0</v>
      </c>
      <c r="G345" s="4">
        <v>0</v>
      </c>
      <c r="H345" s="6">
        <v>11.188390999999999</v>
      </c>
      <c r="I345" s="6">
        <v>4.7436090000000002</v>
      </c>
      <c r="J345" s="6">
        <v>18.680537999999999</v>
      </c>
      <c r="K345" s="7">
        <f t="shared" si="10"/>
        <v>0</v>
      </c>
      <c r="L345" s="8">
        <f t="shared" si="11"/>
        <v>11.537512666666666</v>
      </c>
      <c r="M345" s="9">
        <v>1.30283446211888E-7</v>
      </c>
      <c r="N345" s="9">
        <v>1.81833075277758E-6</v>
      </c>
      <c r="O345" s="2">
        <v>4.684974551022</v>
      </c>
      <c r="P345" t="s">
        <v>1439</v>
      </c>
      <c r="Q345" s="10">
        <f>IF(N345&lt;='[1]statistical criteria'!$B$2,IF(O345&gt;=LOG('[1]statistical criteria'!$B$3,2),1,IF(O345&lt;=-1*LOG('[1]statistical criteria'!$B$3,2),2,"-")),"-")</f>
        <v>1</v>
      </c>
      <c r="R345" t="s">
        <v>1441</v>
      </c>
      <c r="S345" t="s">
        <v>1442</v>
      </c>
      <c r="T345" s="9">
        <v>9.9999999999999995E-144</v>
      </c>
      <c r="U345" t="s">
        <v>1443</v>
      </c>
    </row>
    <row r="346" spans="1:21" x14ac:dyDescent="0.35">
      <c r="A346" t="s">
        <v>1444</v>
      </c>
      <c r="B346" t="s">
        <v>1445</v>
      </c>
      <c r="C346">
        <v>528</v>
      </c>
      <c r="D346" s="4">
        <v>0</v>
      </c>
      <c r="E346" s="4">
        <v>0</v>
      </c>
      <c r="F346" s="4">
        <v>0</v>
      </c>
      <c r="G346" s="4">
        <v>0</v>
      </c>
      <c r="H346" s="6">
        <v>19.985749999999999</v>
      </c>
      <c r="I346" s="6">
        <v>26.464774999999999</v>
      </c>
      <c r="J346" s="6">
        <v>6.041372</v>
      </c>
      <c r="K346" s="7">
        <f t="shared" si="10"/>
        <v>0</v>
      </c>
      <c r="L346" s="8">
        <f t="shared" si="11"/>
        <v>17.497299000000002</v>
      </c>
      <c r="M346" s="9">
        <v>5.82810090020957E-7</v>
      </c>
      <c r="N346" s="9">
        <v>7.0936207311153304E-6</v>
      </c>
      <c r="O346" s="2">
        <v>4.6824328216763504</v>
      </c>
      <c r="P346" t="s">
        <v>1444</v>
      </c>
      <c r="Q346" s="10">
        <f>IF(N346&lt;='[1]statistical criteria'!$B$2,IF(O346&gt;=LOG('[1]statistical criteria'!$B$3,2),1,IF(O346&lt;=-1*LOG('[1]statistical criteria'!$B$3,2),2,"-")),"-")</f>
        <v>1</v>
      </c>
      <c r="R346" t="s">
        <v>1446</v>
      </c>
    </row>
    <row r="347" spans="1:21" x14ac:dyDescent="0.35">
      <c r="A347" t="s">
        <v>1447</v>
      </c>
      <c r="B347" t="s">
        <v>1448</v>
      </c>
      <c r="C347">
        <v>861</v>
      </c>
      <c r="D347" s="5">
        <v>2.207414</v>
      </c>
      <c r="E347" s="4">
        <v>0</v>
      </c>
      <c r="F347" s="5">
        <v>9.3185000000000004E-2</v>
      </c>
      <c r="G347" s="5">
        <v>0.47701900000000003</v>
      </c>
      <c r="H347" s="6">
        <v>50.317292000000002</v>
      </c>
      <c r="I347" s="6">
        <v>51.846744000000001</v>
      </c>
      <c r="J347" s="6">
        <v>46.693930999999999</v>
      </c>
      <c r="K347" s="7">
        <f t="shared" si="10"/>
        <v>0.69440449999999998</v>
      </c>
      <c r="L347" s="8">
        <f t="shared" si="11"/>
        <v>49.619322333333336</v>
      </c>
      <c r="M347" s="9">
        <v>1.23690392103346E-6</v>
      </c>
      <c r="N347" s="9">
        <v>1.39196720667828E-5</v>
      </c>
      <c r="O347" s="2">
        <v>4.6812197117631102</v>
      </c>
      <c r="P347" t="s">
        <v>1447</v>
      </c>
      <c r="Q347" s="10">
        <f>IF(N347&lt;='[1]statistical criteria'!$B$2,IF(O347&gt;=LOG('[1]statistical criteria'!$B$3,2),1,IF(O347&lt;=-1*LOG('[1]statistical criteria'!$B$3,2),2,"-")),"-")</f>
        <v>1</v>
      </c>
      <c r="S347" t="s">
        <v>157</v>
      </c>
      <c r="T347" s="9">
        <v>3.0000000000000002E-40</v>
      </c>
      <c r="U347" t="s">
        <v>61</v>
      </c>
    </row>
    <row r="348" spans="1:21" x14ac:dyDescent="0.35">
      <c r="A348" t="s">
        <v>1449</v>
      </c>
      <c r="B348" t="s">
        <v>1450</v>
      </c>
      <c r="C348">
        <v>504</v>
      </c>
      <c r="D348" s="4">
        <v>0</v>
      </c>
      <c r="E348" s="4">
        <v>0</v>
      </c>
      <c r="F348" s="4">
        <v>0</v>
      </c>
      <c r="G348" s="4">
        <v>0</v>
      </c>
      <c r="H348" s="6">
        <v>20.646591999999998</v>
      </c>
      <c r="I348" s="6">
        <v>27.381596999999999</v>
      </c>
      <c r="J348" s="6">
        <v>2.9894080000000001</v>
      </c>
      <c r="K348" s="7">
        <f t="shared" si="10"/>
        <v>0</v>
      </c>
      <c r="L348" s="8">
        <f t="shared" si="11"/>
        <v>17.005865666666665</v>
      </c>
      <c r="M348" s="9">
        <v>1.02066731588922E-6</v>
      </c>
      <c r="N348" s="9">
        <v>1.1729045302760699E-5</v>
      </c>
      <c r="O348" s="2">
        <v>4.6781991873916997</v>
      </c>
      <c r="P348" t="s">
        <v>1449</v>
      </c>
      <c r="Q348" s="10">
        <f>IF(N348&lt;='[1]statistical criteria'!$B$2,IF(O348&gt;=LOG('[1]statistical criteria'!$B$3,2),1,IF(O348&lt;=-1*LOG('[1]statistical criteria'!$B$3,2),2,"-")),"-")</f>
        <v>1</v>
      </c>
      <c r="R348" t="s">
        <v>1451</v>
      </c>
      <c r="S348" t="s">
        <v>1452</v>
      </c>
      <c r="T348" s="9">
        <v>6.0000000000000003E-47</v>
      </c>
      <c r="U348" t="s">
        <v>1453</v>
      </c>
    </row>
    <row r="349" spans="1:21" x14ac:dyDescent="0.35">
      <c r="A349" t="s">
        <v>1454</v>
      </c>
      <c r="B349" t="s">
        <v>1455</v>
      </c>
      <c r="C349">
        <v>2140</v>
      </c>
      <c r="D349" s="4">
        <v>0</v>
      </c>
      <c r="E349" s="4">
        <v>0</v>
      </c>
      <c r="F349" s="4">
        <v>0</v>
      </c>
      <c r="G349" s="4">
        <v>0</v>
      </c>
      <c r="H349" s="6">
        <v>2.7937409999999998</v>
      </c>
      <c r="I349" s="6">
        <v>1.6934119999999999</v>
      </c>
      <c r="J349" s="6">
        <v>5.5113149999999997</v>
      </c>
      <c r="K349" s="7">
        <f t="shared" si="10"/>
        <v>0</v>
      </c>
      <c r="L349" s="8">
        <f t="shared" si="11"/>
        <v>3.3328226666666665</v>
      </c>
      <c r="M349" s="9">
        <v>3.5453498622066403E-8</v>
      </c>
      <c r="N349" s="9">
        <v>5.6767360435668795E-7</v>
      </c>
      <c r="O349" s="2">
        <v>4.6753554074176797</v>
      </c>
      <c r="P349" t="s">
        <v>1454</v>
      </c>
      <c r="Q349" s="10">
        <f>IF(N349&lt;='[1]statistical criteria'!$B$2,IF(O349&gt;=LOG('[1]statistical criteria'!$B$3,2),1,IF(O349&lt;=-1*LOG('[1]statistical criteria'!$B$3,2),2,"-")),"-")</f>
        <v>1</v>
      </c>
      <c r="R349" t="s">
        <v>1456</v>
      </c>
      <c r="S349" t="s">
        <v>1457</v>
      </c>
      <c r="T349">
        <v>0</v>
      </c>
      <c r="U349" t="s">
        <v>1458</v>
      </c>
    </row>
    <row r="350" spans="1:21" x14ac:dyDescent="0.35">
      <c r="A350" t="s">
        <v>1459</v>
      </c>
      <c r="B350" t="s">
        <v>1460</v>
      </c>
      <c r="C350">
        <v>1212</v>
      </c>
      <c r="D350" s="4">
        <v>0</v>
      </c>
      <c r="E350" s="4">
        <v>0</v>
      </c>
      <c r="F350" s="4">
        <v>0</v>
      </c>
      <c r="G350" s="5">
        <v>0.26732499999999998</v>
      </c>
      <c r="H350" s="6">
        <v>3.5231409999999999</v>
      </c>
      <c r="I350" s="6">
        <v>16.771163000000001</v>
      </c>
      <c r="J350" s="6">
        <v>6.0388080000000004</v>
      </c>
      <c r="K350" s="7">
        <f t="shared" si="10"/>
        <v>6.6831249999999995E-2</v>
      </c>
      <c r="L350" s="8">
        <f t="shared" si="11"/>
        <v>8.777704</v>
      </c>
      <c r="M350" s="9">
        <v>5.9937317757773596E-10</v>
      </c>
      <c r="N350" s="9">
        <v>1.3379556093025601E-8</v>
      </c>
      <c r="O350" s="2">
        <v>4.6747073723065098</v>
      </c>
      <c r="P350" t="s">
        <v>1459</v>
      </c>
      <c r="Q350" s="10">
        <f>IF(N350&lt;='[1]statistical criteria'!$B$2,IF(O350&gt;=LOG('[1]statistical criteria'!$B$3,2),1,IF(O350&lt;=-1*LOG('[1]statistical criteria'!$B$3,2),2,"-")),"-")</f>
        <v>1</v>
      </c>
      <c r="R350" t="s">
        <v>1156</v>
      </c>
      <c r="S350" t="s">
        <v>1461</v>
      </c>
      <c r="T350" s="9">
        <v>3.9999999999999999E-113</v>
      </c>
      <c r="U350" t="s">
        <v>1158</v>
      </c>
    </row>
    <row r="351" spans="1:21" x14ac:dyDescent="0.35">
      <c r="A351" t="s">
        <v>1462</v>
      </c>
      <c r="B351" t="s">
        <v>1463</v>
      </c>
      <c r="C351">
        <v>351</v>
      </c>
      <c r="D351" s="4">
        <v>0</v>
      </c>
      <c r="E351" s="5">
        <v>12.044385</v>
      </c>
      <c r="F351" s="4">
        <v>0</v>
      </c>
      <c r="G351" s="4">
        <v>0</v>
      </c>
      <c r="H351" s="6">
        <v>90.978504999999998</v>
      </c>
      <c r="I351" s="6">
        <v>37.345011</v>
      </c>
      <c r="J351" s="6">
        <v>81.683090000000007</v>
      </c>
      <c r="K351" s="7">
        <f t="shared" si="10"/>
        <v>3.01109625</v>
      </c>
      <c r="L351" s="8">
        <f t="shared" si="11"/>
        <v>70.002201999999997</v>
      </c>
      <c r="M351" s="9">
        <v>1.0011462302818599E-8</v>
      </c>
      <c r="N351" s="9">
        <v>1.7931117893895399E-7</v>
      </c>
      <c r="O351" s="2">
        <v>4.6713036608883902</v>
      </c>
      <c r="P351" t="s">
        <v>1462</v>
      </c>
      <c r="Q351" s="10">
        <f>IF(N351&lt;='[1]statistical criteria'!$B$2,IF(O351&gt;=LOG('[1]statistical criteria'!$B$3,2),1,IF(O351&lt;=-1*LOG('[1]statistical criteria'!$B$3,2),2,"-")),"-")</f>
        <v>1</v>
      </c>
    </row>
    <row r="352" spans="1:21" x14ac:dyDescent="0.35">
      <c r="A352" t="s">
        <v>1464</v>
      </c>
      <c r="B352" t="s">
        <v>1465</v>
      </c>
      <c r="C352">
        <v>1305</v>
      </c>
      <c r="D352" s="5">
        <v>1.305741</v>
      </c>
      <c r="E352" s="5">
        <v>5.3884309999999997</v>
      </c>
      <c r="F352" s="4">
        <v>0</v>
      </c>
      <c r="G352" s="4">
        <v>0</v>
      </c>
      <c r="H352" s="6">
        <v>31.579288999999999</v>
      </c>
      <c r="I352" s="6">
        <v>38.267287000000003</v>
      </c>
      <c r="J352" s="6">
        <v>26.542231999999998</v>
      </c>
      <c r="K352" s="7">
        <f t="shared" si="10"/>
        <v>1.673543</v>
      </c>
      <c r="L352" s="8">
        <f t="shared" si="11"/>
        <v>32.129602666666663</v>
      </c>
      <c r="M352" s="9">
        <v>5.9702049122831505E-7</v>
      </c>
      <c r="N352" s="9">
        <v>7.2503509560145703E-6</v>
      </c>
      <c r="O352" s="2">
        <v>4.6687385276032796</v>
      </c>
      <c r="P352" t="s">
        <v>1464</v>
      </c>
      <c r="Q352" s="10">
        <f>IF(N352&lt;='[1]statistical criteria'!$B$2,IF(O352&gt;=LOG('[1]statistical criteria'!$B$3,2),1,IF(O352&lt;=-1*LOG('[1]statistical criteria'!$B$3,2),2,"-")),"-")</f>
        <v>1</v>
      </c>
      <c r="R352" t="s">
        <v>1466</v>
      </c>
      <c r="S352" t="s">
        <v>1467</v>
      </c>
      <c r="T352">
        <v>0</v>
      </c>
      <c r="U352" t="s">
        <v>1468</v>
      </c>
    </row>
    <row r="353" spans="1:21" x14ac:dyDescent="0.35">
      <c r="A353" t="s">
        <v>1469</v>
      </c>
      <c r="B353" t="s">
        <v>1470</v>
      </c>
      <c r="C353">
        <v>858</v>
      </c>
      <c r="D353" s="4">
        <v>0</v>
      </c>
      <c r="E353" s="4">
        <v>0</v>
      </c>
      <c r="F353" s="4">
        <v>0</v>
      </c>
      <c r="G353" s="4">
        <v>0</v>
      </c>
      <c r="H353" s="6">
        <v>0.94259199999999999</v>
      </c>
      <c r="I353" s="6">
        <v>12.615506999999999</v>
      </c>
      <c r="J353" s="6">
        <v>16.330836000000001</v>
      </c>
      <c r="K353" s="7">
        <f t="shared" si="10"/>
        <v>0</v>
      </c>
      <c r="L353" s="8">
        <f t="shared" si="11"/>
        <v>9.9629783333333339</v>
      </c>
      <c r="M353" s="9">
        <v>3.2870635289668399E-7</v>
      </c>
      <c r="N353" s="9">
        <v>4.2236879781390304E-6</v>
      </c>
      <c r="O353" s="2">
        <v>4.6649538827835597</v>
      </c>
      <c r="P353" t="s">
        <v>1469</v>
      </c>
      <c r="Q353" s="10">
        <f>IF(N353&lt;='[1]statistical criteria'!$B$2,IF(O353&gt;=LOG('[1]statistical criteria'!$B$3,2),1,IF(O353&lt;=-1*LOG('[1]statistical criteria'!$B$3,2),2,"-")),"-")</f>
        <v>1</v>
      </c>
      <c r="R353" t="s">
        <v>1471</v>
      </c>
      <c r="S353" t="s">
        <v>1472</v>
      </c>
      <c r="T353" s="9">
        <v>8.9999999999999995E-91</v>
      </c>
      <c r="U353" t="s">
        <v>1473</v>
      </c>
    </row>
    <row r="354" spans="1:21" x14ac:dyDescent="0.35">
      <c r="A354" t="s">
        <v>1474</v>
      </c>
      <c r="B354" t="s">
        <v>1475</v>
      </c>
      <c r="C354">
        <v>1524</v>
      </c>
      <c r="D354" s="4">
        <v>0</v>
      </c>
      <c r="E354" s="4">
        <v>0</v>
      </c>
      <c r="F354" s="4">
        <v>0</v>
      </c>
      <c r="G354" s="5">
        <v>0.91898199999999997</v>
      </c>
      <c r="H354" s="6">
        <v>10.167685000000001</v>
      </c>
      <c r="I354" s="6">
        <v>8.763636</v>
      </c>
      <c r="J354" s="6">
        <v>6.9431690000000001</v>
      </c>
      <c r="K354" s="7">
        <f t="shared" si="10"/>
        <v>0.22974549999999999</v>
      </c>
      <c r="L354" s="8">
        <f t="shared" si="11"/>
        <v>8.6248300000000011</v>
      </c>
      <c r="M354" s="9">
        <v>1.2382974649245399E-7</v>
      </c>
      <c r="N354" s="9">
        <v>1.7347015803396099E-6</v>
      </c>
      <c r="O354" s="2">
        <v>4.6634246692203902</v>
      </c>
      <c r="P354" t="s">
        <v>1474</v>
      </c>
      <c r="Q354" s="10">
        <f>IF(N354&lt;='[1]statistical criteria'!$B$2,IF(O354&gt;=LOG('[1]statistical criteria'!$B$3,2),1,IF(O354&lt;=-1*LOG('[1]statistical criteria'!$B$3,2),2,"-")),"-")</f>
        <v>1</v>
      </c>
      <c r="R354" t="s">
        <v>1476</v>
      </c>
      <c r="S354" t="s">
        <v>1477</v>
      </c>
      <c r="T354">
        <v>0</v>
      </c>
      <c r="U354" t="s">
        <v>982</v>
      </c>
    </row>
    <row r="355" spans="1:21" x14ac:dyDescent="0.35">
      <c r="A355" t="s">
        <v>1478</v>
      </c>
      <c r="B355" t="s">
        <v>1479</v>
      </c>
      <c r="C355">
        <v>789</v>
      </c>
      <c r="D355" s="4">
        <v>0</v>
      </c>
      <c r="E355" s="4">
        <v>0</v>
      </c>
      <c r="F355" s="4">
        <v>0</v>
      </c>
      <c r="G355" s="4">
        <v>0</v>
      </c>
      <c r="H355" s="6">
        <v>3.0805440000000002</v>
      </c>
      <c r="I355" s="6">
        <v>25.301542000000001</v>
      </c>
      <c r="J355" s="6">
        <v>2.5571190000000001</v>
      </c>
      <c r="K355" s="7">
        <f t="shared" si="10"/>
        <v>0</v>
      </c>
      <c r="L355" s="8">
        <f t="shared" si="11"/>
        <v>10.313068333333334</v>
      </c>
      <c r="M355" s="9">
        <v>1.09631768226223E-7</v>
      </c>
      <c r="N355" s="9">
        <v>1.56042823436426E-6</v>
      </c>
      <c r="O355" s="2">
        <v>4.6610603845074596</v>
      </c>
      <c r="P355" t="s">
        <v>1478</v>
      </c>
      <c r="Q355" s="10">
        <f>IF(N355&lt;='[1]statistical criteria'!$B$2,IF(O355&gt;=LOG('[1]statistical criteria'!$B$3,2),1,IF(O355&lt;=-1*LOG('[1]statistical criteria'!$B$3,2),2,"-")),"-")</f>
        <v>1</v>
      </c>
      <c r="R355" t="s">
        <v>1480</v>
      </c>
      <c r="S355" t="s">
        <v>1481</v>
      </c>
      <c r="T355" s="9">
        <v>1.9999999999999999E-23</v>
      </c>
      <c r="U355" t="s">
        <v>61</v>
      </c>
    </row>
    <row r="356" spans="1:21" x14ac:dyDescent="0.35">
      <c r="A356" t="s">
        <v>1482</v>
      </c>
      <c r="B356" t="s">
        <v>1483</v>
      </c>
      <c r="C356">
        <v>1908</v>
      </c>
      <c r="D356" s="4">
        <v>0</v>
      </c>
      <c r="E356" s="4">
        <v>0</v>
      </c>
      <c r="F356" s="4">
        <v>0</v>
      </c>
      <c r="G356" s="4">
        <v>0</v>
      </c>
      <c r="H356" s="6">
        <v>2.5264030000000002</v>
      </c>
      <c r="I356" s="6">
        <v>3.6907160000000001</v>
      </c>
      <c r="J356" s="6">
        <v>5.5448490000000001</v>
      </c>
      <c r="K356" s="7">
        <f t="shared" si="10"/>
        <v>0</v>
      </c>
      <c r="L356" s="8">
        <f t="shared" si="11"/>
        <v>3.9206559999999997</v>
      </c>
      <c r="M356" s="9">
        <v>2.3980470869711198E-7</v>
      </c>
      <c r="N356" s="9">
        <v>3.1779133750042E-6</v>
      </c>
      <c r="O356" s="2">
        <v>4.6578899043085897</v>
      </c>
      <c r="P356" t="s">
        <v>1482</v>
      </c>
      <c r="Q356" s="10">
        <f>IF(N356&lt;='[1]statistical criteria'!$B$2,IF(O356&gt;=LOG('[1]statistical criteria'!$B$3,2),1,IF(O356&lt;=-1*LOG('[1]statistical criteria'!$B$3,2),2,"-")),"-")</f>
        <v>1</v>
      </c>
      <c r="R356" t="s">
        <v>1484</v>
      </c>
      <c r="S356" t="s">
        <v>1485</v>
      </c>
      <c r="T356" s="9">
        <v>4.0000000000000002E-108</v>
      </c>
      <c r="U356" t="s">
        <v>294</v>
      </c>
    </row>
    <row r="357" spans="1:21" x14ac:dyDescent="0.35">
      <c r="A357" t="s">
        <v>1486</v>
      </c>
      <c r="B357" t="s">
        <v>1487</v>
      </c>
      <c r="C357">
        <v>676</v>
      </c>
      <c r="D357" s="4">
        <v>0</v>
      </c>
      <c r="E357" s="4">
        <v>0</v>
      </c>
      <c r="F357" s="4">
        <v>0</v>
      </c>
      <c r="G357" s="5">
        <v>1.3940349999999999</v>
      </c>
      <c r="H357" s="6">
        <v>17.112794000000001</v>
      </c>
      <c r="I357" s="6">
        <v>23.082097000000001</v>
      </c>
      <c r="J357" s="6">
        <v>11.415737999999999</v>
      </c>
      <c r="K357" s="7">
        <f t="shared" si="10"/>
        <v>0.34850874999999998</v>
      </c>
      <c r="L357" s="8">
        <f t="shared" si="11"/>
        <v>17.203543</v>
      </c>
      <c r="M357" s="9">
        <v>7.5002581651751602E-7</v>
      </c>
      <c r="N357" s="9">
        <v>8.9457795602183206E-6</v>
      </c>
      <c r="O357" s="2">
        <v>4.6542079748489602</v>
      </c>
      <c r="P357" t="s">
        <v>1486</v>
      </c>
      <c r="Q357" s="10">
        <f>IF(N357&lt;='[1]statistical criteria'!$B$2,IF(O357&gt;=LOG('[1]statistical criteria'!$B$3,2),1,IF(O357&lt;=-1*LOG('[1]statistical criteria'!$B$3,2),2,"-")),"-")</f>
        <v>1</v>
      </c>
      <c r="R357" t="s">
        <v>436</v>
      </c>
      <c r="S357" t="s">
        <v>1270</v>
      </c>
      <c r="T357" s="9">
        <v>1E-52</v>
      </c>
      <c r="U357" t="s">
        <v>443</v>
      </c>
    </row>
    <row r="358" spans="1:21" x14ac:dyDescent="0.35">
      <c r="A358" t="s">
        <v>1488</v>
      </c>
      <c r="B358" t="s">
        <v>1489</v>
      </c>
      <c r="C358">
        <v>849</v>
      </c>
      <c r="D358" s="4">
        <v>0</v>
      </c>
      <c r="E358" s="4">
        <v>0</v>
      </c>
      <c r="F358" s="4">
        <v>0</v>
      </c>
      <c r="G358" s="4">
        <v>0</v>
      </c>
      <c r="H358" s="6">
        <v>11.971022</v>
      </c>
      <c r="I358" s="6">
        <v>7.4541360000000001</v>
      </c>
      <c r="J358" s="6">
        <v>3.9355340000000001</v>
      </c>
      <c r="K358" s="7">
        <f t="shared" si="10"/>
        <v>0</v>
      </c>
      <c r="L358" s="8">
        <f t="shared" si="11"/>
        <v>7.7868973333333331</v>
      </c>
      <c r="M358" s="9">
        <v>4.8529290286052103E-9</v>
      </c>
      <c r="N358" s="9">
        <v>9.2397438133423906E-8</v>
      </c>
      <c r="O358" s="2">
        <v>4.6520467504137404</v>
      </c>
      <c r="P358" t="s">
        <v>1488</v>
      </c>
      <c r="Q358" s="10">
        <f>IF(N358&lt;='[1]statistical criteria'!$B$2,IF(O358&gt;=LOG('[1]statistical criteria'!$B$3,2),1,IF(O358&lt;=-1*LOG('[1]statistical criteria'!$B$3,2),2,"-")),"-")</f>
        <v>1</v>
      </c>
      <c r="R358" t="s">
        <v>1490</v>
      </c>
      <c r="S358" t="s">
        <v>1491</v>
      </c>
      <c r="T358" s="9">
        <v>6E-52</v>
      </c>
      <c r="U358" t="s">
        <v>1492</v>
      </c>
    </row>
    <row r="359" spans="1:21" x14ac:dyDescent="0.35">
      <c r="A359" t="s">
        <v>1493</v>
      </c>
      <c r="B359" t="s">
        <v>1494</v>
      </c>
      <c r="C359">
        <v>1242</v>
      </c>
      <c r="D359" s="4">
        <v>0</v>
      </c>
      <c r="E359" s="4">
        <v>0</v>
      </c>
      <c r="F359" s="5">
        <v>2.4254009999999999</v>
      </c>
      <c r="G359" s="4">
        <v>0</v>
      </c>
      <c r="H359" s="6">
        <v>8.3764959999999995</v>
      </c>
      <c r="I359" s="6">
        <v>10.573204</v>
      </c>
      <c r="J359" s="6">
        <v>17.560137999999998</v>
      </c>
      <c r="K359" s="7">
        <f t="shared" si="10"/>
        <v>0.60635024999999998</v>
      </c>
      <c r="L359" s="8">
        <f t="shared" si="11"/>
        <v>12.169946000000001</v>
      </c>
      <c r="M359" s="9">
        <v>8.5394890891928904E-7</v>
      </c>
      <c r="N359" s="9">
        <v>9.9789055798182799E-6</v>
      </c>
      <c r="O359" s="2">
        <v>4.65034976468751</v>
      </c>
      <c r="P359" t="s">
        <v>1493</v>
      </c>
      <c r="Q359" s="10">
        <f>IF(N359&lt;='[1]statistical criteria'!$B$2,IF(O359&gt;=LOG('[1]statistical criteria'!$B$3,2),1,IF(O359&lt;=-1*LOG('[1]statistical criteria'!$B$3,2),2,"-")),"-")</f>
        <v>1</v>
      </c>
      <c r="R359" t="s">
        <v>1495</v>
      </c>
      <c r="S359" t="s">
        <v>1496</v>
      </c>
      <c r="T359">
        <v>0</v>
      </c>
      <c r="U359" t="s">
        <v>1497</v>
      </c>
    </row>
    <row r="360" spans="1:21" x14ac:dyDescent="0.35">
      <c r="A360" t="s">
        <v>1498</v>
      </c>
      <c r="B360" t="s">
        <v>1499</v>
      </c>
      <c r="C360">
        <v>1017</v>
      </c>
      <c r="D360" s="4">
        <v>0</v>
      </c>
      <c r="E360" s="4">
        <v>0</v>
      </c>
      <c r="F360" s="4">
        <v>0</v>
      </c>
      <c r="G360" s="4">
        <v>0</v>
      </c>
      <c r="H360" s="6">
        <v>5.0804150000000003</v>
      </c>
      <c r="I360" s="6">
        <v>1.429494</v>
      </c>
      <c r="J360" s="6">
        <v>5.5254719999999997</v>
      </c>
      <c r="K360" s="7">
        <f t="shared" si="10"/>
        <v>0</v>
      </c>
      <c r="L360" s="8">
        <f t="shared" si="11"/>
        <v>4.0117936666666667</v>
      </c>
      <c r="M360" s="9">
        <v>2.79851790771135E-9</v>
      </c>
      <c r="N360" s="9">
        <v>5.5706899355383798E-8</v>
      </c>
      <c r="O360" s="2">
        <v>4.6455976962628496</v>
      </c>
      <c r="P360" t="s">
        <v>1498</v>
      </c>
      <c r="Q360" s="10">
        <f>IF(N360&lt;='[1]statistical criteria'!$B$2,IF(O360&gt;=LOG('[1]statistical criteria'!$B$3,2),1,IF(O360&lt;=-1*LOG('[1]statistical criteria'!$B$3,2),2,"-")),"-")</f>
        <v>1</v>
      </c>
      <c r="R360" t="s">
        <v>861</v>
      </c>
    </row>
    <row r="361" spans="1:21" x14ac:dyDescent="0.35">
      <c r="A361" t="s">
        <v>118</v>
      </c>
      <c r="B361" t="s">
        <v>119</v>
      </c>
      <c r="C361">
        <v>730</v>
      </c>
      <c r="D361" s="4">
        <v>0</v>
      </c>
      <c r="E361" s="4">
        <v>0</v>
      </c>
      <c r="F361" s="4">
        <v>0</v>
      </c>
      <c r="G361" s="4">
        <v>0</v>
      </c>
      <c r="H361" s="6">
        <v>7.4883290000000002</v>
      </c>
      <c r="I361" s="6">
        <v>5.5811310000000001</v>
      </c>
      <c r="J361" s="6">
        <v>7.2900169999999997</v>
      </c>
      <c r="K361" s="7">
        <f t="shared" si="10"/>
        <v>0</v>
      </c>
      <c r="L361" s="8">
        <f t="shared" si="11"/>
        <v>6.7864923333333325</v>
      </c>
      <c r="M361" s="9">
        <v>4.9350101794294199E-8</v>
      </c>
      <c r="N361" s="9">
        <v>7.6695176573737698E-7</v>
      </c>
      <c r="O361" s="2">
        <v>4.6434829193890499</v>
      </c>
      <c r="P361" t="s">
        <v>118</v>
      </c>
      <c r="Q361" s="10">
        <f>IF(N361&lt;='[1]statistical criteria'!$B$2,IF(O361&gt;=LOG('[1]statistical criteria'!$B$3,2),1,IF(O361&lt;=-1*LOG('[1]statistical criteria'!$B$3,2),2,"-")),"-")</f>
        <v>1</v>
      </c>
      <c r="S361" t="s">
        <v>120</v>
      </c>
      <c r="T361" s="9">
        <v>4.0000000000000003E-18</v>
      </c>
      <c r="U361" t="s">
        <v>61</v>
      </c>
    </row>
    <row r="362" spans="1:21" x14ac:dyDescent="0.35">
      <c r="A362" t="s">
        <v>1500</v>
      </c>
      <c r="B362" t="s">
        <v>1501</v>
      </c>
      <c r="C362">
        <v>1059</v>
      </c>
      <c r="D362" s="5">
        <v>0.84263600000000005</v>
      </c>
      <c r="E362" s="4">
        <v>0</v>
      </c>
      <c r="F362" s="4">
        <v>0</v>
      </c>
      <c r="G362" s="4">
        <v>0</v>
      </c>
      <c r="H362" s="6">
        <v>11.026771</v>
      </c>
      <c r="I362" s="6">
        <v>7.1100149999999998</v>
      </c>
      <c r="J362" s="6">
        <v>8.9118589999999998</v>
      </c>
      <c r="K362" s="7">
        <f t="shared" si="10"/>
        <v>0.21065900000000001</v>
      </c>
      <c r="L362" s="8">
        <f t="shared" si="11"/>
        <v>9.0162150000000008</v>
      </c>
      <c r="M362" s="9">
        <v>5.1772101846736E-8</v>
      </c>
      <c r="N362" s="9">
        <v>8.0132012862414503E-7</v>
      </c>
      <c r="O362" s="2">
        <v>4.6433959151801201</v>
      </c>
      <c r="P362" t="s">
        <v>1500</v>
      </c>
      <c r="Q362" s="10">
        <f>IF(N362&lt;='[1]statistical criteria'!$B$2,IF(O362&gt;=LOG('[1]statistical criteria'!$B$3,2),1,IF(O362&lt;=-1*LOG('[1]statistical criteria'!$B$3,2),2,"-")),"-")</f>
        <v>1</v>
      </c>
      <c r="R362" t="s">
        <v>1502</v>
      </c>
      <c r="S362" t="s">
        <v>1503</v>
      </c>
      <c r="T362" s="9">
        <v>8.0000000000000003E-83</v>
      </c>
      <c r="U362" t="s">
        <v>1504</v>
      </c>
    </row>
    <row r="363" spans="1:21" x14ac:dyDescent="0.35">
      <c r="A363" t="s">
        <v>1505</v>
      </c>
      <c r="B363" t="s">
        <v>1506</v>
      </c>
      <c r="C363">
        <v>2574</v>
      </c>
      <c r="D363" s="4">
        <v>0</v>
      </c>
      <c r="E363" s="4">
        <v>0</v>
      </c>
      <c r="F363" s="4">
        <v>0</v>
      </c>
      <c r="G363" s="4">
        <v>0</v>
      </c>
      <c r="H363" s="6">
        <v>1.012027</v>
      </c>
      <c r="I363" s="6">
        <v>4.2682390000000003</v>
      </c>
      <c r="J363" s="6">
        <v>2.7440820000000001</v>
      </c>
      <c r="K363" s="7">
        <f t="shared" si="10"/>
        <v>0</v>
      </c>
      <c r="L363" s="8">
        <f t="shared" si="11"/>
        <v>2.6747826666666668</v>
      </c>
      <c r="M363" s="9">
        <v>7.0917962589626697E-7</v>
      </c>
      <c r="N363" s="9">
        <v>8.4825193468296402E-6</v>
      </c>
      <c r="O363" s="2">
        <v>4.6405918930960999</v>
      </c>
      <c r="P363" t="s">
        <v>1505</v>
      </c>
      <c r="Q363" s="10">
        <f>IF(N363&lt;='[1]statistical criteria'!$B$2,IF(O363&gt;=LOG('[1]statistical criteria'!$B$3,2),1,IF(O363&lt;=-1*LOG('[1]statistical criteria'!$B$3,2),2,"-")),"-")</f>
        <v>1</v>
      </c>
      <c r="R363" t="s">
        <v>1507</v>
      </c>
      <c r="S363" t="s">
        <v>1508</v>
      </c>
      <c r="T363">
        <v>0</v>
      </c>
      <c r="U363" t="s">
        <v>386</v>
      </c>
    </row>
    <row r="364" spans="1:21" x14ac:dyDescent="0.35">
      <c r="A364" t="s">
        <v>1509</v>
      </c>
      <c r="B364" t="s">
        <v>1510</v>
      </c>
      <c r="C364">
        <v>993</v>
      </c>
      <c r="D364" s="4">
        <v>0</v>
      </c>
      <c r="E364" s="4">
        <v>0</v>
      </c>
      <c r="F364" s="5">
        <v>0.94103199999999998</v>
      </c>
      <c r="G364" s="5">
        <v>1.0402359999999999</v>
      </c>
      <c r="H364" s="6">
        <v>25.582004000000001</v>
      </c>
      <c r="I364" s="6">
        <v>37.511358000000001</v>
      </c>
      <c r="J364" s="6">
        <v>17.306224</v>
      </c>
      <c r="K364" s="7">
        <f t="shared" si="10"/>
        <v>0.49531700000000001</v>
      </c>
      <c r="L364" s="8">
        <f t="shared" si="11"/>
        <v>26.799862000000001</v>
      </c>
      <c r="M364" s="9">
        <v>8.8689721119110003E-7</v>
      </c>
      <c r="N364" s="9">
        <v>1.03195682842963E-5</v>
      </c>
      <c r="O364" s="2">
        <v>4.6398270786845597</v>
      </c>
      <c r="P364" t="s">
        <v>1509</v>
      </c>
      <c r="Q364" s="10">
        <f>IF(N364&lt;='[1]statistical criteria'!$B$2,IF(O364&gt;=LOG('[1]statistical criteria'!$B$3,2),1,IF(O364&lt;=-1*LOG('[1]statistical criteria'!$B$3,2),2,"-")),"-")</f>
        <v>1</v>
      </c>
      <c r="R364" t="s">
        <v>1511</v>
      </c>
      <c r="S364" t="s">
        <v>1512</v>
      </c>
      <c r="T364" s="9">
        <v>6.0000000000000002E-120</v>
      </c>
      <c r="U364" t="s">
        <v>1513</v>
      </c>
    </row>
    <row r="365" spans="1:21" x14ac:dyDescent="0.35">
      <c r="A365" t="s">
        <v>1514</v>
      </c>
      <c r="B365" t="s">
        <v>1515</v>
      </c>
      <c r="C365">
        <v>2952</v>
      </c>
      <c r="D365" s="5">
        <v>0.161769</v>
      </c>
      <c r="E365" s="4">
        <v>0</v>
      </c>
      <c r="F365" s="5">
        <v>1.5920319999999999</v>
      </c>
      <c r="G365" s="5">
        <v>0.44983499999999998</v>
      </c>
      <c r="H365" s="6">
        <v>22.175332000000001</v>
      </c>
      <c r="I365" s="6">
        <v>17.169991</v>
      </c>
      <c r="J365" s="6">
        <v>23.819998999999999</v>
      </c>
      <c r="K365" s="7">
        <f t="shared" si="10"/>
        <v>0.55090899999999998</v>
      </c>
      <c r="L365" s="8">
        <f t="shared" si="11"/>
        <v>21.055107333333336</v>
      </c>
      <c r="M365" s="9">
        <v>2.31459167111792E-7</v>
      </c>
      <c r="N365" s="9">
        <v>3.0758854400400898E-6</v>
      </c>
      <c r="O365" s="2">
        <v>4.6292203217727597</v>
      </c>
      <c r="P365" t="s">
        <v>1514</v>
      </c>
      <c r="Q365" s="10">
        <f>IF(N365&lt;='[1]statistical criteria'!$B$2,IF(O365&gt;=LOG('[1]statistical criteria'!$B$3,2),1,IF(O365&lt;=-1*LOG('[1]statistical criteria'!$B$3,2),2,"-")),"-")</f>
        <v>1</v>
      </c>
      <c r="R365" t="s">
        <v>606</v>
      </c>
      <c r="S365" t="s">
        <v>607</v>
      </c>
      <c r="T365">
        <v>0</v>
      </c>
      <c r="U365" t="s">
        <v>608</v>
      </c>
    </row>
    <row r="366" spans="1:21" x14ac:dyDescent="0.35">
      <c r="A366" t="s">
        <v>1516</v>
      </c>
      <c r="B366" t="s">
        <v>1517</v>
      </c>
      <c r="C366">
        <v>843</v>
      </c>
      <c r="D366" s="4">
        <v>0</v>
      </c>
      <c r="E366" s="4">
        <v>0</v>
      </c>
      <c r="F366" s="4">
        <v>0</v>
      </c>
      <c r="G366" s="5">
        <v>1.0453159999999999</v>
      </c>
      <c r="H366" s="6">
        <v>12.013944</v>
      </c>
      <c r="I366" s="6">
        <v>10.921747999999999</v>
      </c>
      <c r="J366" s="6">
        <v>23.033809999999999</v>
      </c>
      <c r="K366" s="7">
        <f t="shared" si="10"/>
        <v>0.26132899999999998</v>
      </c>
      <c r="L366" s="8">
        <f t="shared" si="11"/>
        <v>15.323167333333332</v>
      </c>
      <c r="M366" s="9">
        <v>9.8270702690458896E-6</v>
      </c>
      <c r="N366" s="9">
        <v>8.8903801863533796E-5</v>
      </c>
      <c r="O366" s="2">
        <v>4.6282192937721502</v>
      </c>
      <c r="P366" t="s">
        <v>1516</v>
      </c>
      <c r="Q366" s="10">
        <f>IF(N366&lt;='[1]statistical criteria'!$B$2,IF(O366&gt;=LOG('[1]statistical criteria'!$B$3,2),1,IF(O366&lt;=-1*LOG('[1]statistical criteria'!$B$3,2),2,"-")),"-")</f>
        <v>1</v>
      </c>
      <c r="R366" t="s">
        <v>1518</v>
      </c>
    </row>
    <row r="367" spans="1:21" x14ac:dyDescent="0.35">
      <c r="A367" t="s">
        <v>1519</v>
      </c>
      <c r="B367" t="s">
        <v>1520</v>
      </c>
      <c r="C367">
        <v>3291</v>
      </c>
      <c r="D367" s="4">
        <v>0</v>
      </c>
      <c r="E367" s="4">
        <v>0</v>
      </c>
      <c r="F367" s="5">
        <v>0.54043399999999997</v>
      </c>
      <c r="G367" s="4">
        <v>0</v>
      </c>
      <c r="H367" s="6">
        <v>4.2321229999999996</v>
      </c>
      <c r="I367" s="6">
        <v>5.5223409999999999</v>
      </c>
      <c r="J367" s="6">
        <v>2.9411350000000001</v>
      </c>
      <c r="K367" s="7">
        <f t="shared" si="10"/>
        <v>0.13510849999999999</v>
      </c>
      <c r="L367" s="8">
        <f t="shared" si="11"/>
        <v>4.2318663333333326</v>
      </c>
      <c r="M367" s="9">
        <v>3.03444516085378E-7</v>
      </c>
      <c r="N367" s="9">
        <v>3.9315648752439899E-6</v>
      </c>
      <c r="O367" s="2">
        <v>4.6273687448345902</v>
      </c>
      <c r="P367" t="s">
        <v>1519</v>
      </c>
      <c r="Q367" s="10">
        <f>IF(N367&lt;='[1]statistical criteria'!$B$2,IF(O367&gt;=LOG('[1]statistical criteria'!$B$3,2),1,IF(O367&lt;=-1*LOG('[1]statistical criteria'!$B$3,2),2,"-")),"-")</f>
        <v>1</v>
      </c>
      <c r="R367" t="s">
        <v>1521</v>
      </c>
      <c r="S367" t="s">
        <v>1522</v>
      </c>
      <c r="T367">
        <v>0</v>
      </c>
      <c r="U367" t="s">
        <v>1523</v>
      </c>
    </row>
    <row r="368" spans="1:21" x14ac:dyDescent="0.35">
      <c r="A368" t="s">
        <v>1524</v>
      </c>
      <c r="B368" t="s">
        <v>1525</v>
      </c>
      <c r="C368">
        <v>1281</v>
      </c>
      <c r="D368" s="4">
        <v>0</v>
      </c>
      <c r="E368" s="4">
        <v>0</v>
      </c>
      <c r="F368" s="4">
        <v>0</v>
      </c>
      <c r="G368" s="4">
        <v>0</v>
      </c>
      <c r="H368" s="6">
        <v>4.4730590000000001</v>
      </c>
      <c r="I368" s="6">
        <v>4.3299329999999996</v>
      </c>
      <c r="J368" s="6">
        <v>5.379308</v>
      </c>
      <c r="K368" s="7">
        <f t="shared" si="10"/>
        <v>0</v>
      </c>
      <c r="L368" s="8">
        <f t="shared" si="11"/>
        <v>4.7274333333333329</v>
      </c>
      <c r="M368" s="9">
        <v>1.2640503054401801E-6</v>
      </c>
      <c r="N368" s="9">
        <v>1.4187482932778901E-5</v>
      </c>
      <c r="O368" s="2">
        <v>4.6213200051175596</v>
      </c>
      <c r="P368" t="s">
        <v>1524</v>
      </c>
      <c r="Q368" s="10">
        <f>IF(N368&lt;='[1]statistical criteria'!$B$2,IF(O368&gt;=LOG('[1]statistical criteria'!$B$3,2),1,IF(O368&lt;=-1*LOG('[1]statistical criteria'!$B$3,2),2,"-")),"-")</f>
        <v>1</v>
      </c>
      <c r="R368" t="s">
        <v>1526</v>
      </c>
      <c r="S368" t="s">
        <v>1527</v>
      </c>
      <c r="T368" s="9">
        <v>4.9999999999999999E-148</v>
      </c>
      <c r="U368" t="s">
        <v>1528</v>
      </c>
    </row>
    <row r="369" spans="1:21" x14ac:dyDescent="0.35">
      <c r="A369" t="s">
        <v>1529</v>
      </c>
      <c r="B369" t="s">
        <v>1530</v>
      </c>
      <c r="C369">
        <v>2223</v>
      </c>
      <c r="D369" s="4">
        <v>0</v>
      </c>
      <c r="E369" s="4">
        <v>0</v>
      </c>
      <c r="F369" s="4">
        <v>0</v>
      </c>
      <c r="G369" s="4">
        <v>0</v>
      </c>
      <c r="H369" s="6">
        <v>3.8982920000000001</v>
      </c>
      <c r="I369" s="6">
        <v>1.9018809999999999</v>
      </c>
      <c r="J369" s="6">
        <v>2.2238039999999999</v>
      </c>
      <c r="K369" s="7">
        <f t="shared" si="10"/>
        <v>0</v>
      </c>
      <c r="L369" s="8">
        <f t="shared" si="11"/>
        <v>2.6746590000000001</v>
      </c>
      <c r="M369" s="9">
        <v>7.7604126668593495E-7</v>
      </c>
      <c r="N369" s="9">
        <v>9.2041541321491692E-6</v>
      </c>
      <c r="O369" s="2">
        <v>4.6189309253696802</v>
      </c>
      <c r="P369" t="s">
        <v>1529</v>
      </c>
      <c r="Q369" s="10">
        <f>IF(N369&lt;='[1]statistical criteria'!$B$2,IF(O369&gt;=LOG('[1]statistical criteria'!$B$3,2),1,IF(O369&lt;=-1*LOG('[1]statistical criteria'!$B$3,2),2,"-")),"-")</f>
        <v>1</v>
      </c>
      <c r="R369" t="s">
        <v>1531</v>
      </c>
      <c r="S369" t="s">
        <v>1532</v>
      </c>
      <c r="T369">
        <v>0</v>
      </c>
      <c r="U369" t="s">
        <v>1533</v>
      </c>
    </row>
    <row r="370" spans="1:21" x14ac:dyDescent="0.35">
      <c r="A370" t="s">
        <v>1534</v>
      </c>
      <c r="B370" t="s">
        <v>1535</v>
      </c>
      <c r="C370">
        <v>303</v>
      </c>
      <c r="D370" s="5">
        <v>1.9252370000000001</v>
      </c>
      <c r="E370" s="4">
        <v>0</v>
      </c>
      <c r="F370" s="4">
        <v>0</v>
      </c>
      <c r="G370" s="4">
        <v>0</v>
      </c>
      <c r="H370" s="6">
        <v>41.476438999999999</v>
      </c>
      <c r="I370" s="6">
        <v>68.714820000000003</v>
      </c>
      <c r="J370" s="6">
        <v>50.825034000000002</v>
      </c>
      <c r="K370" s="7">
        <f t="shared" si="10"/>
        <v>0.48130925000000002</v>
      </c>
      <c r="L370" s="8">
        <f t="shared" si="11"/>
        <v>53.672097666666673</v>
      </c>
      <c r="M370" s="9">
        <v>9.4962353743889395E-7</v>
      </c>
      <c r="N370" s="9">
        <v>1.09989871682667E-5</v>
      </c>
      <c r="O370" s="2">
        <v>4.6142242248115801</v>
      </c>
      <c r="P370" t="s">
        <v>1534</v>
      </c>
      <c r="Q370" s="10">
        <f>IF(N370&lt;='[1]statistical criteria'!$B$2,IF(O370&gt;=LOG('[1]statistical criteria'!$B$3,2),1,IF(O370&lt;=-1*LOG('[1]statistical criteria'!$B$3,2),2,"-")),"-")</f>
        <v>1</v>
      </c>
      <c r="S370" t="s">
        <v>1536</v>
      </c>
      <c r="T370" s="9">
        <v>2.0000000000000001E-59</v>
      </c>
      <c r="U370" t="s">
        <v>1537</v>
      </c>
    </row>
    <row r="371" spans="1:21" x14ac:dyDescent="0.35">
      <c r="A371" t="s">
        <v>1538</v>
      </c>
      <c r="B371" t="s">
        <v>1539</v>
      </c>
      <c r="C371">
        <v>1548</v>
      </c>
      <c r="D371" s="4">
        <v>0</v>
      </c>
      <c r="E371" s="4">
        <v>0</v>
      </c>
      <c r="F371" s="4">
        <v>0</v>
      </c>
      <c r="G371" s="4">
        <v>0</v>
      </c>
      <c r="H371" s="6">
        <v>9.5207569999999997</v>
      </c>
      <c r="I371" s="6">
        <v>1.0839019999999999</v>
      </c>
      <c r="J371" s="6">
        <v>2.7675809999999998</v>
      </c>
      <c r="K371" s="7">
        <f t="shared" si="10"/>
        <v>0</v>
      </c>
      <c r="L371" s="8">
        <f t="shared" si="11"/>
        <v>4.4574133333333332</v>
      </c>
      <c r="M371" s="9">
        <v>1.0324980891312601E-6</v>
      </c>
      <c r="N371" s="9">
        <v>1.18399750745211E-5</v>
      </c>
      <c r="O371" s="2">
        <v>4.6067598291339298</v>
      </c>
      <c r="P371" t="s">
        <v>1538</v>
      </c>
      <c r="Q371" s="10">
        <f>IF(N371&lt;='[1]statistical criteria'!$B$2,IF(O371&gt;=LOG('[1]statistical criteria'!$B$3,2),1,IF(O371&lt;=-1*LOG('[1]statistical criteria'!$B$3,2),2,"-")),"-")</f>
        <v>1</v>
      </c>
      <c r="R371" t="s">
        <v>1540</v>
      </c>
      <c r="S371" t="s">
        <v>1541</v>
      </c>
      <c r="T371" s="9">
        <v>4E-160</v>
      </c>
      <c r="U371" t="s">
        <v>1542</v>
      </c>
    </row>
    <row r="372" spans="1:21" x14ac:dyDescent="0.35">
      <c r="A372" t="s">
        <v>1543</v>
      </c>
      <c r="B372" t="s">
        <v>1544</v>
      </c>
      <c r="C372">
        <v>498</v>
      </c>
      <c r="D372" s="4">
        <v>0</v>
      </c>
      <c r="E372" s="4">
        <v>0</v>
      </c>
      <c r="F372" s="5">
        <v>0.44284000000000001</v>
      </c>
      <c r="G372" s="4">
        <v>0</v>
      </c>
      <c r="H372" s="6">
        <v>20.504207999999998</v>
      </c>
      <c r="I372" s="6">
        <v>29.116889</v>
      </c>
      <c r="J372" s="6">
        <v>12.454003999999999</v>
      </c>
      <c r="K372" s="7">
        <f t="shared" si="10"/>
        <v>0.11071</v>
      </c>
      <c r="L372" s="8">
        <f t="shared" si="11"/>
        <v>20.691700333333333</v>
      </c>
      <c r="M372" s="9">
        <v>1.23850302556912E-8</v>
      </c>
      <c r="N372" s="9">
        <v>2.17629442795761E-7</v>
      </c>
      <c r="O372" s="2">
        <v>4.5978854440844898</v>
      </c>
      <c r="P372" t="s">
        <v>1543</v>
      </c>
      <c r="Q372" s="10">
        <f>IF(N372&lt;='[1]statistical criteria'!$B$2,IF(O372&gt;=LOG('[1]statistical criteria'!$B$3,2),1,IF(O372&lt;=-1*LOG('[1]statistical criteria'!$B$3,2),2,"-")),"-")</f>
        <v>1</v>
      </c>
      <c r="R372" t="s">
        <v>1545</v>
      </c>
    </row>
    <row r="373" spans="1:21" x14ac:dyDescent="0.35">
      <c r="A373" t="s">
        <v>1546</v>
      </c>
      <c r="B373" t="s">
        <v>1547</v>
      </c>
      <c r="C373">
        <v>1809</v>
      </c>
      <c r="D373" s="4">
        <v>0</v>
      </c>
      <c r="E373" s="4">
        <v>0</v>
      </c>
      <c r="F373" s="4">
        <v>0</v>
      </c>
      <c r="G373" s="4">
        <v>0</v>
      </c>
      <c r="H373" s="6">
        <v>0.97163999999999995</v>
      </c>
      <c r="I373" s="6">
        <v>10.619424</v>
      </c>
      <c r="J373" s="6">
        <v>4.084174</v>
      </c>
      <c r="K373" s="7">
        <f t="shared" si="10"/>
        <v>0</v>
      </c>
      <c r="L373" s="8">
        <f t="shared" si="11"/>
        <v>5.2250793333333334</v>
      </c>
      <c r="M373" s="9">
        <v>2.7768565226318898E-9</v>
      </c>
      <c r="N373" s="9">
        <v>5.5362576873425701E-8</v>
      </c>
      <c r="O373" s="2">
        <v>4.5939985450880796</v>
      </c>
      <c r="P373" t="s">
        <v>1546</v>
      </c>
      <c r="Q373" s="10">
        <f>IF(N373&lt;='[1]statistical criteria'!$B$2,IF(O373&gt;=LOG('[1]statistical criteria'!$B$3,2),1,IF(O373&lt;=-1*LOG('[1]statistical criteria'!$B$3,2),2,"-")),"-")</f>
        <v>1</v>
      </c>
      <c r="S373" t="s">
        <v>1548</v>
      </c>
      <c r="T373" s="9">
        <v>4.9999999999999999E-93</v>
      </c>
      <c r="U373" t="s">
        <v>1549</v>
      </c>
    </row>
    <row r="374" spans="1:21" x14ac:dyDescent="0.35">
      <c r="A374" t="s">
        <v>1550</v>
      </c>
      <c r="B374" t="s">
        <v>1551</v>
      </c>
      <c r="C374">
        <v>1647</v>
      </c>
      <c r="D374" s="5">
        <v>1.1475500000000001</v>
      </c>
      <c r="E374" s="4">
        <v>0</v>
      </c>
      <c r="F374" s="4">
        <v>0</v>
      </c>
      <c r="G374" s="5">
        <v>1.750124</v>
      </c>
      <c r="H374" s="6">
        <v>12.429798999999999</v>
      </c>
      <c r="I374" s="6">
        <v>21.805813000000001</v>
      </c>
      <c r="J374" s="6">
        <v>32.619343000000001</v>
      </c>
      <c r="K374" s="7">
        <f t="shared" si="10"/>
        <v>0.72441850000000008</v>
      </c>
      <c r="L374" s="8">
        <f t="shared" si="11"/>
        <v>22.284985000000002</v>
      </c>
      <c r="M374" s="9">
        <v>1.53036907627221E-8</v>
      </c>
      <c r="N374" s="9">
        <v>2.63914123438696E-7</v>
      </c>
      <c r="O374" s="2">
        <v>4.5911271127993603</v>
      </c>
      <c r="P374" t="s">
        <v>1550</v>
      </c>
      <c r="Q374" s="10">
        <f>IF(N374&lt;='[1]statistical criteria'!$B$2,IF(O374&gt;=LOG('[1]statistical criteria'!$B$3,2),1,IF(O374&lt;=-1*LOG('[1]statistical criteria'!$B$3,2),2,"-")),"-")</f>
        <v>1</v>
      </c>
      <c r="R374" t="s">
        <v>1552</v>
      </c>
      <c r="S374" t="s">
        <v>1553</v>
      </c>
      <c r="T374" s="9">
        <v>1.9999999999999999E-151</v>
      </c>
      <c r="U374" t="s">
        <v>1554</v>
      </c>
    </row>
    <row r="375" spans="1:21" x14ac:dyDescent="0.35">
      <c r="A375" t="s">
        <v>1555</v>
      </c>
      <c r="B375" t="s">
        <v>1556</v>
      </c>
      <c r="C375">
        <v>462</v>
      </c>
      <c r="D375" s="5">
        <v>4.5658089999999998</v>
      </c>
      <c r="E375" s="4">
        <v>0</v>
      </c>
      <c r="F375" s="5">
        <v>2.7524829999999998</v>
      </c>
      <c r="G375" s="4">
        <v>0</v>
      </c>
      <c r="H375" s="6">
        <v>92.438506000000004</v>
      </c>
      <c r="I375" s="6">
        <v>59.883595</v>
      </c>
      <c r="J375" s="6">
        <v>67.900445000000005</v>
      </c>
      <c r="K375" s="7">
        <f t="shared" si="10"/>
        <v>1.8295729999999999</v>
      </c>
      <c r="L375" s="8">
        <f t="shared" si="11"/>
        <v>73.407515333333336</v>
      </c>
      <c r="M375" s="9">
        <v>3.7948178755497798E-7</v>
      </c>
      <c r="N375" s="9">
        <v>4.8191781229037304E-6</v>
      </c>
      <c r="O375" s="2">
        <v>4.5883007149214103</v>
      </c>
      <c r="P375" t="s">
        <v>1555</v>
      </c>
      <c r="Q375" s="10">
        <f>IF(N375&lt;='[1]statistical criteria'!$B$2,IF(O375&gt;=LOG('[1]statistical criteria'!$B$3,2),1,IF(O375&lt;=-1*LOG('[1]statistical criteria'!$B$3,2),2,"-")),"-")</f>
        <v>1</v>
      </c>
      <c r="R375" t="s">
        <v>436</v>
      </c>
      <c r="S375" t="s">
        <v>1132</v>
      </c>
      <c r="T375" s="9">
        <v>7.0000000000000003E-80</v>
      </c>
      <c r="U375" t="s">
        <v>443</v>
      </c>
    </row>
    <row r="376" spans="1:21" x14ac:dyDescent="0.35">
      <c r="A376" t="s">
        <v>1557</v>
      </c>
      <c r="B376" t="s">
        <v>1558</v>
      </c>
      <c r="C376">
        <v>495</v>
      </c>
      <c r="D376" s="4">
        <v>0</v>
      </c>
      <c r="E376" s="4">
        <v>0</v>
      </c>
      <c r="F376" s="4">
        <v>0</v>
      </c>
      <c r="G376" s="4">
        <v>0</v>
      </c>
      <c r="H376" s="6">
        <v>18.792152000000002</v>
      </c>
      <c r="I376" s="6">
        <v>8.7553599999999996</v>
      </c>
      <c r="J376" s="6">
        <v>8.5850329999999992</v>
      </c>
      <c r="K376" s="7">
        <f t="shared" si="10"/>
        <v>0</v>
      </c>
      <c r="L376" s="8">
        <f t="shared" si="11"/>
        <v>12.044181666666667</v>
      </c>
      <c r="M376" s="9">
        <v>7.5771250758107097E-7</v>
      </c>
      <c r="N376" s="9">
        <v>9.0204998556570505E-6</v>
      </c>
      <c r="O376" s="2">
        <v>4.58435671927481</v>
      </c>
      <c r="P376" t="s">
        <v>1557</v>
      </c>
      <c r="Q376" s="10">
        <f>IF(N376&lt;='[1]statistical criteria'!$B$2,IF(O376&gt;=LOG('[1]statistical criteria'!$B$3,2),1,IF(O376&lt;=-1*LOG('[1]statistical criteria'!$B$3,2),2,"-")),"-")</f>
        <v>1</v>
      </c>
      <c r="S376" t="s">
        <v>1559</v>
      </c>
      <c r="T376">
        <v>0.42</v>
      </c>
      <c r="U376" t="s">
        <v>880</v>
      </c>
    </row>
    <row r="377" spans="1:21" x14ac:dyDescent="0.35">
      <c r="A377" t="s">
        <v>1560</v>
      </c>
      <c r="B377" t="s">
        <v>1561</v>
      </c>
      <c r="C377">
        <v>705</v>
      </c>
      <c r="D377" s="4">
        <v>0</v>
      </c>
      <c r="E377" s="4">
        <v>0</v>
      </c>
      <c r="F377" s="4">
        <v>0</v>
      </c>
      <c r="G377" s="4">
        <v>0</v>
      </c>
      <c r="H377" s="6">
        <v>5.531231</v>
      </c>
      <c r="I377" s="6">
        <v>14.153396000000001</v>
      </c>
      <c r="J377" s="6">
        <v>6.5479039999999999</v>
      </c>
      <c r="K377" s="7">
        <f t="shared" si="10"/>
        <v>0</v>
      </c>
      <c r="L377" s="8">
        <f t="shared" si="11"/>
        <v>8.7441769999999988</v>
      </c>
      <c r="M377" s="9">
        <v>1.3918772899275899E-7</v>
      </c>
      <c r="N377" s="9">
        <v>1.9312741397974501E-6</v>
      </c>
      <c r="O377" s="2">
        <v>4.5841585630466897</v>
      </c>
      <c r="P377" t="s">
        <v>1560</v>
      </c>
      <c r="Q377" s="10">
        <f>IF(N377&lt;='[1]statistical criteria'!$B$2,IF(O377&gt;=LOG('[1]statistical criteria'!$B$3,2),1,IF(O377&lt;=-1*LOG('[1]statistical criteria'!$B$3,2),2,"-")),"-")</f>
        <v>1</v>
      </c>
    </row>
    <row r="378" spans="1:21" x14ac:dyDescent="0.35">
      <c r="A378" t="s">
        <v>143</v>
      </c>
      <c r="B378" t="s">
        <v>144</v>
      </c>
      <c r="C378">
        <v>1132</v>
      </c>
      <c r="D378" s="4">
        <v>0</v>
      </c>
      <c r="E378" s="4">
        <v>0</v>
      </c>
      <c r="F378" s="4">
        <v>0</v>
      </c>
      <c r="G378" s="4">
        <v>0</v>
      </c>
      <c r="H378" s="6">
        <v>3.8757359999999998</v>
      </c>
      <c r="I378" s="6">
        <v>3.322416</v>
      </c>
      <c r="J378" s="6">
        <v>7.7958119999999997</v>
      </c>
      <c r="K378" s="7">
        <f t="shared" si="10"/>
        <v>0</v>
      </c>
      <c r="L378" s="8">
        <f t="shared" si="11"/>
        <v>4.9979880000000003</v>
      </c>
      <c r="M378" s="9">
        <v>4.5012614010073799E-7</v>
      </c>
      <c r="N378" s="9">
        <v>5.6243601090722501E-6</v>
      </c>
      <c r="O378" s="2">
        <v>4.5828642322687596</v>
      </c>
      <c r="P378" t="s">
        <v>143</v>
      </c>
      <c r="Q378" s="10">
        <f>IF(N378&lt;='[1]statistical criteria'!$B$2,IF(O378&gt;=LOG('[1]statistical criteria'!$B$3,2),1,IF(O378&lt;=-1*LOG('[1]statistical criteria'!$B$3,2),2,"-")),"-")</f>
        <v>1</v>
      </c>
      <c r="R378" t="s">
        <v>121</v>
      </c>
      <c r="S378" t="s">
        <v>122</v>
      </c>
      <c r="T378" s="9">
        <v>2E-107</v>
      </c>
      <c r="U378" t="s">
        <v>123</v>
      </c>
    </row>
    <row r="379" spans="1:21" x14ac:dyDescent="0.35">
      <c r="A379" t="s">
        <v>1562</v>
      </c>
      <c r="B379" t="s">
        <v>1563</v>
      </c>
      <c r="C379">
        <v>1068</v>
      </c>
      <c r="D379" s="4">
        <v>0</v>
      </c>
      <c r="E379" s="4">
        <v>0</v>
      </c>
      <c r="F379" s="4">
        <v>0</v>
      </c>
      <c r="G379" s="4">
        <v>0</v>
      </c>
      <c r="H379" s="6">
        <v>5.4377690000000003</v>
      </c>
      <c r="I379" s="6">
        <v>3.789987</v>
      </c>
      <c r="J379" s="6">
        <v>4.8864919999999996</v>
      </c>
      <c r="K379" s="7">
        <f t="shared" si="10"/>
        <v>0</v>
      </c>
      <c r="L379" s="8">
        <f t="shared" si="11"/>
        <v>4.704749333333333</v>
      </c>
      <c r="M379" s="9">
        <v>7.6066908694556402E-7</v>
      </c>
      <c r="N379" s="9">
        <v>9.05003608913666E-6</v>
      </c>
      <c r="O379" s="2">
        <v>4.5820194970820696</v>
      </c>
      <c r="P379" t="s">
        <v>1562</v>
      </c>
      <c r="Q379" s="10">
        <f>IF(N379&lt;='[1]statistical criteria'!$B$2,IF(O379&gt;=LOG('[1]statistical criteria'!$B$3,2),1,IF(O379&lt;=-1*LOG('[1]statistical criteria'!$B$3,2),2,"-")),"-")</f>
        <v>1</v>
      </c>
      <c r="R379" t="s">
        <v>314</v>
      </c>
      <c r="S379" t="s">
        <v>1564</v>
      </c>
      <c r="T379" s="9">
        <v>8.0000000000000002E-179</v>
      </c>
      <c r="U379" t="s">
        <v>316</v>
      </c>
    </row>
    <row r="380" spans="1:21" x14ac:dyDescent="0.35">
      <c r="A380" t="s">
        <v>1565</v>
      </c>
      <c r="B380" t="s">
        <v>1566</v>
      </c>
      <c r="C380">
        <v>1494</v>
      </c>
      <c r="D380" s="4">
        <v>0</v>
      </c>
      <c r="E380" s="4">
        <v>0</v>
      </c>
      <c r="F380" s="4">
        <v>0</v>
      </c>
      <c r="G380" s="4">
        <v>0</v>
      </c>
      <c r="H380" s="6">
        <v>6.4185109999999996</v>
      </c>
      <c r="I380" s="6">
        <v>3.9589750000000001</v>
      </c>
      <c r="J380" s="6">
        <v>2.0135689999999999</v>
      </c>
      <c r="K380" s="7">
        <f t="shared" si="10"/>
        <v>0</v>
      </c>
      <c r="L380" s="8">
        <f t="shared" si="11"/>
        <v>4.1303516666666669</v>
      </c>
      <c r="M380" s="9">
        <v>1.86243717177589E-7</v>
      </c>
      <c r="N380" s="9">
        <v>2.51809444965507E-6</v>
      </c>
      <c r="O380" s="2">
        <v>4.5810240580631403</v>
      </c>
      <c r="P380" t="s">
        <v>1565</v>
      </c>
      <c r="Q380" s="10">
        <f>IF(N380&lt;='[1]statistical criteria'!$B$2,IF(O380&gt;=LOG('[1]statistical criteria'!$B$3,2),1,IF(O380&lt;=-1*LOG('[1]statistical criteria'!$B$3,2),2,"-")),"-")</f>
        <v>1</v>
      </c>
      <c r="R380" t="s">
        <v>1567</v>
      </c>
      <c r="S380" t="s">
        <v>1568</v>
      </c>
      <c r="T380" s="9">
        <v>1E-175</v>
      </c>
      <c r="U380" t="s">
        <v>1569</v>
      </c>
    </row>
    <row r="381" spans="1:21" x14ac:dyDescent="0.35">
      <c r="A381" t="s">
        <v>1570</v>
      </c>
      <c r="B381" t="s">
        <v>1571</v>
      </c>
      <c r="C381">
        <v>814</v>
      </c>
      <c r="D381" s="4">
        <v>0</v>
      </c>
      <c r="E381" s="4">
        <v>0</v>
      </c>
      <c r="F381" s="4">
        <v>0</v>
      </c>
      <c r="G381" s="4">
        <v>0</v>
      </c>
      <c r="H381" s="6">
        <v>5.9944259999999998</v>
      </c>
      <c r="I381" s="6">
        <v>8.0091870000000007</v>
      </c>
      <c r="J381" s="6">
        <v>8.2584579999999992</v>
      </c>
      <c r="K381" s="7">
        <f t="shared" si="10"/>
        <v>0</v>
      </c>
      <c r="L381" s="8">
        <f t="shared" si="11"/>
        <v>7.4206903333333329</v>
      </c>
      <c r="M381" s="9">
        <v>5.1701046844990997E-7</v>
      </c>
      <c r="N381" s="9">
        <v>6.3680965790302904E-6</v>
      </c>
      <c r="O381" s="2">
        <v>4.5753766949196297</v>
      </c>
      <c r="P381" t="s">
        <v>1570</v>
      </c>
      <c r="Q381" s="10">
        <f>IF(N381&lt;='[1]statistical criteria'!$B$2,IF(O381&gt;=LOG('[1]statistical criteria'!$B$3,2),1,IF(O381&lt;=-1*LOG('[1]statistical criteria'!$B$3,2),2,"-")),"-")</f>
        <v>1</v>
      </c>
      <c r="R381" t="s">
        <v>1069</v>
      </c>
      <c r="S381" t="s">
        <v>1070</v>
      </c>
      <c r="T381" s="9">
        <v>2E-66</v>
      </c>
      <c r="U381" t="s">
        <v>1071</v>
      </c>
    </row>
    <row r="382" spans="1:21" x14ac:dyDescent="0.35">
      <c r="A382" t="s">
        <v>1572</v>
      </c>
      <c r="B382" t="s">
        <v>1573</v>
      </c>
      <c r="C382">
        <v>2391</v>
      </c>
      <c r="D382" s="5">
        <v>0.89242900000000003</v>
      </c>
      <c r="E382" s="4">
        <v>0</v>
      </c>
      <c r="F382" s="4">
        <v>0</v>
      </c>
      <c r="G382" s="4">
        <v>0</v>
      </c>
      <c r="H382" s="6">
        <v>3.973703</v>
      </c>
      <c r="I382" s="6">
        <v>3.7124839999999999</v>
      </c>
      <c r="J382" s="6">
        <v>4.9073840000000004</v>
      </c>
      <c r="K382" s="7">
        <f t="shared" si="10"/>
        <v>0.22310725000000001</v>
      </c>
      <c r="L382" s="8">
        <f t="shared" si="11"/>
        <v>4.1978569999999999</v>
      </c>
      <c r="M382" s="9">
        <v>1.2259187371593901E-6</v>
      </c>
      <c r="N382" s="9">
        <v>1.38083655330826E-5</v>
      </c>
      <c r="O382" s="2">
        <v>4.5713990750882401</v>
      </c>
      <c r="P382" t="s">
        <v>1572</v>
      </c>
      <c r="Q382" s="10">
        <f>IF(N382&lt;='[1]statistical criteria'!$B$2,IF(O382&gt;=LOG('[1]statistical criteria'!$B$3,2),1,IF(O382&lt;=-1*LOG('[1]statistical criteria'!$B$3,2),2,"-")),"-")</f>
        <v>1</v>
      </c>
      <c r="R382" t="s">
        <v>1574</v>
      </c>
      <c r="S382" t="s">
        <v>1575</v>
      </c>
      <c r="T382" s="9">
        <v>4.0000000000000001E-8</v>
      </c>
      <c r="U382" t="s">
        <v>1576</v>
      </c>
    </row>
    <row r="383" spans="1:21" x14ac:dyDescent="0.35">
      <c r="A383" t="s">
        <v>1577</v>
      </c>
      <c r="B383" t="s">
        <v>1578</v>
      </c>
      <c r="C383">
        <v>1155</v>
      </c>
      <c r="D383" s="4">
        <v>0</v>
      </c>
      <c r="E383" s="4">
        <v>0</v>
      </c>
      <c r="F383" s="4">
        <v>0</v>
      </c>
      <c r="G383" s="4">
        <v>0</v>
      </c>
      <c r="H383" s="6">
        <v>4.8808980000000002</v>
      </c>
      <c r="I383" s="6">
        <v>4.7998779999999996</v>
      </c>
      <c r="J383" s="6">
        <v>3.0489130000000002</v>
      </c>
      <c r="K383" s="7">
        <f t="shared" si="10"/>
        <v>0</v>
      </c>
      <c r="L383" s="8">
        <f t="shared" si="11"/>
        <v>4.2432296666666671</v>
      </c>
      <c r="M383" s="9">
        <v>9.7631888390471194E-7</v>
      </c>
      <c r="N383" s="9">
        <v>1.129787069669E-5</v>
      </c>
      <c r="O383" s="2">
        <v>4.5709432417568996</v>
      </c>
      <c r="P383" t="s">
        <v>1577</v>
      </c>
      <c r="Q383" s="10">
        <f>IF(N383&lt;='[1]statistical criteria'!$B$2,IF(O383&gt;=LOG('[1]statistical criteria'!$B$3,2),1,IF(O383&lt;=-1*LOG('[1]statistical criteria'!$B$3,2),2,"-")),"-")</f>
        <v>1</v>
      </c>
      <c r="R383" t="s">
        <v>177</v>
      </c>
      <c r="S383" t="s">
        <v>178</v>
      </c>
      <c r="T383" s="9">
        <v>4.0000000000000002E-110</v>
      </c>
      <c r="U383" t="s">
        <v>179</v>
      </c>
    </row>
    <row r="384" spans="1:21" x14ac:dyDescent="0.35">
      <c r="A384" t="s">
        <v>1579</v>
      </c>
      <c r="B384" t="s">
        <v>1580</v>
      </c>
      <c r="C384">
        <v>663</v>
      </c>
      <c r="D384" s="4">
        <v>0</v>
      </c>
      <c r="E384" s="4">
        <v>0</v>
      </c>
      <c r="F384" s="4">
        <v>0</v>
      </c>
      <c r="G384" s="5">
        <v>0.80732499999999996</v>
      </c>
      <c r="H384" s="6">
        <v>25.048086000000001</v>
      </c>
      <c r="I384" s="6">
        <v>31.635231999999998</v>
      </c>
      <c r="J384" s="6">
        <v>8.6993159999999996</v>
      </c>
      <c r="K384" s="7">
        <f t="shared" si="10"/>
        <v>0.20183124999999999</v>
      </c>
      <c r="L384" s="8">
        <f t="shared" si="11"/>
        <v>21.794211333333333</v>
      </c>
      <c r="M384" s="9">
        <v>1.25213539827807E-6</v>
      </c>
      <c r="N384" s="9">
        <v>1.40682834675271E-5</v>
      </c>
      <c r="O384" s="2">
        <v>4.5664236481869702</v>
      </c>
      <c r="P384" t="s">
        <v>1579</v>
      </c>
      <c r="Q384" s="10">
        <f>IF(N384&lt;='[1]statistical criteria'!$B$2,IF(O384&gt;=LOG('[1]statistical criteria'!$B$3,2),1,IF(O384&lt;=-1*LOG('[1]statistical criteria'!$B$3,2),2,"-")),"-")</f>
        <v>1</v>
      </c>
      <c r="R384" t="s">
        <v>310</v>
      </c>
      <c r="S384" t="s">
        <v>1581</v>
      </c>
      <c r="T384" s="9">
        <v>6.0000000000000001E-74</v>
      </c>
      <c r="U384" t="s">
        <v>311</v>
      </c>
    </row>
    <row r="385" spans="1:21" x14ac:dyDescent="0.35">
      <c r="A385" t="s">
        <v>1582</v>
      </c>
      <c r="B385" t="s">
        <v>1583</v>
      </c>
      <c r="C385">
        <v>585</v>
      </c>
      <c r="D385" s="4">
        <v>0</v>
      </c>
      <c r="E385" s="5">
        <v>4.6756419999999999</v>
      </c>
      <c r="F385" s="5">
        <v>1.3267199999999999</v>
      </c>
      <c r="G385" s="4">
        <v>0</v>
      </c>
      <c r="H385" s="6">
        <v>109.82638900000001</v>
      </c>
      <c r="I385" s="6">
        <v>34.485633999999997</v>
      </c>
      <c r="J385" s="6">
        <v>69.584982999999994</v>
      </c>
      <c r="K385" s="7">
        <f t="shared" si="10"/>
        <v>1.5005904999999999</v>
      </c>
      <c r="L385" s="8">
        <f t="shared" si="11"/>
        <v>71.299002000000002</v>
      </c>
      <c r="M385" s="9">
        <v>8.8337040128089696E-7</v>
      </c>
      <c r="N385" s="9">
        <v>1.0281675068119599E-5</v>
      </c>
      <c r="O385" s="2">
        <v>4.56526108839802</v>
      </c>
      <c r="P385" t="s">
        <v>1582</v>
      </c>
      <c r="Q385" s="10">
        <f>IF(N385&lt;='[1]statistical criteria'!$B$2,IF(O385&gt;=LOG('[1]statistical criteria'!$B$3,2),1,IF(O385&lt;=-1*LOG('[1]statistical criteria'!$B$3,2),2,"-")),"-")</f>
        <v>1</v>
      </c>
      <c r="R385" t="s">
        <v>323</v>
      </c>
    </row>
    <row r="386" spans="1:21" x14ac:dyDescent="0.35">
      <c r="A386" t="s">
        <v>1584</v>
      </c>
      <c r="B386" t="s">
        <v>1585</v>
      </c>
      <c r="C386">
        <v>1884</v>
      </c>
      <c r="D386" s="4">
        <v>0</v>
      </c>
      <c r="E386" s="4">
        <v>0</v>
      </c>
      <c r="F386" s="4">
        <v>0</v>
      </c>
      <c r="G386" s="4">
        <v>0</v>
      </c>
      <c r="H386" s="6">
        <v>3.3809070000000001</v>
      </c>
      <c r="I386" s="6">
        <v>3.9831539999999999</v>
      </c>
      <c r="J386" s="6">
        <v>2.4750130000000001</v>
      </c>
      <c r="K386" s="7">
        <f t="shared" si="10"/>
        <v>0</v>
      </c>
      <c r="L386" s="8">
        <f t="shared" si="11"/>
        <v>3.2796913333333335</v>
      </c>
      <c r="M386" s="9">
        <v>2.39872901186773E-10</v>
      </c>
      <c r="N386" s="9">
        <v>5.6811217294141799E-9</v>
      </c>
      <c r="O386" s="2">
        <v>4.5649964865495303</v>
      </c>
      <c r="P386" t="s">
        <v>1584</v>
      </c>
      <c r="Q386" s="10">
        <f>IF(N386&lt;='[1]statistical criteria'!$B$2,IF(O386&gt;=LOG('[1]statistical criteria'!$B$3,2),1,IF(O386&lt;=-1*LOG('[1]statistical criteria'!$B$3,2),2,"-")),"-")</f>
        <v>1</v>
      </c>
      <c r="S386" t="s">
        <v>1586</v>
      </c>
      <c r="T386" s="9">
        <v>2.0000000000000001E-115</v>
      </c>
      <c r="U386" t="s">
        <v>1523</v>
      </c>
    </row>
    <row r="387" spans="1:21" x14ac:dyDescent="0.35">
      <c r="A387" t="s">
        <v>1587</v>
      </c>
      <c r="B387" t="s">
        <v>1588</v>
      </c>
      <c r="C387">
        <v>999</v>
      </c>
      <c r="D387" s="4">
        <v>0</v>
      </c>
      <c r="E387" s="4">
        <v>0</v>
      </c>
      <c r="F387" s="4">
        <v>0</v>
      </c>
      <c r="G387" s="4">
        <v>0</v>
      </c>
      <c r="H387" s="6">
        <v>12.734795999999999</v>
      </c>
      <c r="I387" s="6">
        <v>4.1310820000000001</v>
      </c>
      <c r="J387" s="6">
        <v>3.3488150000000001</v>
      </c>
      <c r="K387" s="7">
        <f t="shared" ref="K387:K450" si="12">AVERAGE(D387:G387)</f>
        <v>0</v>
      </c>
      <c r="L387" s="8">
        <f t="shared" ref="L387:L450" si="13">AVERAGE(H387:J387)</f>
        <v>6.738230999999999</v>
      </c>
      <c r="M387" s="9">
        <v>1.00284474348236E-6</v>
      </c>
      <c r="N387" s="9">
        <v>1.1555637583087701E-5</v>
      </c>
      <c r="O387" s="2">
        <v>4.56220786397766</v>
      </c>
      <c r="P387" t="s">
        <v>1587</v>
      </c>
      <c r="Q387" s="10">
        <f>IF(N387&lt;='[1]statistical criteria'!$B$2,IF(O387&gt;=LOG('[1]statistical criteria'!$B$3,2),1,IF(O387&lt;=-1*LOG('[1]statistical criteria'!$B$3,2),2,"-")),"-")</f>
        <v>1</v>
      </c>
      <c r="R387" t="s">
        <v>1589</v>
      </c>
      <c r="S387" t="s">
        <v>1590</v>
      </c>
      <c r="T387" s="9">
        <v>4E-174</v>
      </c>
      <c r="U387" t="s">
        <v>1591</v>
      </c>
    </row>
    <row r="388" spans="1:21" x14ac:dyDescent="0.35">
      <c r="A388" t="s">
        <v>1592</v>
      </c>
      <c r="B388" t="s">
        <v>1593</v>
      </c>
      <c r="C388">
        <v>2406</v>
      </c>
      <c r="D388" s="5">
        <v>0.93033200000000005</v>
      </c>
      <c r="E388" s="4">
        <v>0</v>
      </c>
      <c r="F388" s="4">
        <v>0</v>
      </c>
      <c r="G388" s="4">
        <v>0</v>
      </c>
      <c r="H388" s="6">
        <v>5.1074719999999996</v>
      </c>
      <c r="I388" s="6">
        <v>12.074838</v>
      </c>
      <c r="J388" s="6">
        <v>2.6187770000000001</v>
      </c>
      <c r="K388" s="7">
        <f t="shared" si="12"/>
        <v>0.23258300000000001</v>
      </c>
      <c r="L388" s="8">
        <f t="shared" si="13"/>
        <v>6.6003623333333339</v>
      </c>
      <c r="M388" s="9">
        <v>8.8745207807851497E-9</v>
      </c>
      <c r="N388" s="9">
        <v>1.5985057307935799E-7</v>
      </c>
      <c r="O388" s="2">
        <v>4.5613107209313304</v>
      </c>
      <c r="P388" t="s">
        <v>1592</v>
      </c>
      <c r="Q388" s="10">
        <f>IF(N388&lt;='[1]statistical criteria'!$B$2,IF(O388&gt;=LOG('[1]statistical criteria'!$B$3,2),1,IF(O388&lt;=-1*LOG('[1]statistical criteria'!$B$3,2),2,"-")),"-")</f>
        <v>1</v>
      </c>
      <c r="R388" t="s">
        <v>1594</v>
      </c>
      <c r="S388" t="s">
        <v>1595</v>
      </c>
      <c r="T388">
        <v>0</v>
      </c>
      <c r="U388" t="s">
        <v>608</v>
      </c>
    </row>
    <row r="389" spans="1:21" x14ac:dyDescent="0.35">
      <c r="A389" t="s">
        <v>1596</v>
      </c>
      <c r="B389" t="s">
        <v>1597</v>
      </c>
      <c r="C389">
        <v>1942</v>
      </c>
      <c r="D389" s="4">
        <v>0</v>
      </c>
      <c r="E389" s="4">
        <v>0</v>
      </c>
      <c r="F389" s="4">
        <v>0</v>
      </c>
      <c r="G389" s="4">
        <v>0</v>
      </c>
      <c r="H389" s="6">
        <v>2.9784820000000001</v>
      </c>
      <c r="I389" s="6">
        <v>3.4310809999999998</v>
      </c>
      <c r="J389" s="6">
        <v>4.0772380000000004</v>
      </c>
      <c r="K389" s="7">
        <f t="shared" si="12"/>
        <v>0</v>
      </c>
      <c r="L389" s="8">
        <f t="shared" si="13"/>
        <v>3.4956003333333334</v>
      </c>
      <c r="M389" s="9">
        <v>3.1648603448166601E-11</v>
      </c>
      <c r="N389" s="9">
        <v>8.7285930959218905E-10</v>
      </c>
      <c r="O389" s="2">
        <v>4.5585184956789497</v>
      </c>
      <c r="P389" t="s">
        <v>1596</v>
      </c>
      <c r="Q389" s="10">
        <f>IF(N389&lt;='[1]statistical criteria'!$B$2,IF(O389&gt;=LOG('[1]statistical criteria'!$B$3,2),1,IF(O389&lt;=-1*LOG('[1]statistical criteria'!$B$3,2),2,"-")),"-")</f>
        <v>1</v>
      </c>
      <c r="S389" t="s">
        <v>1598</v>
      </c>
      <c r="T389" s="9">
        <v>1E-56</v>
      </c>
      <c r="U389" t="s">
        <v>1599</v>
      </c>
    </row>
    <row r="390" spans="1:21" x14ac:dyDescent="0.35">
      <c r="A390" t="s">
        <v>1600</v>
      </c>
      <c r="B390" t="s">
        <v>1601</v>
      </c>
      <c r="C390">
        <v>837</v>
      </c>
      <c r="D390" s="4">
        <v>0</v>
      </c>
      <c r="E390" s="4">
        <v>0</v>
      </c>
      <c r="F390" s="4">
        <v>0</v>
      </c>
      <c r="G390" s="5">
        <v>0.96487199999999995</v>
      </c>
      <c r="H390" s="6">
        <v>35.411960999999998</v>
      </c>
      <c r="I390" s="6">
        <v>5.3156210000000002</v>
      </c>
      <c r="J390" s="6">
        <v>16.12771</v>
      </c>
      <c r="K390" s="7">
        <f t="shared" si="12"/>
        <v>0.24121799999999999</v>
      </c>
      <c r="L390" s="8">
        <f t="shared" si="13"/>
        <v>18.951764000000001</v>
      </c>
      <c r="M390" s="9">
        <v>8.3176734510137104E-7</v>
      </c>
      <c r="N390" s="9">
        <v>9.7646715467483602E-6</v>
      </c>
      <c r="O390" s="2">
        <v>4.5564145562449498</v>
      </c>
      <c r="P390" t="s">
        <v>1600</v>
      </c>
      <c r="Q390" s="10">
        <f>IF(N390&lt;='[1]statistical criteria'!$B$2,IF(O390&gt;=LOG('[1]statistical criteria'!$B$3,2),1,IF(O390&lt;=-1*LOG('[1]statistical criteria'!$B$3,2),2,"-")),"-")</f>
        <v>1</v>
      </c>
      <c r="R390" t="s">
        <v>1602</v>
      </c>
      <c r="S390" t="s">
        <v>1603</v>
      </c>
      <c r="T390" s="9">
        <v>9.9999999999999993E-105</v>
      </c>
      <c r="U390" t="s">
        <v>61</v>
      </c>
    </row>
    <row r="391" spans="1:21" x14ac:dyDescent="0.35">
      <c r="A391" t="s">
        <v>1604</v>
      </c>
      <c r="B391" t="s">
        <v>1605</v>
      </c>
      <c r="C391">
        <v>1056</v>
      </c>
      <c r="D391" s="4">
        <v>0</v>
      </c>
      <c r="E391" s="4">
        <v>0</v>
      </c>
      <c r="F391" s="4">
        <v>0</v>
      </c>
      <c r="G391" s="4">
        <v>0</v>
      </c>
      <c r="H391" s="6">
        <v>8.6861230000000003</v>
      </c>
      <c r="I391" s="6">
        <v>1.7826360000000001</v>
      </c>
      <c r="J391" s="6">
        <v>2.659214</v>
      </c>
      <c r="K391" s="7">
        <f t="shared" si="12"/>
        <v>0</v>
      </c>
      <c r="L391" s="8">
        <f t="shared" si="13"/>
        <v>4.375991</v>
      </c>
      <c r="M391" s="9">
        <v>6.7910438383103705E-7</v>
      </c>
      <c r="N391" s="9">
        <v>8.1631931171976394E-6</v>
      </c>
      <c r="O391" s="2">
        <v>4.5555015789145301</v>
      </c>
      <c r="P391" t="s">
        <v>1604</v>
      </c>
      <c r="Q391" s="10">
        <f>IF(N391&lt;='[1]statistical criteria'!$B$2,IF(O391&gt;=LOG('[1]statistical criteria'!$B$3,2),1,IF(O391&lt;=-1*LOG('[1]statistical criteria'!$B$3,2),2,"-")),"-")</f>
        <v>1</v>
      </c>
      <c r="R391" t="s">
        <v>1186</v>
      </c>
      <c r="S391" t="s">
        <v>1606</v>
      </c>
      <c r="T391" s="9">
        <v>1.9999999999999999E-82</v>
      </c>
      <c r="U391" t="s">
        <v>1188</v>
      </c>
    </row>
    <row r="392" spans="1:21" x14ac:dyDescent="0.35">
      <c r="A392" t="s">
        <v>1607</v>
      </c>
      <c r="B392" t="s">
        <v>1608</v>
      </c>
      <c r="C392">
        <v>1050</v>
      </c>
      <c r="D392" s="4">
        <v>0</v>
      </c>
      <c r="E392" s="4">
        <v>0</v>
      </c>
      <c r="F392" s="4">
        <v>0</v>
      </c>
      <c r="G392" s="4">
        <v>0</v>
      </c>
      <c r="H392" s="6">
        <v>5.2831020000000004</v>
      </c>
      <c r="I392" s="6">
        <v>8.0485310000000005</v>
      </c>
      <c r="J392" s="6">
        <v>3.0872820000000001</v>
      </c>
      <c r="K392" s="7">
        <f t="shared" si="12"/>
        <v>0</v>
      </c>
      <c r="L392" s="8">
        <f t="shared" si="13"/>
        <v>5.4729716666666661</v>
      </c>
      <c r="M392" s="9">
        <v>9.4514757052627495E-8</v>
      </c>
      <c r="N392" s="9">
        <v>1.3708962093837701E-6</v>
      </c>
      <c r="O392" s="2">
        <v>4.5529172355207601</v>
      </c>
      <c r="P392" t="s">
        <v>1607</v>
      </c>
      <c r="Q392" s="10">
        <f>IF(N392&lt;='[1]statistical criteria'!$B$2,IF(O392&gt;=LOG('[1]statistical criteria'!$B$3,2),1,IF(O392&lt;=-1*LOG('[1]statistical criteria'!$B$3,2),2,"-")),"-")</f>
        <v>1</v>
      </c>
      <c r="R392" t="s">
        <v>1609</v>
      </c>
      <c r="S392" t="s">
        <v>1610</v>
      </c>
      <c r="T392" s="9">
        <v>8.9999999999999995E-57</v>
      </c>
      <c r="U392" t="s">
        <v>1611</v>
      </c>
    </row>
    <row r="393" spans="1:21" x14ac:dyDescent="0.35">
      <c r="A393" t="s">
        <v>1612</v>
      </c>
      <c r="B393" t="s">
        <v>1501</v>
      </c>
      <c r="C393">
        <v>1077</v>
      </c>
      <c r="D393" s="5">
        <v>0.56648200000000004</v>
      </c>
      <c r="E393" s="5">
        <v>1.6115170000000001</v>
      </c>
      <c r="F393" s="4">
        <v>0</v>
      </c>
      <c r="G393" s="4">
        <v>0</v>
      </c>
      <c r="H393" s="6">
        <v>36.289355999999998</v>
      </c>
      <c r="I393" s="6">
        <v>8.2225920000000006</v>
      </c>
      <c r="J393" s="6">
        <v>25.537704999999999</v>
      </c>
      <c r="K393" s="7">
        <f t="shared" si="12"/>
        <v>0.54449975000000006</v>
      </c>
      <c r="L393" s="8">
        <f t="shared" si="13"/>
        <v>23.349884333333332</v>
      </c>
      <c r="M393">
        <v>1.4438509212932399E-4</v>
      </c>
      <c r="N393">
        <v>9.4145907254447202E-4</v>
      </c>
      <c r="O393" s="2">
        <v>4.55156922048082</v>
      </c>
      <c r="P393" t="s">
        <v>1612</v>
      </c>
      <c r="Q393" s="10">
        <f>IF(N393&lt;='[1]statistical criteria'!$B$2,IF(O393&gt;=LOG('[1]statistical criteria'!$B$3,2),1,IF(O393&lt;=-1*LOG('[1]statistical criteria'!$B$3,2),2,"-")),"-")</f>
        <v>1</v>
      </c>
      <c r="R393" t="s">
        <v>1502</v>
      </c>
      <c r="S393" t="s">
        <v>1503</v>
      </c>
      <c r="T393" s="9">
        <v>8.0000000000000003E-83</v>
      </c>
      <c r="U393" t="s">
        <v>1504</v>
      </c>
    </row>
    <row r="394" spans="1:21" x14ac:dyDescent="0.35">
      <c r="A394" t="s">
        <v>1613</v>
      </c>
      <c r="B394" t="s">
        <v>1614</v>
      </c>
      <c r="C394">
        <v>1533</v>
      </c>
      <c r="D394" s="4">
        <v>0</v>
      </c>
      <c r="E394" s="4">
        <v>0</v>
      </c>
      <c r="F394" s="4">
        <v>0</v>
      </c>
      <c r="G394" s="4">
        <v>0</v>
      </c>
      <c r="H394" s="6">
        <v>3.9171499999999999</v>
      </c>
      <c r="I394" s="6">
        <v>2.9254359999999999</v>
      </c>
      <c r="J394" s="6">
        <v>2.4951910000000002</v>
      </c>
      <c r="K394" s="7">
        <f t="shared" si="12"/>
        <v>0</v>
      </c>
      <c r="L394" s="8">
        <f t="shared" si="13"/>
        <v>3.1125923333333332</v>
      </c>
      <c r="M394" s="9">
        <v>1.0721443220912401E-7</v>
      </c>
      <c r="N394" s="9">
        <v>1.53060063386319E-6</v>
      </c>
      <c r="O394" s="2">
        <v>4.5487246475914596</v>
      </c>
      <c r="P394" t="s">
        <v>1613</v>
      </c>
      <c r="Q394" s="10">
        <f>IF(N394&lt;='[1]statistical criteria'!$B$2,IF(O394&gt;=LOG('[1]statistical criteria'!$B$3,2),1,IF(O394&lt;=-1*LOG('[1]statistical criteria'!$B$3,2),2,"-")),"-")</f>
        <v>1</v>
      </c>
      <c r="R394" t="s">
        <v>399</v>
      </c>
      <c r="S394" t="s">
        <v>400</v>
      </c>
      <c r="T394">
        <v>0</v>
      </c>
      <c r="U394" t="s">
        <v>401</v>
      </c>
    </row>
    <row r="395" spans="1:21" x14ac:dyDescent="0.35">
      <c r="A395" t="s">
        <v>1615</v>
      </c>
      <c r="B395" t="s">
        <v>1616</v>
      </c>
      <c r="C395">
        <v>876</v>
      </c>
      <c r="D395" s="4">
        <v>0</v>
      </c>
      <c r="E395" s="4">
        <v>0</v>
      </c>
      <c r="F395" s="4">
        <v>0</v>
      </c>
      <c r="G395" s="4">
        <v>0</v>
      </c>
      <c r="H395" s="6">
        <v>7.9448480000000004</v>
      </c>
      <c r="I395" s="6">
        <v>8.455902</v>
      </c>
      <c r="J395" s="6">
        <v>1.7988329999999999</v>
      </c>
      <c r="K395" s="7">
        <f t="shared" si="12"/>
        <v>0</v>
      </c>
      <c r="L395" s="8">
        <f t="shared" si="13"/>
        <v>6.0665276666666665</v>
      </c>
      <c r="M395" s="9">
        <v>2.8897549774858001E-8</v>
      </c>
      <c r="N395" s="9">
        <v>4.7073594436652598E-7</v>
      </c>
      <c r="O395" s="2">
        <v>4.5479885072403601</v>
      </c>
      <c r="P395" t="s">
        <v>1615</v>
      </c>
      <c r="Q395" s="10">
        <f>IF(N395&lt;='[1]statistical criteria'!$B$2,IF(O395&gt;=LOG('[1]statistical criteria'!$B$3,2),1,IF(O395&lt;=-1*LOG('[1]statistical criteria'!$B$3,2),2,"-")),"-")</f>
        <v>1</v>
      </c>
      <c r="R395" t="s">
        <v>585</v>
      </c>
      <c r="S395" t="s">
        <v>586</v>
      </c>
      <c r="T395" s="9">
        <v>1.9999999999999999E-82</v>
      </c>
      <c r="U395" t="s">
        <v>587</v>
      </c>
    </row>
    <row r="396" spans="1:21" x14ac:dyDescent="0.35">
      <c r="A396" t="s">
        <v>1617</v>
      </c>
      <c r="B396" t="s">
        <v>1618</v>
      </c>
      <c r="C396">
        <v>853</v>
      </c>
      <c r="D396" s="4">
        <v>0</v>
      </c>
      <c r="E396" s="4">
        <v>0</v>
      </c>
      <c r="F396" s="4">
        <v>0</v>
      </c>
      <c r="G396" s="4">
        <v>0</v>
      </c>
      <c r="H396" s="6">
        <v>1.364555</v>
      </c>
      <c r="I396" s="6">
        <v>9.6101150000000004</v>
      </c>
      <c r="J396" s="6">
        <v>14.874491000000001</v>
      </c>
      <c r="K396" s="7">
        <f t="shared" si="12"/>
        <v>0</v>
      </c>
      <c r="L396" s="8">
        <f t="shared" si="13"/>
        <v>8.6163870000000014</v>
      </c>
      <c r="M396" s="9">
        <v>2.9175524384347202E-9</v>
      </c>
      <c r="N396" s="9">
        <v>5.7834398857721598E-8</v>
      </c>
      <c r="O396" s="2">
        <v>4.5463290998239696</v>
      </c>
      <c r="P396" t="s">
        <v>1617</v>
      </c>
      <c r="Q396" s="10">
        <f>IF(N396&lt;='[1]statistical criteria'!$B$2,IF(O396&gt;=LOG('[1]statistical criteria'!$B$3,2),1,IF(O396&lt;=-1*LOG('[1]statistical criteria'!$B$3,2),2,"-")),"-")</f>
        <v>1</v>
      </c>
      <c r="S396" t="s">
        <v>278</v>
      </c>
      <c r="T396">
        <v>4.7</v>
      </c>
      <c r="U396" t="s">
        <v>279</v>
      </c>
    </row>
    <row r="397" spans="1:21" x14ac:dyDescent="0.35">
      <c r="A397" t="s">
        <v>1619</v>
      </c>
      <c r="B397" t="s">
        <v>1620</v>
      </c>
      <c r="C397">
        <v>609</v>
      </c>
      <c r="D397" s="4">
        <v>0</v>
      </c>
      <c r="E397" s="4">
        <v>0</v>
      </c>
      <c r="F397" s="4">
        <v>0</v>
      </c>
      <c r="G397" s="4">
        <v>0</v>
      </c>
      <c r="H397" s="6">
        <v>14.336812</v>
      </c>
      <c r="I397" s="6">
        <v>8.0112609999999993</v>
      </c>
      <c r="J397" s="6">
        <v>6.3342479999999997</v>
      </c>
      <c r="K397" s="7">
        <f t="shared" si="12"/>
        <v>0</v>
      </c>
      <c r="L397" s="8">
        <f t="shared" si="13"/>
        <v>9.5607736666666661</v>
      </c>
      <c r="M397" s="9">
        <v>5.2293025138490099E-9</v>
      </c>
      <c r="N397" s="9">
        <v>9.8920106201338702E-8</v>
      </c>
      <c r="O397" s="2">
        <v>4.5449449514739602</v>
      </c>
      <c r="P397" t="s">
        <v>1619</v>
      </c>
      <c r="Q397" s="10">
        <f>IF(N397&lt;='[1]statistical criteria'!$B$2,IF(O397&gt;=LOG('[1]statistical criteria'!$B$3,2),1,IF(O397&lt;=-1*LOG('[1]statistical criteria'!$B$3,2),2,"-")),"-")</f>
        <v>1</v>
      </c>
      <c r="R397" t="s">
        <v>121</v>
      </c>
      <c r="S397" t="s">
        <v>1621</v>
      </c>
      <c r="T397" s="9">
        <v>2.0000000000000001E-63</v>
      </c>
      <c r="U397" t="s">
        <v>123</v>
      </c>
    </row>
    <row r="398" spans="1:21" x14ac:dyDescent="0.35">
      <c r="A398" t="s">
        <v>1622</v>
      </c>
      <c r="B398" t="s">
        <v>1623</v>
      </c>
      <c r="C398">
        <v>798</v>
      </c>
      <c r="D398" s="4">
        <v>0</v>
      </c>
      <c r="E398" s="4">
        <v>0</v>
      </c>
      <c r="F398" s="4">
        <v>0</v>
      </c>
      <c r="G398" s="4">
        <v>0</v>
      </c>
      <c r="H398" s="6">
        <v>4.2394679999999996</v>
      </c>
      <c r="I398" s="6">
        <v>6.5091539999999997</v>
      </c>
      <c r="J398" s="6">
        <v>8.4161959999999993</v>
      </c>
      <c r="K398" s="7">
        <f t="shared" si="12"/>
        <v>0</v>
      </c>
      <c r="L398" s="8">
        <f t="shared" si="13"/>
        <v>6.3882726666666656</v>
      </c>
      <c r="M398" s="9">
        <v>1.78521922558539E-6</v>
      </c>
      <c r="N398" s="9">
        <v>1.9280772907428999E-5</v>
      </c>
      <c r="O398" s="2">
        <v>4.54448601025004</v>
      </c>
      <c r="P398" t="s">
        <v>1622</v>
      </c>
      <c r="Q398" s="10">
        <f>IF(N398&lt;='[1]statistical criteria'!$B$2,IF(O398&gt;=LOG('[1]statistical criteria'!$B$3,2),1,IF(O398&lt;=-1*LOG('[1]statistical criteria'!$B$3,2),2,"-")),"-")</f>
        <v>1</v>
      </c>
      <c r="R398" t="s">
        <v>1624</v>
      </c>
      <c r="S398" t="s">
        <v>1625</v>
      </c>
      <c r="T398" s="9">
        <v>3.9999999999999999E-64</v>
      </c>
      <c r="U398" t="s">
        <v>1626</v>
      </c>
    </row>
    <row r="399" spans="1:21" x14ac:dyDescent="0.35">
      <c r="A399" t="s">
        <v>1627</v>
      </c>
      <c r="B399" t="s">
        <v>1628</v>
      </c>
      <c r="C399">
        <v>1504</v>
      </c>
      <c r="D399" s="5">
        <v>0.54809699999999995</v>
      </c>
      <c r="E399" s="4">
        <v>0</v>
      </c>
      <c r="F399" s="4">
        <v>0</v>
      </c>
      <c r="G399" s="4">
        <v>0</v>
      </c>
      <c r="H399" s="6">
        <v>4.3926699999999999</v>
      </c>
      <c r="I399" s="6">
        <v>14.760185999999999</v>
      </c>
      <c r="J399" s="6">
        <v>3.3898809999999999</v>
      </c>
      <c r="K399" s="7">
        <f t="shared" si="12"/>
        <v>0.13702424999999999</v>
      </c>
      <c r="L399" s="8">
        <f t="shared" si="13"/>
        <v>7.5142456666666666</v>
      </c>
      <c r="M399" s="9">
        <v>1.80713010862831E-6</v>
      </c>
      <c r="N399" s="9">
        <v>1.9489762520372201E-5</v>
      </c>
      <c r="O399" s="2">
        <v>4.5416327107372796</v>
      </c>
      <c r="P399" t="s">
        <v>1627</v>
      </c>
      <c r="Q399" s="10">
        <f>IF(N399&lt;='[1]statistical criteria'!$B$2,IF(O399&gt;=LOG('[1]statistical criteria'!$B$3,2),1,IF(O399&lt;=-1*LOG('[1]statistical criteria'!$B$3,2),2,"-")),"-")</f>
        <v>1</v>
      </c>
      <c r="R399" t="s">
        <v>1629</v>
      </c>
      <c r="S399" t="s">
        <v>1630</v>
      </c>
      <c r="T399">
        <v>0</v>
      </c>
      <c r="U399" t="s">
        <v>1631</v>
      </c>
    </row>
    <row r="400" spans="1:21" x14ac:dyDescent="0.35">
      <c r="A400" t="s">
        <v>1632</v>
      </c>
      <c r="B400" t="s">
        <v>1633</v>
      </c>
      <c r="C400">
        <v>744</v>
      </c>
      <c r="D400" s="5">
        <v>16.499977000000001</v>
      </c>
      <c r="E400" s="5">
        <v>7.3311799999999998</v>
      </c>
      <c r="F400" s="4">
        <v>0</v>
      </c>
      <c r="G400" s="4">
        <v>0</v>
      </c>
      <c r="H400" s="6">
        <v>68.270681999999994</v>
      </c>
      <c r="I400" s="6">
        <v>114.49498699999999</v>
      </c>
      <c r="J400" s="6">
        <v>75.661725000000004</v>
      </c>
      <c r="K400" s="7">
        <f t="shared" si="12"/>
        <v>5.9577892500000003</v>
      </c>
      <c r="L400" s="8">
        <f t="shared" si="13"/>
        <v>86.142464666666669</v>
      </c>
      <c r="M400" s="9">
        <v>7.4393137163418296E-5</v>
      </c>
      <c r="N400">
        <v>5.2804975763515497E-4</v>
      </c>
      <c r="O400" s="2">
        <v>4.5386904771307801</v>
      </c>
      <c r="P400" t="s">
        <v>1632</v>
      </c>
      <c r="Q400" s="10">
        <f>IF(N400&lt;='[1]statistical criteria'!$B$2,IF(O400&gt;=LOG('[1]statistical criteria'!$B$3,2),1,IF(O400&lt;=-1*LOG('[1]statistical criteria'!$B$3,2),2,"-")),"-")</f>
        <v>1</v>
      </c>
      <c r="S400" t="s">
        <v>831</v>
      </c>
      <c r="T400" s="9">
        <v>6.0000000000000001E-43</v>
      </c>
      <c r="U400" t="s">
        <v>832</v>
      </c>
    </row>
    <row r="401" spans="1:21" x14ac:dyDescent="0.35">
      <c r="A401" t="s">
        <v>1634</v>
      </c>
      <c r="B401" t="s">
        <v>1635</v>
      </c>
      <c r="C401">
        <v>1260</v>
      </c>
      <c r="D401" s="4">
        <v>0</v>
      </c>
      <c r="E401" s="4">
        <v>0</v>
      </c>
      <c r="F401" s="4">
        <v>0</v>
      </c>
      <c r="G401" s="4">
        <v>0</v>
      </c>
      <c r="H401" s="6">
        <v>5.247134</v>
      </c>
      <c r="I401" s="6">
        <v>2.1805680000000001</v>
      </c>
      <c r="J401" s="6">
        <v>4.4981499999999999</v>
      </c>
      <c r="K401" s="7">
        <f t="shared" si="12"/>
        <v>0</v>
      </c>
      <c r="L401" s="8">
        <f t="shared" si="13"/>
        <v>3.9752839999999998</v>
      </c>
      <c r="M401" s="9">
        <v>6.1338384625622099E-7</v>
      </c>
      <c r="N401" s="9">
        <v>7.4253782406207904E-6</v>
      </c>
      <c r="O401" s="2">
        <v>4.5383066903934299</v>
      </c>
      <c r="P401" t="s">
        <v>1634</v>
      </c>
      <c r="Q401" s="10">
        <f>IF(N401&lt;='[1]statistical criteria'!$B$2,IF(O401&gt;=LOG('[1]statistical criteria'!$B$3,2),1,IF(O401&lt;=-1*LOG('[1]statistical criteria'!$B$3,2),2,"-")),"-")</f>
        <v>1</v>
      </c>
      <c r="R401" t="s">
        <v>980</v>
      </c>
      <c r="S401" t="s">
        <v>1636</v>
      </c>
      <c r="T401">
        <v>0</v>
      </c>
      <c r="U401" t="s">
        <v>982</v>
      </c>
    </row>
    <row r="402" spans="1:21" x14ac:dyDescent="0.35">
      <c r="A402" t="s">
        <v>1637</v>
      </c>
      <c r="B402" t="s">
        <v>1638</v>
      </c>
      <c r="C402">
        <v>1599</v>
      </c>
      <c r="D402" s="5">
        <v>1.258257</v>
      </c>
      <c r="E402" s="5">
        <v>0.58252999999999999</v>
      </c>
      <c r="F402" s="4">
        <v>0</v>
      </c>
      <c r="G402" s="5">
        <v>0.848777</v>
      </c>
      <c r="H402" s="6">
        <v>33.334426000000001</v>
      </c>
      <c r="I402" s="6">
        <v>23.652978000000001</v>
      </c>
      <c r="J402" s="6">
        <v>52.861871999999998</v>
      </c>
      <c r="K402" s="7">
        <f t="shared" si="12"/>
        <v>0.67239099999999996</v>
      </c>
      <c r="L402" s="8">
        <f t="shared" si="13"/>
        <v>36.616425333333332</v>
      </c>
      <c r="M402" s="9">
        <v>1.5184914663153199E-7</v>
      </c>
      <c r="N402" s="9">
        <v>2.0917041334766999E-6</v>
      </c>
      <c r="O402" s="2">
        <v>4.5363829188770799</v>
      </c>
      <c r="P402" t="s">
        <v>1637</v>
      </c>
      <c r="Q402" s="10">
        <f>IF(N402&lt;='[1]statistical criteria'!$B$2,IF(O402&gt;=LOG('[1]statistical criteria'!$B$3,2),1,IF(O402&lt;=-1*LOG('[1]statistical criteria'!$B$3,2),2,"-")),"-")</f>
        <v>1</v>
      </c>
      <c r="R402" t="s">
        <v>897</v>
      </c>
      <c r="S402" t="s">
        <v>898</v>
      </c>
      <c r="T402" s="9">
        <v>2E-150</v>
      </c>
      <c r="U402" t="s">
        <v>61</v>
      </c>
    </row>
    <row r="403" spans="1:21" x14ac:dyDescent="0.35">
      <c r="A403" t="s">
        <v>1639</v>
      </c>
      <c r="B403" t="s">
        <v>1640</v>
      </c>
      <c r="C403">
        <v>1091</v>
      </c>
      <c r="D403" s="5">
        <v>1.5169809999999999</v>
      </c>
      <c r="E403" s="4">
        <v>0</v>
      </c>
      <c r="F403" s="4">
        <v>0</v>
      </c>
      <c r="G403" s="4">
        <v>0</v>
      </c>
      <c r="H403" s="6">
        <v>9.0209620000000008</v>
      </c>
      <c r="I403" s="6">
        <v>19.010587999999998</v>
      </c>
      <c r="J403" s="6">
        <v>5.7023669999999997</v>
      </c>
      <c r="K403" s="7">
        <f t="shared" si="12"/>
        <v>0.37924524999999998</v>
      </c>
      <c r="L403" s="8">
        <f t="shared" si="13"/>
        <v>11.244638999999999</v>
      </c>
      <c r="M403" s="9">
        <v>1.2353714673848501E-8</v>
      </c>
      <c r="N403" s="9">
        <v>2.1731267566197599E-7</v>
      </c>
      <c r="O403" s="2">
        <v>4.5345956839009096</v>
      </c>
      <c r="P403" t="s">
        <v>1639</v>
      </c>
      <c r="Q403" s="10">
        <f>IF(N403&lt;='[1]statistical criteria'!$B$2,IF(O403&gt;=LOG('[1]statistical criteria'!$B$3,2),1,IF(O403&lt;=-1*LOG('[1]statistical criteria'!$B$3,2),2,"-")),"-")</f>
        <v>1</v>
      </c>
      <c r="R403" t="s">
        <v>1641</v>
      </c>
      <c r="S403" t="s">
        <v>1642</v>
      </c>
      <c r="T403" s="9">
        <v>1E-127</v>
      </c>
      <c r="U403" t="s">
        <v>1643</v>
      </c>
    </row>
    <row r="404" spans="1:21" x14ac:dyDescent="0.35">
      <c r="A404" t="s">
        <v>1644</v>
      </c>
      <c r="C404">
        <v>255</v>
      </c>
      <c r="D404" s="4">
        <v>0</v>
      </c>
      <c r="E404" s="4">
        <v>0</v>
      </c>
      <c r="F404" s="5">
        <v>2.1862249999999999</v>
      </c>
      <c r="G404" s="5">
        <v>5.1083980000000002</v>
      </c>
      <c r="H404" s="6">
        <v>169.959844</v>
      </c>
      <c r="I404" s="6">
        <v>65.727219000000005</v>
      </c>
      <c r="J404" s="6">
        <v>235.97337300000001</v>
      </c>
      <c r="K404" s="7">
        <f t="shared" si="12"/>
        <v>1.8236557499999999</v>
      </c>
      <c r="L404" s="8">
        <f t="shared" si="13"/>
        <v>157.22014533333333</v>
      </c>
      <c r="M404" s="9">
        <v>8.52319997586953E-8</v>
      </c>
      <c r="N404" s="9">
        <v>1.2495877930724001E-6</v>
      </c>
      <c r="O404" s="2">
        <v>4.5340830899282496</v>
      </c>
      <c r="P404" t="s">
        <v>1644</v>
      </c>
      <c r="Q404" s="10">
        <f>IF(N404&lt;='[1]statistical criteria'!$B$2,IF(O404&gt;=LOG('[1]statistical criteria'!$B$3,2),1,IF(O404&lt;=-1*LOG('[1]statistical criteria'!$B$3,2),2,"-")),"-")</f>
        <v>1</v>
      </c>
    </row>
    <row r="405" spans="1:21" x14ac:dyDescent="0.35">
      <c r="A405" t="s">
        <v>1645</v>
      </c>
      <c r="B405" t="s">
        <v>1646</v>
      </c>
      <c r="C405">
        <v>1536</v>
      </c>
      <c r="D405" s="5">
        <v>6.6673200000000001</v>
      </c>
      <c r="E405" s="4">
        <v>0</v>
      </c>
      <c r="F405" s="4">
        <v>0</v>
      </c>
      <c r="G405" s="4">
        <v>0</v>
      </c>
      <c r="H405" s="6">
        <v>26.087014</v>
      </c>
      <c r="I405" s="6">
        <v>2.2829329999999999</v>
      </c>
      <c r="J405" s="6">
        <v>22.138601000000001</v>
      </c>
      <c r="K405" s="7">
        <f t="shared" si="12"/>
        <v>1.66683</v>
      </c>
      <c r="L405" s="8">
        <f t="shared" si="13"/>
        <v>16.836182666666669</v>
      </c>
      <c r="M405">
        <v>1.32382782063459E-4</v>
      </c>
      <c r="N405">
        <v>8.7201257967034701E-4</v>
      </c>
      <c r="O405" s="2">
        <v>4.5336989209088401</v>
      </c>
      <c r="P405" t="s">
        <v>1645</v>
      </c>
      <c r="Q405" s="10">
        <f>IF(N405&lt;='[1]statistical criteria'!$B$2,IF(O405&gt;=LOG('[1]statistical criteria'!$B$3,2),1,IF(O405&lt;=-1*LOG('[1]statistical criteria'!$B$3,2),2,"-")),"-")</f>
        <v>1</v>
      </c>
      <c r="R405" t="s">
        <v>1647</v>
      </c>
      <c r="S405" t="s">
        <v>1648</v>
      </c>
      <c r="T405" s="9">
        <v>7.0000000000000005E-55</v>
      </c>
      <c r="U405" t="s">
        <v>1649</v>
      </c>
    </row>
    <row r="406" spans="1:21" x14ac:dyDescent="0.35">
      <c r="A406" t="s">
        <v>1650</v>
      </c>
      <c r="B406" t="s">
        <v>1651</v>
      </c>
      <c r="C406">
        <v>1455</v>
      </c>
      <c r="D406" s="4">
        <v>0</v>
      </c>
      <c r="E406" s="4">
        <v>0</v>
      </c>
      <c r="F406" s="4">
        <v>0</v>
      </c>
      <c r="G406" s="5">
        <v>3.8071959999999998</v>
      </c>
      <c r="H406" s="6">
        <v>13.894133</v>
      </c>
      <c r="I406" s="6">
        <v>6.6382849999999998</v>
      </c>
      <c r="J406" s="6">
        <v>12.227358000000001</v>
      </c>
      <c r="K406" s="7">
        <f t="shared" si="12"/>
        <v>0.95179899999999995</v>
      </c>
      <c r="L406" s="8">
        <f t="shared" si="13"/>
        <v>10.919925333333333</v>
      </c>
      <c r="M406" s="9">
        <v>9.4219232260569502E-8</v>
      </c>
      <c r="N406" s="9">
        <v>1.3679678227331401E-6</v>
      </c>
      <c r="O406" s="2">
        <v>4.5332035343070398</v>
      </c>
      <c r="P406" t="s">
        <v>1650</v>
      </c>
      <c r="Q406" s="10">
        <f>IF(N406&lt;='[1]statistical criteria'!$B$2,IF(O406&gt;=LOG('[1]statistical criteria'!$B$3,2),1,IF(O406&lt;=-1*LOG('[1]statistical criteria'!$B$3,2),2,"-")),"-")</f>
        <v>1</v>
      </c>
      <c r="R406" t="s">
        <v>1652</v>
      </c>
      <c r="S406" t="s">
        <v>1653</v>
      </c>
      <c r="T406">
        <v>0</v>
      </c>
      <c r="U406" t="s">
        <v>1654</v>
      </c>
    </row>
    <row r="407" spans="1:21" x14ac:dyDescent="0.35">
      <c r="A407" t="s">
        <v>1655</v>
      </c>
      <c r="B407" t="s">
        <v>1656</v>
      </c>
      <c r="C407">
        <v>1298</v>
      </c>
      <c r="D407" s="4">
        <v>0</v>
      </c>
      <c r="E407" s="5">
        <v>0.83593700000000004</v>
      </c>
      <c r="F407" s="4">
        <v>0</v>
      </c>
      <c r="G407" s="4">
        <v>0</v>
      </c>
      <c r="H407" s="6">
        <v>10.49709</v>
      </c>
      <c r="I407" s="6">
        <v>7.0163799999999998</v>
      </c>
      <c r="J407" s="6">
        <v>8.8748400000000007</v>
      </c>
      <c r="K407" s="7">
        <f t="shared" si="12"/>
        <v>0.20898425000000001</v>
      </c>
      <c r="L407" s="8">
        <f t="shared" si="13"/>
        <v>8.7961033333333329</v>
      </c>
      <c r="M407" s="9">
        <v>6.1687473772676594E-8</v>
      </c>
      <c r="N407" s="9">
        <v>9.3762989288660997E-7</v>
      </c>
      <c r="O407" s="2">
        <v>4.5286965349935002</v>
      </c>
      <c r="P407" t="s">
        <v>1655</v>
      </c>
      <c r="Q407" s="10">
        <f>IF(N407&lt;='[1]statistical criteria'!$B$2,IF(O407&gt;=LOG('[1]statistical criteria'!$B$3,2),1,IF(O407&lt;=-1*LOG('[1]statistical criteria'!$B$3,2),2,"-")),"-")</f>
        <v>1</v>
      </c>
      <c r="R407" t="s">
        <v>1657</v>
      </c>
      <c r="S407" t="s">
        <v>1658</v>
      </c>
      <c r="T407" s="9">
        <v>2.0000000000000001E-134</v>
      </c>
      <c r="U407" t="s">
        <v>1659</v>
      </c>
    </row>
    <row r="408" spans="1:21" x14ac:dyDescent="0.35">
      <c r="A408" t="s">
        <v>1660</v>
      </c>
      <c r="B408" t="s">
        <v>1661</v>
      </c>
      <c r="C408">
        <v>936</v>
      </c>
      <c r="D408" s="4">
        <v>0</v>
      </c>
      <c r="E408" s="4">
        <v>0</v>
      </c>
      <c r="F408" s="4">
        <v>0</v>
      </c>
      <c r="G408" s="4">
        <v>0</v>
      </c>
      <c r="H408" s="6">
        <v>2.8320599999999998</v>
      </c>
      <c r="I408" s="6">
        <v>3.8107289999999998</v>
      </c>
      <c r="J408" s="6">
        <v>8.4558870000000006</v>
      </c>
      <c r="K408" s="7">
        <f t="shared" si="12"/>
        <v>0</v>
      </c>
      <c r="L408" s="8">
        <f t="shared" si="13"/>
        <v>5.0328920000000004</v>
      </c>
      <c r="M408" s="9">
        <v>1.89045196318821E-9</v>
      </c>
      <c r="N408" s="9">
        <v>3.89343082894715E-8</v>
      </c>
      <c r="O408" s="2">
        <v>4.5274197284424398</v>
      </c>
      <c r="P408" t="s">
        <v>1660</v>
      </c>
      <c r="Q408" s="10">
        <f>IF(N408&lt;='[1]statistical criteria'!$B$2,IF(O408&gt;=LOG('[1]statistical criteria'!$B$3,2),1,IF(O408&lt;=-1*LOG('[1]statistical criteria'!$B$3,2),2,"-")),"-")</f>
        <v>1</v>
      </c>
      <c r="R408" t="s">
        <v>1471</v>
      </c>
      <c r="S408" t="s">
        <v>1472</v>
      </c>
      <c r="T408" s="9">
        <v>7.9999999999999999E-92</v>
      </c>
      <c r="U408" t="s">
        <v>1473</v>
      </c>
    </row>
    <row r="409" spans="1:21" x14ac:dyDescent="0.35">
      <c r="A409" t="s">
        <v>1662</v>
      </c>
      <c r="B409" t="s">
        <v>1663</v>
      </c>
      <c r="C409">
        <v>879</v>
      </c>
      <c r="D409" s="4">
        <v>0</v>
      </c>
      <c r="E409" s="5">
        <v>1.6737740000000001</v>
      </c>
      <c r="F409" s="4">
        <v>0</v>
      </c>
      <c r="G409" s="4">
        <v>0</v>
      </c>
      <c r="H409" s="6">
        <v>13.464983999999999</v>
      </c>
      <c r="I409" s="6">
        <v>5.8048780000000004</v>
      </c>
      <c r="J409" s="6">
        <v>26.060124999999999</v>
      </c>
      <c r="K409" s="7">
        <f t="shared" si="12"/>
        <v>0.41844350000000002</v>
      </c>
      <c r="L409" s="8">
        <f t="shared" si="13"/>
        <v>15.109995666666668</v>
      </c>
      <c r="M409" s="9">
        <v>5.1804143498525299E-8</v>
      </c>
      <c r="N409" s="9">
        <v>8.0149012258287495E-7</v>
      </c>
      <c r="O409" s="2">
        <v>4.5236579005933502</v>
      </c>
      <c r="P409" t="s">
        <v>1662</v>
      </c>
      <c r="Q409" s="10">
        <f>IF(N409&lt;='[1]statistical criteria'!$B$2,IF(O409&gt;=LOG('[1]statistical criteria'!$B$3,2),1,IF(O409&lt;=-1*LOG('[1]statistical criteria'!$B$3,2),2,"-")),"-")</f>
        <v>1</v>
      </c>
      <c r="R409" t="s">
        <v>1664</v>
      </c>
      <c r="S409" t="s">
        <v>1665</v>
      </c>
      <c r="T409" s="9">
        <v>2.0000000000000001E-110</v>
      </c>
      <c r="U409" t="s">
        <v>1666</v>
      </c>
    </row>
    <row r="410" spans="1:21" x14ac:dyDescent="0.35">
      <c r="A410" t="s">
        <v>334</v>
      </c>
      <c r="B410" t="s">
        <v>335</v>
      </c>
      <c r="C410">
        <v>1545</v>
      </c>
      <c r="D410" s="4">
        <v>0</v>
      </c>
      <c r="E410" s="4">
        <v>0</v>
      </c>
      <c r="F410" s="5">
        <v>3.7288540000000001</v>
      </c>
      <c r="G410" s="5">
        <v>1.4084220000000001</v>
      </c>
      <c r="H410" s="6">
        <v>42.654907999999999</v>
      </c>
      <c r="I410" s="6">
        <v>11.593793</v>
      </c>
      <c r="J410" s="6">
        <v>34.564906999999998</v>
      </c>
      <c r="K410" s="7">
        <f t="shared" si="12"/>
        <v>1.284319</v>
      </c>
      <c r="L410" s="8">
        <f t="shared" si="13"/>
        <v>29.604535999999996</v>
      </c>
      <c r="M410" s="9">
        <v>5.5431121138593302E-5</v>
      </c>
      <c r="N410">
        <v>4.0828259715180299E-4</v>
      </c>
      <c r="O410" s="2">
        <v>4.5190762356307204</v>
      </c>
      <c r="P410" t="s">
        <v>334</v>
      </c>
      <c r="Q410" s="10">
        <f>IF(N410&lt;='[1]statistical criteria'!$B$2,IF(O410&gt;=LOG('[1]statistical criteria'!$B$3,2),1,IF(O410&lt;=-1*LOG('[1]statistical criteria'!$B$3,2),2,"-")),"-")</f>
        <v>1</v>
      </c>
      <c r="R410" t="s">
        <v>336</v>
      </c>
      <c r="S410" t="s">
        <v>337</v>
      </c>
      <c r="T410">
        <v>0</v>
      </c>
      <c r="U410" t="s">
        <v>338</v>
      </c>
    </row>
    <row r="411" spans="1:21" x14ac:dyDescent="0.35">
      <c r="A411" t="s">
        <v>1667</v>
      </c>
      <c r="B411" t="s">
        <v>1668</v>
      </c>
      <c r="C411">
        <v>639</v>
      </c>
      <c r="D411" s="5">
        <v>7.3519750000000004</v>
      </c>
      <c r="E411" s="4">
        <v>0</v>
      </c>
      <c r="F411" s="4">
        <v>0</v>
      </c>
      <c r="G411" s="5">
        <v>0.62444100000000002</v>
      </c>
      <c r="H411" s="6">
        <v>41.846417000000002</v>
      </c>
      <c r="I411" s="6">
        <v>100.88750400000001</v>
      </c>
      <c r="J411" s="6">
        <v>74.354004000000003</v>
      </c>
      <c r="K411" s="7">
        <f t="shared" si="12"/>
        <v>1.9941040000000001</v>
      </c>
      <c r="L411" s="8">
        <f t="shared" si="13"/>
        <v>72.362641666666676</v>
      </c>
      <c r="M411" s="9">
        <v>5.1531605282260901E-6</v>
      </c>
      <c r="N411" s="9">
        <v>5.0148118052744902E-5</v>
      </c>
      <c r="O411" s="2">
        <v>4.5183238906590297</v>
      </c>
      <c r="P411" t="s">
        <v>1667</v>
      </c>
      <c r="Q411" s="10">
        <f>IF(N411&lt;='[1]statistical criteria'!$B$2,IF(O411&gt;=LOG('[1]statistical criteria'!$B$3,2),1,IF(O411&lt;=-1*LOG('[1]statistical criteria'!$B$3,2),2,"-")),"-")</f>
        <v>1</v>
      </c>
    </row>
    <row r="412" spans="1:21" x14ac:dyDescent="0.35">
      <c r="A412" t="s">
        <v>1669</v>
      </c>
      <c r="B412" t="s">
        <v>1670</v>
      </c>
      <c r="C412">
        <v>1098</v>
      </c>
      <c r="D412" s="4">
        <v>0</v>
      </c>
      <c r="E412" s="4">
        <v>0</v>
      </c>
      <c r="F412" s="5">
        <v>2.310927</v>
      </c>
      <c r="G412" s="4">
        <v>0</v>
      </c>
      <c r="H412" s="6">
        <v>9.7758710000000004</v>
      </c>
      <c r="I412" s="6">
        <v>8.6072690000000005</v>
      </c>
      <c r="J412" s="6">
        <v>16.519030000000001</v>
      </c>
      <c r="K412" s="7">
        <f t="shared" si="12"/>
        <v>0.57773174999999999</v>
      </c>
      <c r="L412" s="8">
        <f t="shared" si="13"/>
        <v>11.634056666666666</v>
      </c>
      <c r="M412" s="9">
        <v>5.29757617445443E-5</v>
      </c>
      <c r="N412">
        <v>3.9264994975605799E-4</v>
      </c>
      <c r="O412" s="2">
        <v>4.51698708969246</v>
      </c>
      <c r="P412" t="s">
        <v>1669</v>
      </c>
      <c r="Q412" s="10">
        <f>IF(N412&lt;='[1]statistical criteria'!$B$2,IF(O412&gt;=LOG('[1]statistical criteria'!$B$3,2),1,IF(O412&lt;=-1*LOG('[1]statistical criteria'!$B$3,2),2,"-")),"-")</f>
        <v>1</v>
      </c>
      <c r="R412" t="s">
        <v>980</v>
      </c>
      <c r="S412" t="s">
        <v>1671</v>
      </c>
      <c r="T412">
        <v>0</v>
      </c>
      <c r="U412" t="s">
        <v>982</v>
      </c>
    </row>
    <row r="413" spans="1:21" x14ac:dyDescent="0.35">
      <c r="A413" t="s">
        <v>1672</v>
      </c>
      <c r="B413" t="s">
        <v>1673</v>
      </c>
      <c r="C413">
        <v>1611</v>
      </c>
      <c r="D413" s="4">
        <v>0</v>
      </c>
      <c r="E413" s="4">
        <v>0</v>
      </c>
      <c r="F413" s="4">
        <v>0</v>
      </c>
      <c r="G413" s="5">
        <v>0.14893000000000001</v>
      </c>
      <c r="H413" s="6">
        <v>11.579786</v>
      </c>
      <c r="I413" s="6">
        <v>1.6478390000000001</v>
      </c>
      <c r="J413" s="6">
        <v>5.5374420000000004</v>
      </c>
      <c r="K413" s="7">
        <f t="shared" si="12"/>
        <v>3.7232500000000002E-2</v>
      </c>
      <c r="L413" s="8">
        <f t="shared" si="13"/>
        <v>6.2550223333333337</v>
      </c>
      <c r="M413" s="9">
        <v>2.1411238182183599E-6</v>
      </c>
      <c r="N413" s="9">
        <v>2.2699490953033701E-5</v>
      </c>
      <c r="O413" s="2">
        <v>4.5131926631972501</v>
      </c>
      <c r="P413" t="s">
        <v>1672</v>
      </c>
      <c r="Q413" s="10">
        <f>IF(N413&lt;='[1]statistical criteria'!$B$2,IF(O413&gt;=LOG('[1]statistical criteria'!$B$3,2),1,IF(O413&lt;=-1*LOG('[1]statistical criteria'!$B$3,2),2,"-")),"-")</f>
        <v>1</v>
      </c>
      <c r="S413" t="s">
        <v>1674</v>
      </c>
      <c r="T413" s="9">
        <v>6.9999999999999997E-75</v>
      </c>
      <c r="U413" t="s">
        <v>1675</v>
      </c>
    </row>
    <row r="414" spans="1:21" x14ac:dyDescent="0.35">
      <c r="A414" t="s">
        <v>1676</v>
      </c>
      <c r="B414" t="s">
        <v>1677</v>
      </c>
      <c r="C414">
        <v>549</v>
      </c>
      <c r="D414" s="4">
        <v>0</v>
      </c>
      <c r="E414" s="4">
        <v>0</v>
      </c>
      <c r="F414" s="4">
        <v>0</v>
      </c>
      <c r="G414" s="4">
        <v>0</v>
      </c>
      <c r="H414" s="6">
        <v>23.617373000000001</v>
      </c>
      <c r="I414" s="6">
        <v>10.042728</v>
      </c>
      <c r="J414" s="6">
        <v>4.0281909999999996</v>
      </c>
      <c r="K414" s="7">
        <f t="shared" si="12"/>
        <v>0</v>
      </c>
      <c r="L414" s="8">
        <f t="shared" si="13"/>
        <v>12.562764</v>
      </c>
      <c r="M414" s="9">
        <v>5.1466183130831401E-7</v>
      </c>
      <c r="N414" s="9">
        <v>6.3453285712971896E-6</v>
      </c>
      <c r="O414" s="2">
        <v>4.5126401165023502</v>
      </c>
      <c r="P414" t="s">
        <v>1676</v>
      </c>
      <c r="Q414" s="10">
        <f>IF(N414&lt;='[1]statistical criteria'!$B$2,IF(O414&gt;=LOG('[1]statistical criteria'!$B$3,2),1,IF(O414&lt;=-1*LOG('[1]statistical criteria'!$B$3,2),2,"-")),"-")</f>
        <v>1</v>
      </c>
      <c r="R414" t="s">
        <v>1678</v>
      </c>
      <c r="S414" t="s">
        <v>1679</v>
      </c>
      <c r="T414" s="9">
        <v>1.0000000000000001E-123</v>
      </c>
      <c r="U414" t="s">
        <v>1680</v>
      </c>
    </row>
    <row r="415" spans="1:21" x14ac:dyDescent="0.35">
      <c r="A415" t="s">
        <v>1681</v>
      </c>
      <c r="B415" t="s">
        <v>1682</v>
      </c>
      <c r="C415">
        <v>948</v>
      </c>
      <c r="D415" s="4">
        <v>0</v>
      </c>
      <c r="E415" s="4">
        <v>0</v>
      </c>
      <c r="F415" s="4">
        <v>0</v>
      </c>
      <c r="G415" s="4">
        <v>0</v>
      </c>
      <c r="H415" s="6">
        <v>5.1807720000000002</v>
      </c>
      <c r="I415" s="6">
        <v>6.5219149999999999</v>
      </c>
      <c r="J415" s="6">
        <v>1.661883</v>
      </c>
      <c r="K415" s="7">
        <f t="shared" si="12"/>
        <v>0</v>
      </c>
      <c r="L415" s="8">
        <f t="shared" si="13"/>
        <v>4.4548566666666671</v>
      </c>
      <c r="M415" s="9">
        <v>4.4190605886663099E-10</v>
      </c>
      <c r="N415" s="9">
        <v>1.0035169809346001E-8</v>
      </c>
      <c r="O415" s="2">
        <v>4.5118897611851496</v>
      </c>
      <c r="P415" t="s">
        <v>1681</v>
      </c>
      <c r="Q415" s="10">
        <f>IF(N415&lt;='[1]statistical criteria'!$B$2,IF(O415&gt;=LOG('[1]statistical criteria'!$B$3,2),1,IF(O415&lt;=-1*LOG('[1]statistical criteria'!$B$3,2),2,"-")),"-")</f>
        <v>1</v>
      </c>
      <c r="R415" t="s">
        <v>1683</v>
      </c>
      <c r="S415" t="s">
        <v>1684</v>
      </c>
      <c r="T415" s="9">
        <v>4.0000000000000003E-37</v>
      </c>
      <c r="U415" t="s">
        <v>1685</v>
      </c>
    </row>
    <row r="416" spans="1:21" x14ac:dyDescent="0.35">
      <c r="A416" t="s">
        <v>1686</v>
      </c>
      <c r="B416" t="s">
        <v>1687</v>
      </c>
      <c r="C416">
        <v>1332</v>
      </c>
      <c r="D416" s="4">
        <v>0</v>
      </c>
      <c r="E416" s="5">
        <v>3.9047109999999998</v>
      </c>
      <c r="F416" s="4">
        <v>0</v>
      </c>
      <c r="G416" s="4">
        <v>0</v>
      </c>
      <c r="H416" s="6">
        <v>10.40166</v>
      </c>
      <c r="I416" s="6">
        <v>10.663686999999999</v>
      </c>
      <c r="J416" s="6">
        <v>10.616308</v>
      </c>
      <c r="K416" s="7">
        <f t="shared" si="12"/>
        <v>0.97617774999999996</v>
      </c>
      <c r="L416" s="8">
        <f t="shared" si="13"/>
        <v>10.560551666666667</v>
      </c>
      <c r="M416" s="9">
        <v>1.6563436156124599E-7</v>
      </c>
      <c r="N416" s="9">
        <v>2.2651971976360102E-6</v>
      </c>
      <c r="O416" s="2">
        <v>4.5107722516427504</v>
      </c>
      <c r="P416" t="s">
        <v>1686</v>
      </c>
      <c r="Q416" s="10">
        <f>IF(N416&lt;='[1]statistical criteria'!$B$2,IF(O416&gt;=LOG('[1]statistical criteria'!$B$3,2),1,IF(O416&lt;=-1*LOG('[1]statistical criteria'!$B$3,2),2,"-")),"-")</f>
        <v>1</v>
      </c>
      <c r="R416" t="s">
        <v>145</v>
      </c>
      <c r="S416" t="s">
        <v>146</v>
      </c>
      <c r="T416">
        <v>0</v>
      </c>
      <c r="U416" t="s">
        <v>147</v>
      </c>
    </row>
    <row r="417" spans="1:21" x14ac:dyDescent="0.35">
      <c r="A417" t="s">
        <v>218</v>
      </c>
      <c r="B417" t="s">
        <v>219</v>
      </c>
      <c r="C417">
        <v>848</v>
      </c>
      <c r="D417" s="4">
        <v>0</v>
      </c>
      <c r="E417" s="4">
        <v>0</v>
      </c>
      <c r="F417" s="4">
        <v>0</v>
      </c>
      <c r="G417" s="4">
        <v>0</v>
      </c>
      <c r="H417" s="6">
        <v>7.3594169999999997</v>
      </c>
      <c r="I417" s="6">
        <v>10.458886</v>
      </c>
      <c r="J417" s="6">
        <v>4.239274</v>
      </c>
      <c r="K417" s="7">
        <f t="shared" si="12"/>
        <v>0</v>
      </c>
      <c r="L417" s="8">
        <f t="shared" si="13"/>
        <v>7.3525256666666676</v>
      </c>
      <c r="M417" s="9">
        <v>1.1723853994127899E-6</v>
      </c>
      <c r="N417" s="9">
        <v>1.32682094265985E-5</v>
      </c>
      <c r="O417" s="2">
        <v>4.50313678162677</v>
      </c>
      <c r="P417" t="s">
        <v>218</v>
      </c>
      <c r="Q417" s="10">
        <f>IF(N417&lt;='[1]statistical criteria'!$B$2,IF(O417&gt;=LOG('[1]statistical criteria'!$B$3,2),1,IF(O417&lt;=-1*LOG('[1]statistical criteria'!$B$3,2),2,"-")),"-")</f>
        <v>1</v>
      </c>
      <c r="R417" t="s">
        <v>172</v>
      </c>
      <c r="S417" t="s">
        <v>173</v>
      </c>
      <c r="T417" s="9">
        <v>2.0000000000000001E-59</v>
      </c>
      <c r="U417" t="s">
        <v>174</v>
      </c>
    </row>
    <row r="418" spans="1:21" x14ac:dyDescent="0.35">
      <c r="A418" t="s">
        <v>1688</v>
      </c>
      <c r="B418" t="s">
        <v>1689</v>
      </c>
      <c r="C418">
        <v>1626</v>
      </c>
      <c r="D418" s="5">
        <v>3.4011529999999999</v>
      </c>
      <c r="E418" s="4">
        <v>0</v>
      </c>
      <c r="F418" s="4">
        <v>0</v>
      </c>
      <c r="G418" s="4">
        <v>0</v>
      </c>
      <c r="H418" s="6">
        <v>8.3273340000000005</v>
      </c>
      <c r="I418" s="6">
        <v>16.061045</v>
      </c>
      <c r="J418" s="6">
        <v>8.204853</v>
      </c>
      <c r="K418" s="7">
        <f t="shared" si="12"/>
        <v>0.85028824999999997</v>
      </c>
      <c r="L418" s="8">
        <f t="shared" si="13"/>
        <v>10.864410666666666</v>
      </c>
      <c r="M418" s="9">
        <v>3.0400767922520402E-8</v>
      </c>
      <c r="N418" s="9">
        <v>4.9241981445039698E-7</v>
      </c>
      <c r="O418" s="2">
        <v>4.5013580272440699</v>
      </c>
      <c r="P418" t="s">
        <v>1688</v>
      </c>
      <c r="Q418" s="10">
        <f>IF(N418&lt;='[1]statistical criteria'!$B$2,IF(O418&gt;=LOG('[1]statistical criteria'!$B$3,2),1,IF(O418&lt;=-1*LOG('[1]statistical criteria'!$B$3,2),2,"-")),"-")</f>
        <v>1</v>
      </c>
      <c r="R418" t="s">
        <v>175</v>
      </c>
      <c r="S418" t="s">
        <v>1690</v>
      </c>
      <c r="T418">
        <v>0</v>
      </c>
      <c r="U418" t="s">
        <v>176</v>
      </c>
    </row>
    <row r="419" spans="1:21" x14ac:dyDescent="0.35">
      <c r="A419" t="s">
        <v>1691</v>
      </c>
      <c r="B419" t="s">
        <v>1692</v>
      </c>
      <c r="C419">
        <v>1394</v>
      </c>
      <c r="D419" s="5">
        <v>1.29914</v>
      </c>
      <c r="E419" s="4">
        <v>0</v>
      </c>
      <c r="F419" s="4">
        <v>0</v>
      </c>
      <c r="G419" s="4">
        <v>0</v>
      </c>
      <c r="H419" s="6">
        <v>11.715112</v>
      </c>
      <c r="I419" s="6">
        <v>3.2302469999999999</v>
      </c>
      <c r="J419" s="6">
        <v>8.7722929999999995</v>
      </c>
      <c r="K419" s="7">
        <f t="shared" si="12"/>
        <v>0.32478499999999999</v>
      </c>
      <c r="L419" s="8">
        <f t="shared" si="13"/>
        <v>7.9058840000000004</v>
      </c>
      <c r="M419" s="9">
        <v>8.0730173682948796E-7</v>
      </c>
      <c r="N419" s="9">
        <v>9.5215073144500492E-6</v>
      </c>
      <c r="O419" s="2">
        <v>4.49990759070465</v>
      </c>
      <c r="P419" t="s">
        <v>1691</v>
      </c>
      <c r="Q419" s="10">
        <f>IF(N419&lt;='[1]statistical criteria'!$B$2,IF(O419&gt;=LOG('[1]statistical criteria'!$B$3,2),1,IF(O419&lt;=-1*LOG('[1]statistical criteria'!$B$3,2),2,"-")),"-")</f>
        <v>1</v>
      </c>
      <c r="R419" t="s">
        <v>1693</v>
      </c>
      <c r="S419" t="s">
        <v>1694</v>
      </c>
      <c r="T419">
        <v>0</v>
      </c>
      <c r="U419" t="s">
        <v>1695</v>
      </c>
    </row>
    <row r="420" spans="1:21" x14ac:dyDescent="0.35">
      <c r="A420" t="s">
        <v>1696</v>
      </c>
      <c r="B420" t="s">
        <v>1697</v>
      </c>
      <c r="C420">
        <v>1629</v>
      </c>
      <c r="D420" s="5">
        <v>3.2287279999999998</v>
      </c>
      <c r="E420" s="4">
        <v>0</v>
      </c>
      <c r="F420" s="4">
        <v>0</v>
      </c>
      <c r="G420" s="5">
        <v>0.176342</v>
      </c>
      <c r="H420" s="6">
        <v>23.137986000000001</v>
      </c>
      <c r="I420" s="6">
        <v>6.9393180000000001</v>
      </c>
      <c r="J420" s="6">
        <v>20.238261999999999</v>
      </c>
      <c r="K420" s="7">
        <f t="shared" si="12"/>
        <v>0.85126749999999995</v>
      </c>
      <c r="L420" s="8">
        <f t="shared" si="13"/>
        <v>16.771855333333335</v>
      </c>
      <c r="M420" s="9">
        <v>1.40863895303287E-9</v>
      </c>
      <c r="N420" s="9">
        <v>2.9685934968123398E-8</v>
      </c>
      <c r="O420" s="2">
        <v>4.4983428780741503</v>
      </c>
      <c r="P420" t="s">
        <v>1696</v>
      </c>
      <c r="Q420" s="10">
        <f>IF(N420&lt;='[1]statistical criteria'!$B$2,IF(O420&gt;=LOG('[1]statistical criteria'!$B$3,2),1,IF(O420&lt;=-1*LOG('[1]statistical criteria'!$B$3,2),2,"-")),"-")</f>
        <v>1</v>
      </c>
      <c r="R420" t="s">
        <v>1698</v>
      </c>
      <c r="S420" t="s">
        <v>1699</v>
      </c>
      <c r="T420">
        <v>0</v>
      </c>
      <c r="U420" t="s">
        <v>1700</v>
      </c>
    </row>
    <row r="421" spans="1:21" x14ac:dyDescent="0.35">
      <c r="A421" t="s">
        <v>1701</v>
      </c>
      <c r="B421" t="s">
        <v>1702</v>
      </c>
      <c r="C421">
        <v>726</v>
      </c>
      <c r="D421" s="4">
        <v>0</v>
      </c>
      <c r="E421" s="4">
        <v>0</v>
      </c>
      <c r="F421" s="4">
        <v>0</v>
      </c>
      <c r="G421" s="4">
        <v>0</v>
      </c>
      <c r="H421" s="6">
        <v>5.8833770000000003</v>
      </c>
      <c r="I421" s="6">
        <v>15.503631</v>
      </c>
      <c r="J421" s="6">
        <v>5.509938</v>
      </c>
      <c r="K421" s="7">
        <f t="shared" si="12"/>
        <v>0</v>
      </c>
      <c r="L421" s="8">
        <f t="shared" si="13"/>
        <v>8.9656486666666666</v>
      </c>
      <c r="M421" s="9">
        <v>1.6252742675777199E-6</v>
      </c>
      <c r="N421" s="9">
        <v>1.7744675451522701E-5</v>
      </c>
      <c r="O421" s="2">
        <v>4.4965540383579299</v>
      </c>
      <c r="P421" t="s">
        <v>1701</v>
      </c>
      <c r="Q421" s="10">
        <f>IF(N421&lt;='[1]statistical criteria'!$B$2,IF(O421&gt;=LOG('[1]statistical criteria'!$B$3,2),1,IF(O421&lt;=-1*LOG('[1]statistical criteria'!$B$3,2),2,"-")),"-")</f>
        <v>1</v>
      </c>
      <c r="R421" t="s">
        <v>1703</v>
      </c>
    </row>
    <row r="422" spans="1:21" x14ac:dyDescent="0.35">
      <c r="A422" t="s">
        <v>1704</v>
      </c>
      <c r="B422" t="s">
        <v>539</v>
      </c>
      <c r="C422">
        <v>228</v>
      </c>
      <c r="D422" s="4">
        <v>0</v>
      </c>
      <c r="E422" s="4">
        <v>0</v>
      </c>
      <c r="F422" s="4">
        <v>0</v>
      </c>
      <c r="G422" s="4">
        <v>0</v>
      </c>
      <c r="H422" s="6">
        <v>49.968193999999997</v>
      </c>
      <c r="I422" s="6">
        <v>52.581775</v>
      </c>
      <c r="J422" s="6">
        <v>81.683090000000007</v>
      </c>
      <c r="K422" s="7">
        <f t="shared" si="12"/>
        <v>0</v>
      </c>
      <c r="L422" s="8">
        <f t="shared" si="13"/>
        <v>61.411019666666675</v>
      </c>
      <c r="M422" s="9">
        <v>1.5545516121712099E-10</v>
      </c>
      <c r="N422" s="9">
        <v>3.8122573685074902E-9</v>
      </c>
      <c r="O422" s="2">
        <v>4.4946780379283302</v>
      </c>
      <c r="P422" t="s">
        <v>1704</v>
      </c>
      <c r="Q422" s="10">
        <f>IF(N422&lt;='[1]statistical criteria'!$B$2,IF(O422&gt;=LOG('[1]statistical criteria'!$B$3,2),1,IF(O422&lt;=-1*LOG('[1]statistical criteria'!$B$3,2),2,"-")),"-")</f>
        <v>1</v>
      </c>
      <c r="R422" t="s">
        <v>540</v>
      </c>
    </row>
    <row r="423" spans="1:21" x14ac:dyDescent="0.35">
      <c r="A423" t="s">
        <v>1705</v>
      </c>
      <c r="B423" t="s">
        <v>1706</v>
      </c>
      <c r="C423">
        <v>1254</v>
      </c>
      <c r="D423" s="4">
        <v>0</v>
      </c>
      <c r="E423" s="4">
        <v>0</v>
      </c>
      <c r="F423" s="4">
        <v>0</v>
      </c>
      <c r="G423" s="5">
        <v>0.50056</v>
      </c>
      <c r="H423" s="6">
        <v>8.7989429999999995</v>
      </c>
      <c r="I423" s="6">
        <v>4.8901370000000002</v>
      </c>
      <c r="J423" s="6">
        <v>13.092679</v>
      </c>
      <c r="K423" s="7">
        <f t="shared" si="12"/>
        <v>0.12514</v>
      </c>
      <c r="L423" s="8">
        <f t="shared" si="13"/>
        <v>8.9272530000000003</v>
      </c>
      <c r="M423" s="9">
        <v>6.9353173609993204E-7</v>
      </c>
      <c r="N423" s="9">
        <v>8.3162627208454293E-6</v>
      </c>
      <c r="O423" s="2">
        <v>4.4924014128790697</v>
      </c>
      <c r="P423" t="s">
        <v>1705</v>
      </c>
      <c r="Q423" s="10">
        <f>IF(N423&lt;='[1]statistical criteria'!$B$2,IF(O423&gt;=LOG('[1]statistical criteria'!$B$3,2),1,IF(O423&lt;=-1*LOG('[1]statistical criteria'!$B$3,2),2,"-")),"-")</f>
        <v>1</v>
      </c>
      <c r="R423" t="s">
        <v>1707</v>
      </c>
      <c r="S423" t="s">
        <v>1708</v>
      </c>
      <c r="T423">
        <v>0</v>
      </c>
      <c r="U423" t="s">
        <v>1709</v>
      </c>
    </row>
    <row r="424" spans="1:21" x14ac:dyDescent="0.35">
      <c r="A424" t="s">
        <v>1710</v>
      </c>
      <c r="B424" t="s">
        <v>1711</v>
      </c>
      <c r="C424">
        <v>588</v>
      </c>
      <c r="D424" s="5">
        <v>12.730119</v>
      </c>
      <c r="E424" s="4">
        <v>0</v>
      </c>
      <c r="F424" s="4">
        <v>0</v>
      </c>
      <c r="G424" s="4">
        <v>0</v>
      </c>
      <c r="H424" s="6">
        <v>55.667447000000003</v>
      </c>
      <c r="I424" s="6">
        <v>41.991773000000002</v>
      </c>
      <c r="J424" s="6">
        <v>26.409825999999999</v>
      </c>
      <c r="K424" s="7">
        <f t="shared" si="12"/>
        <v>3.18252975</v>
      </c>
      <c r="L424" s="8">
        <f t="shared" si="13"/>
        <v>41.356348666666669</v>
      </c>
      <c r="M424" s="9">
        <v>5.2969582508887597E-6</v>
      </c>
      <c r="N424" s="9">
        <v>5.1389811631105401E-5</v>
      </c>
      <c r="O424" s="2">
        <v>4.4920876537437904</v>
      </c>
      <c r="P424" t="s">
        <v>1710</v>
      </c>
      <c r="Q424" s="10">
        <f>IF(N424&lt;='[1]statistical criteria'!$B$2,IF(O424&gt;=LOG('[1]statistical criteria'!$B$3,2),1,IF(O424&lt;=-1*LOG('[1]statistical criteria'!$B$3,2),2,"-")),"-")</f>
        <v>1</v>
      </c>
    </row>
    <row r="425" spans="1:21" x14ac:dyDescent="0.35">
      <c r="A425" t="s">
        <v>1712</v>
      </c>
      <c r="B425" t="s">
        <v>1713</v>
      </c>
      <c r="C425">
        <v>1083</v>
      </c>
      <c r="D425" s="4">
        <v>0</v>
      </c>
      <c r="E425" s="4">
        <v>0</v>
      </c>
      <c r="F425" s="5">
        <v>2.149769</v>
      </c>
      <c r="G425" s="5">
        <v>1.785334</v>
      </c>
      <c r="H425" s="6">
        <v>35.211323</v>
      </c>
      <c r="I425" s="6">
        <v>22.171030999999999</v>
      </c>
      <c r="J425" s="6">
        <v>25.446674999999999</v>
      </c>
      <c r="K425" s="7">
        <f t="shared" si="12"/>
        <v>0.98377574999999995</v>
      </c>
      <c r="L425" s="8">
        <f t="shared" si="13"/>
        <v>27.609676333333329</v>
      </c>
      <c r="M425" s="9">
        <v>2.3772752304263301E-6</v>
      </c>
      <c r="N425" s="9">
        <v>2.49391111549135E-5</v>
      </c>
      <c r="O425" s="2">
        <v>4.4913618982671597</v>
      </c>
      <c r="P425" t="s">
        <v>1712</v>
      </c>
      <c r="Q425" s="10">
        <f>IF(N425&lt;='[1]statistical criteria'!$B$2,IF(O425&gt;=LOG('[1]statistical criteria'!$B$3,2),1,IF(O425&lt;=-1*LOG('[1]statistical criteria'!$B$3,2),2,"-")),"-")</f>
        <v>1</v>
      </c>
    </row>
    <row r="426" spans="1:21" x14ac:dyDescent="0.35">
      <c r="A426" t="s">
        <v>1714</v>
      </c>
      <c r="B426" t="s">
        <v>1715</v>
      </c>
      <c r="C426">
        <v>1653</v>
      </c>
      <c r="D426" s="4">
        <v>0</v>
      </c>
      <c r="E426" s="4">
        <v>0</v>
      </c>
      <c r="F426" s="4">
        <v>0</v>
      </c>
      <c r="G426" s="5">
        <v>0.172511</v>
      </c>
      <c r="H426" s="6">
        <v>4.0630059999999997</v>
      </c>
      <c r="I426" s="6">
        <v>4.8334659999999996</v>
      </c>
      <c r="J426" s="6">
        <v>7.8320610000000004</v>
      </c>
      <c r="K426" s="7">
        <f t="shared" si="12"/>
        <v>4.3127749999999999E-2</v>
      </c>
      <c r="L426" s="8">
        <f t="shared" si="13"/>
        <v>5.5761776666666663</v>
      </c>
      <c r="M426" s="9">
        <v>2.0166511843122202E-6</v>
      </c>
      <c r="N426" s="9">
        <v>2.1517730326583501E-5</v>
      </c>
      <c r="O426" s="2">
        <v>4.48288852939395</v>
      </c>
      <c r="P426" t="s">
        <v>1714</v>
      </c>
      <c r="Q426" s="10">
        <f>IF(N426&lt;='[1]statistical criteria'!$B$2,IF(O426&gt;=LOG('[1]statistical criteria'!$B$3,2),1,IF(O426&lt;=-1*LOG('[1]statistical criteria'!$B$3,2),2,"-")),"-")</f>
        <v>1</v>
      </c>
      <c r="R426" t="s">
        <v>1716</v>
      </c>
      <c r="S426" t="s">
        <v>1717</v>
      </c>
      <c r="T426">
        <v>0</v>
      </c>
      <c r="U426" t="s">
        <v>1718</v>
      </c>
    </row>
    <row r="427" spans="1:21" x14ac:dyDescent="0.35">
      <c r="A427" t="s">
        <v>1719</v>
      </c>
      <c r="B427" t="s">
        <v>1720</v>
      </c>
      <c r="C427">
        <v>1302</v>
      </c>
      <c r="D427" s="5">
        <v>6.0859300000000003</v>
      </c>
      <c r="E427" s="5">
        <v>0.81989100000000004</v>
      </c>
      <c r="F427" s="5">
        <v>1.255053</v>
      </c>
      <c r="G427" s="4">
        <v>0</v>
      </c>
      <c r="H427" s="6">
        <v>84.498431999999994</v>
      </c>
      <c r="I427" s="6">
        <v>63.269665000000003</v>
      </c>
      <c r="J427" s="6">
        <v>72.055272000000002</v>
      </c>
      <c r="K427" s="7">
        <f t="shared" si="12"/>
        <v>2.0402184999999999</v>
      </c>
      <c r="L427" s="8">
        <f t="shared" si="13"/>
        <v>73.274456333333333</v>
      </c>
      <c r="M427" s="9">
        <v>2.6703555895671801E-9</v>
      </c>
      <c r="N427" s="9">
        <v>5.3407111791343703E-8</v>
      </c>
      <c r="O427" s="2">
        <v>4.4758863974751302</v>
      </c>
      <c r="P427" t="s">
        <v>1719</v>
      </c>
      <c r="Q427" s="10">
        <f>IF(N427&lt;='[1]statistical criteria'!$B$2,IF(O427&gt;=LOG('[1]statistical criteria'!$B$3,2),1,IF(O427&lt;=-1*LOG('[1]statistical criteria'!$B$3,2),2,"-")),"-")</f>
        <v>1</v>
      </c>
      <c r="R427" t="s">
        <v>241</v>
      </c>
    </row>
    <row r="428" spans="1:21" x14ac:dyDescent="0.35">
      <c r="A428" t="s">
        <v>1721</v>
      </c>
      <c r="B428" t="s">
        <v>1722</v>
      </c>
      <c r="C428">
        <v>1364</v>
      </c>
      <c r="D428" s="4">
        <v>0</v>
      </c>
      <c r="E428" s="4">
        <v>0</v>
      </c>
      <c r="F428" s="4">
        <v>0</v>
      </c>
      <c r="G428" s="4">
        <v>0</v>
      </c>
      <c r="H428" s="6">
        <v>3.1467740000000002</v>
      </c>
      <c r="I428" s="6">
        <v>2.4043109999999999</v>
      </c>
      <c r="J428" s="6">
        <v>4.6068920000000002</v>
      </c>
      <c r="K428" s="7">
        <f t="shared" si="12"/>
        <v>0</v>
      </c>
      <c r="L428" s="8">
        <f t="shared" si="13"/>
        <v>3.3859923333333337</v>
      </c>
      <c r="M428" s="9">
        <v>1.69096341973627E-6</v>
      </c>
      <c r="N428" s="9">
        <v>1.83871677909772E-5</v>
      </c>
      <c r="O428" s="2">
        <v>4.4743931770927299</v>
      </c>
      <c r="P428" t="s">
        <v>1721</v>
      </c>
      <c r="Q428" s="10">
        <f>IF(N428&lt;='[1]statistical criteria'!$B$2,IF(O428&gt;=LOG('[1]statistical criteria'!$B$3,2),1,IF(O428&lt;=-1*LOG('[1]statistical criteria'!$B$3,2),2,"-")),"-")</f>
        <v>1</v>
      </c>
      <c r="R428" t="s">
        <v>1723</v>
      </c>
      <c r="S428" t="s">
        <v>1724</v>
      </c>
      <c r="T428" s="9">
        <v>6.0000000000000005E-154</v>
      </c>
      <c r="U428" t="s">
        <v>1725</v>
      </c>
    </row>
    <row r="429" spans="1:21" x14ac:dyDescent="0.35">
      <c r="A429" t="s">
        <v>1726</v>
      </c>
      <c r="B429" t="s">
        <v>1727</v>
      </c>
      <c r="C429">
        <v>300</v>
      </c>
      <c r="D429" s="4">
        <v>0</v>
      </c>
      <c r="E429" s="4">
        <v>0</v>
      </c>
      <c r="F429" s="4">
        <v>0</v>
      </c>
      <c r="G429" s="4">
        <v>0</v>
      </c>
      <c r="H429" s="6">
        <v>22.217448999999998</v>
      </c>
      <c r="I429" s="6">
        <v>32.249336</v>
      </c>
      <c r="J429" s="6">
        <v>28.829325999999998</v>
      </c>
      <c r="K429" s="7">
        <f t="shared" si="12"/>
        <v>0</v>
      </c>
      <c r="L429" s="8">
        <f t="shared" si="13"/>
        <v>27.765370333333333</v>
      </c>
      <c r="M429" s="9">
        <v>1.3332452963231799E-6</v>
      </c>
      <c r="N429" s="9">
        <v>1.48894706508393E-5</v>
      </c>
      <c r="O429" s="2">
        <v>4.4730926501032702</v>
      </c>
      <c r="P429" t="s">
        <v>1726</v>
      </c>
      <c r="Q429" s="10">
        <f>IF(N429&lt;='[1]statistical criteria'!$B$2,IF(O429&gt;=LOG('[1]statistical criteria'!$B$3,2),1,IF(O429&lt;=-1*LOG('[1]statistical criteria'!$B$3,2),2,"-")),"-")</f>
        <v>1</v>
      </c>
      <c r="S429" t="s">
        <v>1728</v>
      </c>
      <c r="T429" s="9">
        <v>3E-103</v>
      </c>
      <c r="U429" t="s">
        <v>1729</v>
      </c>
    </row>
    <row r="430" spans="1:21" x14ac:dyDescent="0.35">
      <c r="A430" t="s">
        <v>1730</v>
      </c>
      <c r="B430" t="s">
        <v>1731</v>
      </c>
      <c r="C430">
        <v>929</v>
      </c>
      <c r="D430" s="4">
        <v>0</v>
      </c>
      <c r="E430" s="4">
        <v>0</v>
      </c>
      <c r="F430" s="5">
        <v>1.6712089999999999</v>
      </c>
      <c r="G430" s="4">
        <v>0</v>
      </c>
      <c r="H430" s="6">
        <v>9.600752</v>
      </c>
      <c r="I430" s="6">
        <v>11.94894</v>
      </c>
      <c r="J430" s="6">
        <v>13.012955</v>
      </c>
      <c r="K430" s="7">
        <f t="shared" si="12"/>
        <v>0.41780224999999999</v>
      </c>
      <c r="L430" s="8">
        <f t="shared" si="13"/>
        <v>11.520882333333333</v>
      </c>
      <c r="M430" s="9">
        <v>1.0954550980499401E-9</v>
      </c>
      <c r="N430" s="9">
        <v>2.3462589213157401E-8</v>
      </c>
      <c r="O430" s="2">
        <v>4.4723978383680603</v>
      </c>
      <c r="P430" t="s">
        <v>1730</v>
      </c>
      <c r="Q430" s="10">
        <f>IF(N430&lt;='[1]statistical criteria'!$B$2,IF(O430&gt;=LOG('[1]statistical criteria'!$B$3,2),1,IF(O430&lt;=-1*LOG('[1]statistical criteria'!$B$3,2),2,"-")),"-")</f>
        <v>1</v>
      </c>
      <c r="R430" t="s">
        <v>1732</v>
      </c>
      <c r="S430" t="s">
        <v>1733</v>
      </c>
      <c r="T430" s="9">
        <v>3.9999999999999998E-67</v>
      </c>
      <c r="U430" t="s">
        <v>1734</v>
      </c>
    </row>
    <row r="431" spans="1:21" x14ac:dyDescent="0.35">
      <c r="A431" t="s">
        <v>1735</v>
      </c>
      <c r="B431" t="s">
        <v>1736</v>
      </c>
      <c r="C431">
        <v>1569</v>
      </c>
      <c r="D431" s="4">
        <v>0</v>
      </c>
      <c r="E431" s="4">
        <v>0</v>
      </c>
      <c r="F431" s="5">
        <v>1.6091629999999999</v>
      </c>
      <c r="G431" s="4">
        <v>0</v>
      </c>
      <c r="H431" s="6">
        <v>2.6915</v>
      </c>
      <c r="I431" s="6">
        <v>13.400463999999999</v>
      </c>
      <c r="J431" s="6">
        <v>8.9346960000000006</v>
      </c>
      <c r="K431" s="7">
        <f t="shared" si="12"/>
        <v>0.40229074999999997</v>
      </c>
      <c r="L431" s="8">
        <f t="shared" si="13"/>
        <v>8.3422199999999993</v>
      </c>
      <c r="M431" s="9">
        <v>4.4543440903448801E-8</v>
      </c>
      <c r="N431" s="9">
        <v>6.9623135966540498E-7</v>
      </c>
      <c r="O431" s="2">
        <v>4.4721278000867297</v>
      </c>
      <c r="P431" t="s">
        <v>1735</v>
      </c>
      <c r="Q431" s="10">
        <f>IF(N431&lt;='[1]statistical criteria'!$B$2,IF(O431&gt;=LOG('[1]statistical criteria'!$B$3,2),1,IF(O431&lt;=-1*LOG('[1]statistical criteria'!$B$3,2),2,"-")),"-")</f>
        <v>1</v>
      </c>
      <c r="R431" t="s">
        <v>1737</v>
      </c>
      <c r="S431" t="s">
        <v>1738</v>
      </c>
      <c r="T431">
        <v>6.0000000000000001E-3</v>
      </c>
      <c r="U431" t="s">
        <v>1739</v>
      </c>
    </row>
    <row r="432" spans="1:21" x14ac:dyDescent="0.35">
      <c r="A432" t="s">
        <v>312</v>
      </c>
      <c r="B432" t="s">
        <v>313</v>
      </c>
      <c r="C432">
        <v>906</v>
      </c>
      <c r="D432" s="4">
        <v>0</v>
      </c>
      <c r="E432" s="4">
        <v>0</v>
      </c>
      <c r="F432" s="4">
        <v>0</v>
      </c>
      <c r="G432" s="4">
        <v>0</v>
      </c>
      <c r="H432" s="6">
        <v>11.811176</v>
      </c>
      <c r="I432" s="6">
        <v>2.865065</v>
      </c>
      <c r="J432" s="6">
        <v>5.0732439999999999</v>
      </c>
      <c r="K432" s="7">
        <f t="shared" si="12"/>
        <v>0</v>
      </c>
      <c r="L432" s="8">
        <f t="shared" si="13"/>
        <v>6.5831616666666664</v>
      </c>
      <c r="M432" s="9">
        <v>8.4406365397347294E-8</v>
      </c>
      <c r="N432" s="9">
        <v>1.2389148735144799E-6</v>
      </c>
      <c r="O432" s="2">
        <v>4.4699566376058701</v>
      </c>
      <c r="P432" t="s">
        <v>312</v>
      </c>
      <c r="Q432" s="10">
        <f>IF(N432&lt;='[1]statistical criteria'!$B$2,IF(O432&gt;=LOG('[1]statistical criteria'!$B$3,2),1,IF(O432&lt;=-1*LOG('[1]statistical criteria'!$B$3,2),2,"-")),"-")</f>
        <v>1</v>
      </c>
      <c r="R432" t="s">
        <v>314</v>
      </c>
      <c r="S432" t="s">
        <v>315</v>
      </c>
      <c r="T432" s="9">
        <v>5.9999999999999998E-125</v>
      </c>
      <c r="U432" t="s">
        <v>316</v>
      </c>
    </row>
    <row r="433" spans="1:21" x14ac:dyDescent="0.35">
      <c r="A433" t="s">
        <v>75</v>
      </c>
      <c r="B433" t="s">
        <v>76</v>
      </c>
      <c r="C433">
        <v>1407</v>
      </c>
      <c r="D433" s="5">
        <v>0.84396800000000005</v>
      </c>
      <c r="E433" s="4">
        <v>0</v>
      </c>
      <c r="F433" s="4">
        <v>0</v>
      </c>
      <c r="G433" s="4">
        <v>0</v>
      </c>
      <c r="H433" s="6">
        <v>5.350867</v>
      </c>
      <c r="I433" s="6">
        <v>13.734073</v>
      </c>
      <c r="J433" s="6">
        <v>4.4942149999999996</v>
      </c>
      <c r="K433" s="7">
        <f t="shared" si="12"/>
        <v>0.21099200000000001</v>
      </c>
      <c r="L433" s="8">
        <f t="shared" si="13"/>
        <v>7.8597183333333334</v>
      </c>
      <c r="M433" s="9">
        <v>1.3428778164893501E-6</v>
      </c>
      <c r="N433" s="9">
        <v>1.49706882529539E-5</v>
      </c>
      <c r="O433" s="2">
        <v>4.4695229006183403</v>
      </c>
      <c r="P433" t="s">
        <v>75</v>
      </c>
      <c r="Q433" s="10">
        <f>IF(N433&lt;='[1]statistical criteria'!$B$2,IF(O433&gt;=LOG('[1]statistical criteria'!$B$3,2),1,IF(O433&lt;=-1*LOG('[1]statistical criteria'!$B$3,2),2,"-")),"-")</f>
        <v>1</v>
      </c>
      <c r="R433" t="s">
        <v>77</v>
      </c>
      <c r="S433" t="s">
        <v>78</v>
      </c>
      <c r="T433" s="9">
        <v>3E-10</v>
      </c>
      <c r="U433" t="s">
        <v>79</v>
      </c>
    </row>
    <row r="434" spans="1:21" x14ac:dyDescent="0.35">
      <c r="A434" t="s">
        <v>1740</v>
      </c>
      <c r="B434" t="s">
        <v>1741</v>
      </c>
      <c r="C434">
        <v>1186</v>
      </c>
      <c r="D434" s="4">
        <v>0</v>
      </c>
      <c r="E434" s="4">
        <v>0</v>
      </c>
      <c r="F434" s="4">
        <v>0</v>
      </c>
      <c r="G434" s="4">
        <v>0</v>
      </c>
      <c r="H434" s="6">
        <v>3.8531789999999999</v>
      </c>
      <c r="I434" s="6">
        <v>5.7763220000000004</v>
      </c>
      <c r="J434" s="6">
        <v>2.1963979999999999</v>
      </c>
      <c r="K434" s="7">
        <f t="shared" si="12"/>
        <v>0</v>
      </c>
      <c r="L434" s="8">
        <f t="shared" si="13"/>
        <v>3.9419663333333337</v>
      </c>
      <c r="M434" s="9">
        <v>2.3409871004300999E-7</v>
      </c>
      <c r="N434" s="9">
        <v>3.1077073262075201E-6</v>
      </c>
      <c r="O434" s="2">
        <v>4.4621799259012098</v>
      </c>
      <c r="P434" t="s">
        <v>1740</v>
      </c>
      <c r="Q434" s="10">
        <f>IF(N434&lt;='[1]statistical criteria'!$B$2,IF(O434&gt;=LOG('[1]statistical criteria'!$B$3,2),1,IF(O434&lt;=-1*LOG('[1]statistical criteria'!$B$3,2),2,"-")),"-")</f>
        <v>1</v>
      </c>
      <c r="R434" t="s">
        <v>94</v>
      </c>
      <c r="S434" t="s">
        <v>1742</v>
      </c>
      <c r="T434">
        <v>0</v>
      </c>
      <c r="U434" t="s">
        <v>95</v>
      </c>
    </row>
    <row r="435" spans="1:21" x14ac:dyDescent="0.35">
      <c r="A435" t="s">
        <v>1743</v>
      </c>
      <c r="B435" t="s">
        <v>1744</v>
      </c>
      <c r="C435">
        <v>474</v>
      </c>
      <c r="D435" s="5">
        <v>9.435848</v>
      </c>
      <c r="E435" s="5">
        <v>0.38613700000000001</v>
      </c>
      <c r="F435" s="5">
        <v>1.8414440000000001</v>
      </c>
      <c r="G435" s="5">
        <v>1.9359409999999999</v>
      </c>
      <c r="H435" s="6">
        <v>250.60583299999999</v>
      </c>
      <c r="I435" s="6">
        <v>191.69522499999999</v>
      </c>
      <c r="J435" s="6">
        <v>279.09354500000001</v>
      </c>
      <c r="K435" s="7">
        <f t="shared" si="12"/>
        <v>3.3998425000000001</v>
      </c>
      <c r="L435" s="8">
        <f t="shared" si="13"/>
        <v>240.46486766666666</v>
      </c>
      <c r="M435" s="9">
        <v>9.2717927898862202E-8</v>
      </c>
      <c r="N435" s="9">
        <v>1.34740142643402E-6</v>
      </c>
      <c r="O435" s="2">
        <v>4.46114975347251</v>
      </c>
      <c r="P435" t="s">
        <v>1743</v>
      </c>
      <c r="Q435" s="10">
        <f>IF(N435&lt;='[1]statistical criteria'!$B$2,IF(O435&gt;=LOG('[1]statistical criteria'!$B$3,2),1,IF(O435&lt;=-1*LOG('[1]statistical criteria'!$B$3,2),2,"-")),"-")</f>
        <v>1</v>
      </c>
      <c r="R435" t="s">
        <v>926</v>
      </c>
      <c r="S435" t="s">
        <v>927</v>
      </c>
      <c r="T435" s="9">
        <v>4.0000000000000001E-58</v>
      </c>
      <c r="U435" t="s">
        <v>928</v>
      </c>
    </row>
    <row r="436" spans="1:21" x14ac:dyDescent="0.35">
      <c r="A436" t="s">
        <v>1745</v>
      </c>
      <c r="B436" t="s">
        <v>1746</v>
      </c>
      <c r="C436">
        <v>561</v>
      </c>
      <c r="D436" s="4">
        <v>0</v>
      </c>
      <c r="E436" s="4">
        <v>0</v>
      </c>
      <c r="F436" s="4">
        <v>0</v>
      </c>
      <c r="G436" s="4">
        <v>0</v>
      </c>
      <c r="H436" s="6">
        <v>6.3213179999999998</v>
      </c>
      <c r="I436" s="6">
        <v>17.249676999999998</v>
      </c>
      <c r="J436" s="6">
        <v>4.9346160000000001</v>
      </c>
      <c r="K436" s="7">
        <f t="shared" si="12"/>
        <v>0</v>
      </c>
      <c r="L436" s="8">
        <f t="shared" si="13"/>
        <v>9.501870333333331</v>
      </c>
      <c r="M436" s="9">
        <v>5.3338148600144302E-11</v>
      </c>
      <c r="N436" s="9">
        <v>1.41073657798575E-9</v>
      </c>
      <c r="O436" s="2">
        <v>4.4609348336461299</v>
      </c>
      <c r="P436" t="s">
        <v>1745</v>
      </c>
      <c r="Q436" s="10">
        <f>IF(N436&lt;='[1]statistical criteria'!$B$2,IF(O436&gt;=LOG('[1]statistical criteria'!$B$3,2),1,IF(O436&lt;=-1*LOG('[1]statistical criteria'!$B$3,2),2,"-")),"-")</f>
        <v>1</v>
      </c>
      <c r="R436" t="s">
        <v>1747</v>
      </c>
    </row>
    <row r="437" spans="1:21" x14ac:dyDescent="0.35">
      <c r="A437" t="s">
        <v>1748</v>
      </c>
      <c r="B437" t="s">
        <v>1749</v>
      </c>
      <c r="C437">
        <v>2427</v>
      </c>
      <c r="D437" s="5">
        <v>1.0379370000000001</v>
      </c>
      <c r="E437" s="4">
        <v>0</v>
      </c>
      <c r="F437" s="4">
        <v>0</v>
      </c>
      <c r="G437" s="4">
        <v>0</v>
      </c>
      <c r="H437" s="6">
        <v>4.4057040000000001</v>
      </c>
      <c r="I437" s="6">
        <v>3.4346429999999999</v>
      </c>
      <c r="J437" s="6">
        <v>7.1659230000000003</v>
      </c>
      <c r="K437" s="7">
        <f t="shared" si="12"/>
        <v>0.25948425000000003</v>
      </c>
      <c r="L437" s="8">
        <f t="shared" si="13"/>
        <v>5.0020899999999999</v>
      </c>
      <c r="M437" s="9">
        <v>8.5256946507998297E-7</v>
      </c>
      <c r="N437" s="9">
        <v>9.9719710635968492E-6</v>
      </c>
      <c r="O437" s="2">
        <v>4.4572791127270204</v>
      </c>
      <c r="P437" t="s">
        <v>1748</v>
      </c>
      <c r="Q437" s="10">
        <f>IF(N437&lt;='[1]statistical criteria'!$B$2,IF(O437&gt;=LOG('[1]statistical criteria'!$B$3,2),1,IF(O437&lt;=-1*LOG('[1]statistical criteria'!$B$3,2),2,"-")),"-")</f>
        <v>1</v>
      </c>
      <c r="S437" t="s">
        <v>1409</v>
      </c>
      <c r="T437" s="9">
        <v>3E-32</v>
      </c>
      <c r="U437" t="s">
        <v>1410</v>
      </c>
    </row>
    <row r="438" spans="1:21" x14ac:dyDescent="0.35">
      <c r="A438" t="s">
        <v>1750</v>
      </c>
      <c r="B438" t="s">
        <v>1751</v>
      </c>
      <c r="C438">
        <v>1374</v>
      </c>
      <c r="D438" s="5">
        <v>0.43534299999999998</v>
      </c>
      <c r="E438" s="4">
        <v>0</v>
      </c>
      <c r="F438" s="4">
        <v>0</v>
      </c>
      <c r="G438" s="5">
        <v>0.37352299999999999</v>
      </c>
      <c r="H438" s="6">
        <v>12.395974000000001</v>
      </c>
      <c r="I438" s="6">
        <v>36.856558999999997</v>
      </c>
      <c r="J438" s="6">
        <v>2.6469459999999998</v>
      </c>
      <c r="K438" s="7">
        <f t="shared" si="12"/>
        <v>0.20221649999999999</v>
      </c>
      <c r="L438" s="8">
        <f t="shared" si="13"/>
        <v>17.299826333333332</v>
      </c>
      <c r="M438" s="9">
        <v>3.7841333064039701E-6</v>
      </c>
      <c r="N438" s="9">
        <v>3.7851278223846299E-5</v>
      </c>
      <c r="O438" s="2">
        <v>4.4569647236976504</v>
      </c>
      <c r="P438" t="s">
        <v>1750</v>
      </c>
      <c r="Q438" s="10">
        <f>IF(N438&lt;='[1]statistical criteria'!$B$2,IF(O438&gt;=LOG('[1]statistical criteria'!$B$3,2),1,IF(O438&lt;=-1*LOG('[1]statistical criteria'!$B$3,2),2,"-")),"-")</f>
        <v>1</v>
      </c>
      <c r="S438" t="s">
        <v>1752</v>
      </c>
      <c r="T438">
        <v>1.8</v>
      </c>
      <c r="U438" t="s">
        <v>1753</v>
      </c>
    </row>
    <row r="439" spans="1:21" x14ac:dyDescent="0.35">
      <c r="A439" t="s">
        <v>1754</v>
      </c>
      <c r="B439" t="s">
        <v>1755</v>
      </c>
      <c r="C439">
        <v>1653</v>
      </c>
      <c r="D439" s="4">
        <v>0</v>
      </c>
      <c r="E439" s="4">
        <v>0</v>
      </c>
      <c r="F439" s="4">
        <v>0</v>
      </c>
      <c r="G439" s="4">
        <v>0</v>
      </c>
      <c r="H439" s="6">
        <v>7.264386</v>
      </c>
      <c r="I439" s="6">
        <v>7.5286359999999997</v>
      </c>
      <c r="J439" s="6">
        <v>0.860263</v>
      </c>
      <c r="K439" s="7">
        <f t="shared" si="12"/>
        <v>0</v>
      </c>
      <c r="L439" s="8">
        <f t="shared" si="13"/>
        <v>5.2177616666666671</v>
      </c>
      <c r="M439" s="9">
        <v>4.8435911463362998E-7</v>
      </c>
      <c r="N439" s="9">
        <v>5.9950269603108803E-6</v>
      </c>
      <c r="O439" s="2">
        <v>4.45381806626642</v>
      </c>
      <c r="P439" t="s">
        <v>1754</v>
      </c>
      <c r="Q439" s="10">
        <f>IF(N439&lt;='[1]statistical criteria'!$B$2,IF(O439&gt;=LOG('[1]statistical criteria'!$B$3,2),1,IF(O439&lt;=-1*LOG('[1]statistical criteria'!$B$3,2),2,"-")),"-")</f>
        <v>1</v>
      </c>
      <c r="R439" t="s">
        <v>201</v>
      </c>
      <c r="S439" t="s">
        <v>202</v>
      </c>
      <c r="T439" s="9">
        <v>4.0000000000000002E-135</v>
      </c>
      <c r="U439" t="s">
        <v>203</v>
      </c>
    </row>
    <row r="440" spans="1:21" x14ac:dyDescent="0.35">
      <c r="A440" t="s">
        <v>1756</v>
      </c>
      <c r="B440" t="s">
        <v>1757</v>
      </c>
      <c r="C440">
        <v>373</v>
      </c>
      <c r="D440" s="4">
        <v>0</v>
      </c>
      <c r="E440" s="4">
        <v>0</v>
      </c>
      <c r="F440" s="5">
        <v>5.8431819999999997</v>
      </c>
      <c r="G440" s="4">
        <v>0</v>
      </c>
      <c r="H440" s="6">
        <v>23.247381000000001</v>
      </c>
      <c r="I440" s="6">
        <v>108.919392</v>
      </c>
      <c r="J440" s="6">
        <v>27.066586000000001</v>
      </c>
      <c r="K440" s="7">
        <f t="shared" si="12"/>
        <v>1.4607954999999999</v>
      </c>
      <c r="L440" s="8">
        <f t="shared" si="13"/>
        <v>53.077786333333336</v>
      </c>
      <c r="M440" s="9">
        <v>7.6514967480422695E-7</v>
      </c>
      <c r="N440" s="9">
        <v>9.0919752179359703E-6</v>
      </c>
      <c r="O440" s="2">
        <v>4.4526202159206001</v>
      </c>
      <c r="P440" t="s">
        <v>1756</v>
      </c>
      <c r="Q440" s="10">
        <f>IF(N440&lt;='[1]statistical criteria'!$B$2,IF(O440&gt;=LOG('[1]statistical criteria'!$B$3,2),1,IF(O440&lt;=-1*LOG('[1]statistical criteria'!$B$3,2),2,"-")),"-")</f>
        <v>1</v>
      </c>
      <c r="R440" t="s">
        <v>1758</v>
      </c>
      <c r="S440" t="s">
        <v>1759</v>
      </c>
      <c r="T440" s="9">
        <v>1.9999999999999998E-145</v>
      </c>
      <c r="U440" t="s">
        <v>1760</v>
      </c>
    </row>
    <row r="441" spans="1:21" x14ac:dyDescent="0.35">
      <c r="A441" t="s">
        <v>1761</v>
      </c>
      <c r="B441" t="s">
        <v>1762</v>
      </c>
      <c r="C441">
        <v>1959</v>
      </c>
      <c r="D441" s="4">
        <v>0</v>
      </c>
      <c r="E441" s="4">
        <v>0</v>
      </c>
      <c r="F441" s="4">
        <v>0</v>
      </c>
      <c r="G441" s="4">
        <v>0</v>
      </c>
      <c r="H441" s="6">
        <v>1.0264089999999999</v>
      </c>
      <c r="I441" s="6">
        <v>4.2677139999999998</v>
      </c>
      <c r="J441" s="6">
        <v>3.2535090000000002</v>
      </c>
      <c r="K441" s="7">
        <f t="shared" si="12"/>
        <v>0</v>
      </c>
      <c r="L441" s="8">
        <f t="shared" si="13"/>
        <v>2.8492106666666666</v>
      </c>
      <c r="M441" s="9">
        <v>1.90589559935939E-6</v>
      </c>
      <c r="N441" s="9">
        <v>2.0450630536120199E-5</v>
      </c>
      <c r="O441" s="2">
        <v>4.4523012034552796</v>
      </c>
      <c r="P441" t="s">
        <v>1761</v>
      </c>
      <c r="Q441" s="10">
        <f>IF(N441&lt;='[1]statistical criteria'!$B$2,IF(O441&gt;=LOG('[1]statistical criteria'!$B$3,2),1,IF(O441&lt;=-1*LOG('[1]statistical criteria'!$B$3,2),2,"-")),"-")</f>
        <v>1</v>
      </c>
      <c r="R441" t="s">
        <v>1763</v>
      </c>
      <c r="S441" t="s">
        <v>1764</v>
      </c>
      <c r="T441">
        <v>0</v>
      </c>
      <c r="U441" t="s">
        <v>1765</v>
      </c>
    </row>
    <row r="442" spans="1:21" x14ac:dyDescent="0.35">
      <c r="A442" t="s">
        <v>1766</v>
      </c>
      <c r="B442" t="s">
        <v>1767</v>
      </c>
      <c r="C442">
        <v>1587</v>
      </c>
      <c r="D442" s="4">
        <v>0</v>
      </c>
      <c r="E442" s="4">
        <v>0</v>
      </c>
      <c r="F442" s="5">
        <v>1.3590770000000001</v>
      </c>
      <c r="G442" s="4">
        <v>0</v>
      </c>
      <c r="H442" s="6">
        <v>18.000557000000001</v>
      </c>
      <c r="I442" s="6">
        <v>1.2630319999999999</v>
      </c>
      <c r="J442" s="6">
        <v>15.390349000000001</v>
      </c>
      <c r="K442" s="7">
        <f t="shared" si="12"/>
        <v>0.33976925000000002</v>
      </c>
      <c r="L442" s="8">
        <f t="shared" si="13"/>
        <v>11.551312666666666</v>
      </c>
      <c r="M442" s="9">
        <v>4.1190893166986501E-5</v>
      </c>
      <c r="N442">
        <v>3.1518403577312202E-4</v>
      </c>
      <c r="O442" s="2">
        <v>4.45115096892442</v>
      </c>
      <c r="P442" t="s">
        <v>1766</v>
      </c>
      <c r="Q442" s="10">
        <f>IF(N442&lt;='[1]statistical criteria'!$B$2,IF(O442&gt;=LOG('[1]statistical criteria'!$B$3,2),1,IF(O442&lt;=-1*LOG('[1]statistical criteria'!$B$3,2),2,"-")),"-")</f>
        <v>1</v>
      </c>
      <c r="R442" t="s">
        <v>1768</v>
      </c>
      <c r="S442" t="s">
        <v>1769</v>
      </c>
      <c r="T442" s="9">
        <v>1.9999999999999999E-105</v>
      </c>
      <c r="U442" t="s">
        <v>1770</v>
      </c>
    </row>
    <row r="443" spans="1:21" x14ac:dyDescent="0.35">
      <c r="A443" t="s">
        <v>1771</v>
      </c>
      <c r="B443" t="s">
        <v>1772</v>
      </c>
      <c r="C443">
        <v>1116</v>
      </c>
      <c r="D443" s="5">
        <v>11.375788</v>
      </c>
      <c r="E443" s="4">
        <v>0</v>
      </c>
      <c r="F443" s="5">
        <v>1.709084</v>
      </c>
      <c r="G443" s="5">
        <v>0.74577000000000004</v>
      </c>
      <c r="H443" s="6">
        <v>60.395429999999998</v>
      </c>
      <c r="I443" s="6">
        <v>191.290829</v>
      </c>
      <c r="J443" s="6">
        <v>79.230534000000006</v>
      </c>
      <c r="K443" s="7">
        <f t="shared" si="12"/>
        <v>3.4576605000000002</v>
      </c>
      <c r="L443" s="8">
        <f t="shared" si="13"/>
        <v>110.30559766666666</v>
      </c>
      <c r="M443" s="9">
        <v>6.4146081687841902E-6</v>
      </c>
      <c r="N443" s="9">
        <v>6.0978096114626699E-5</v>
      </c>
      <c r="O443" s="2">
        <v>4.4482685721059196</v>
      </c>
      <c r="P443" t="s">
        <v>1771</v>
      </c>
      <c r="Q443" s="10">
        <f>IF(N443&lt;='[1]statistical criteria'!$B$2,IF(O443&gt;=LOG('[1]statistical criteria'!$B$3,2),1,IF(O443&lt;=-1*LOG('[1]statistical criteria'!$B$3,2),2,"-")),"-")</f>
        <v>1</v>
      </c>
      <c r="R443" t="s">
        <v>241</v>
      </c>
      <c r="S443" t="s">
        <v>1773</v>
      </c>
      <c r="T443" s="9">
        <v>8.0000000000000003E-108</v>
      </c>
      <c r="U443" t="s">
        <v>242</v>
      </c>
    </row>
    <row r="444" spans="1:21" x14ac:dyDescent="0.35">
      <c r="A444" t="s">
        <v>1774</v>
      </c>
      <c r="B444" t="s">
        <v>1775</v>
      </c>
      <c r="C444">
        <v>808</v>
      </c>
      <c r="D444" s="4">
        <v>0</v>
      </c>
      <c r="E444" s="4">
        <v>0</v>
      </c>
      <c r="F444" s="5">
        <v>0.51620100000000002</v>
      </c>
      <c r="G444" s="4">
        <v>0</v>
      </c>
      <c r="H444" s="6">
        <v>1.8436509999999999</v>
      </c>
      <c r="I444" s="6">
        <v>32.491340000000001</v>
      </c>
      <c r="J444" s="6">
        <v>9.0267850000000003</v>
      </c>
      <c r="K444" s="7">
        <f t="shared" si="12"/>
        <v>0.12905025000000001</v>
      </c>
      <c r="L444" s="8">
        <f t="shared" si="13"/>
        <v>14.453925333333336</v>
      </c>
      <c r="M444" s="9">
        <v>3.6821093566783999E-9</v>
      </c>
      <c r="N444" s="9">
        <v>7.1537050594783104E-8</v>
      </c>
      <c r="O444" s="2">
        <v>4.4456854027318098</v>
      </c>
      <c r="P444" t="s">
        <v>1774</v>
      </c>
      <c r="Q444" s="10">
        <f>IF(N444&lt;='[1]statistical criteria'!$B$2,IF(O444&gt;=LOG('[1]statistical criteria'!$B$3,2),1,IF(O444&lt;=-1*LOG('[1]statistical criteria'!$B$3,2),2,"-")),"-")</f>
        <v>1</v>
      </c>
      <c r="R444" t="s">
        <v>1776</v>
      </c>
      <c r="S444" t="s">
        <v>1777</v>
      </c>
      <c r="T444">
        <v>9.0999999999999998E-2</v>
      </c>
      <c r="U444" t="s">
        <v>61</v>
      </c>
    </row>
    <row r="445" spans="1:21" x14ac:dyDescent="0.35">
      <c r="A445" t="s">
        <v>1778</v>
      </c>
      <c r="B445" t="s">
        <v>1779</v>
      </c>
      <c r="C445">
        <v>474</v>
      </c>
      <c r="D445" s="4">
        <v>0</v>
      </c>
      <c r="E445" s="4">
        <v>0</v>
      </c>
      <c r="F445" s="4">
        <v>0</v>
      </c>
      <c r="G445" s="4">
        <v>0</v>
      </c>
      <c r="H445" s="6">
        <v>21.450680999999999</v>
      </c>
      <c r="I445" s="6">
        <v>8.8540089999999996</v>
      </c>
      <c r="J445" s="6">
        <v>7.9887560000000004</v>
      </c>
      <c r="K445" s="7">
        <f t="shared" si="12"/>
        <v>0</v>
      </c>
      <c r="L445" s="8">
        <f t="shared" si="13"/>
        <v>12.764482000000001</v>
      </c>
      <c r="M445" s="9">
        <v>6.1381579476606905E-8</v>
      </c>
      <c r="N445" s="9">
        <v>9.3409952614140702E-7</v>
      </c>
      <c r="O445" s="2">
        <v>4.4451561627778</v>
      </c>
      <c r="P445" t="s">
        <v>1778</v>
      </c>
      <c r="Q445" s="10">
        <f>IF(N445&lt;='[1]statistical criteria'!$B$2,IF(O445&gt;=LOG('[1]statistical criteria'!$B$3,2),1,IF(O445&lt;=-1*LOG('[1]statistical criteria'!$B$3,2),2,"-")),"-")</f>
        <v>1</v>
      </c>
      <c r="R445" t="s">
        <v>436</v>
      </c>
      <c r="S445" t="s">
        <v>442</v>
      </c>
      <c r="T445" s="9">
        <v>9.9999999999999996E-83</v>
      </c>
      <c r="U445" t="s">
        <v>443</v>
      </c>
    </row>
    <row r="446" spans="1:21" x14ac:dyDescent="0.35">
      <c r="A446" t="s">
        <v>1780</v>
      </c>
      <c r="B446" t="s">
        <v>1781</v>
      </c>
      <c r="C446">
        <v>924</v>
      </c>
      <c r="D446" s="4">
        <v>0</v>
      </c>
      <c r="E446" s="4">
        <v>0</v>
      </c>
      <c r="F446" s="5">
        <v>0.168104</v>
      </c>
      <c r="G446" s="5">
        <v>0.37260700000000002</v>
      </c>
      <c r="H446" s="6">
        <v>29.162237999999999</v>
      </c>
      <c r="I446" s="6">
        <v>2.3589690000000001</v>
      </c>
      <c r="J446" s="6">
        <v>22.032451999999999</v>
      </c>
      <c r="K446" s="7">
        <f t="shared" si="12"/>
        <v>0.13517775000000001</v>
      </c>
      <c r="L446" s="8">
        <f t="shared" si="13"/>
        <v>17.851219666666665</v>
      </c>
      <c r="M446" s="9">
        <v>1.34527004590626E-6</v>
      </c>
      <c r="N446" s="9">
        <v>1.49885766824334E-5</v>
      </c>
      <c r="O446" s="2">
        <v>4.4436167013587102</v>
      </c>
      <c r="P446" t="s">
        <v>1780</v>
      </c>
      <c r="Q446" s="10">
        <f>IF(N446&lt;='[1]statistical criteria'!$B$2,IF(O446&gt;=LOG('[1]statistical criteria'!$B$3,2),1,IF(O446&lt;=-1*LOG('[1]statistical criteria'!$B$3,2),2,"-")),"-")</f>
        <v>1</v>
      </c>
      <c r="R446" t="s">
        <v>121</v>
      </c>
      <c r="S446" t="s">
        <v>1621</v>
      </c>
      <c r="T446" s="9">
        <v>2.0000000000000001E-63</v>
      </c>
      <c r="U446" t="s">
        <v>123</v>
      </c>
    </row>
    <row r="447" spans="1:21" x14ac:dyDescent="0.35">
      <c r="A447" t="s">
        <v>1782</v>
      </c>
      <c r="B447" t="s">
        <v>1783</v>
      </c>
      <c r="C447">
        <v>375</v>
      </c>
      <c r="D447" s="4">
        <v>0</v>
      </c>
      <c r="E447" s="5">
        <v>0.41617100000000001</v>
      </c>
      <c r="F447" s="4">
        <v>0</v>
      </c>
      <c r="G447" s="4">
        <v>0</v>
      </c>
      <c r="H447" s="6">
        <v>22.731929000000001</v>
      </c>
      <c r="I447" s="6">
        <v>32.183666000000002</v>
      </c>
      <c r="J447" s="6">
        <v>10.547684</v>
      </c>
      <c r="K447" s="7">
        <f t="shared" si="12"/>
        <v>0.10404275</v>
      </c>
      <c r="L447" s="8">
        <f t="shared" si="13"/>
        <v>21.821093000000001</v>
      </c>
      <c r="M447" s="9">
        <v>8.3047993933197498E-8</v>
      </c>
      <c r="N447" s="9">
        <v>1.2218038844598E-6</v>
      </c>
      <c r="O447" s="2">
        <v>4.43941763152921</v>
      </c>
      <c r="P447" t="s">
        <v>1782</v>
      </c>
      <c r="Q447" s="10">
        <f>IF(N447&lt;='[1]statistical criteria'!$B$2,IF(O447&gt;=LOG('[1]statistical criteria'!$B$3,2),1,IF(O447&lt;=-1*LOG('[1]statistical criteria'!$B$3,2),2,"-")),"-")</f>
        <v>1</v>
      </c>
      <c r="R447" t="s">
        <v>980</v>
      </c>
      <c r="S447" t="s">
        <v>1784</v>
      </c>
      <c r="T447" s="9">
        <v>1.9999999999999998E-24</v>
      </c>
      <c r="U447" t="s">
        <v>982</v>
      </c>
    </row>
    <row r="448" spans="1:21" x14ac:dyDescent="0.35">
      <c r="A448" t="s">
        <v>305</v>
      </c>
      <c r="B448" t="s">
        <v>306</v>
      </c>
      <c r="C448">
        <v>2787</v>
      </c>
      <c r="D448" s="4">
        <v>0</v>
      </c>
      <c r="E448" s="4">
        <v>0</v>
      </c>
      <c r="F448" s="4">
        <v>0</v>
      </c>
      <c r="G448" s="4">
        <v>0</v>
      </c>
      <c r="H448" s="6">
        <v>1.7061249999999999</v>
      </c>
      <c r="I448" s="6">
        <v>1.150334</v>
      </c>
      <c r="J448" s="6">
        <v>3.1791079999999998</v>
      </c>
      <c r="K448" s="7">
        <f t="shared" si="12"/>
        <v>0</v>
      </c>
      <c r="L448" s="8">
        <f t="shared" si="13"/>
        <v>2.0118556666666669</v>
      </c>
      <c r="M448" s="9">
        <v>3.953319210106E-7</v>
      </c>
      <c r="N448" s="9">
        <v>4.9938044851189603E-6</v>
      </c>
      <c r="O448" s="2">
        <v>4.4366357068708204</v>
      </c>
      <c r="P448" t="s">
        <v>305</v>
      </c>
      <c r="Q448" s="10">
        <f>IF(N448&lt;='[1]statistical criteria'!$B$2,IF(O448&gt;=LOG('[1]statistical criteria'!$B$3,2),1,IF(O448&lt;=-1*LOG('[1]statistical criteria'!$B$3,2),2,"-")),"-")</f>
        <v>1</v>
      </c>
      <c r="R448" t="s">
        <v>307</v>
      </c>
      <c r="S448" t="s">
        <v>308</v>
      </c>
      <c r="T448">
        <v>0</v>
      </c>
      <c r="U448" t="s">
        <v>309</v>
      </c>
    </row>
    <row r="449" spans="1:21" x14ac:dyDescent="0.35">
      <c r="A449" t="s">
        <v>1785</v>
      </c>
      <c r="B449" t="s">
        <v>1786</v>
      </c>
      <c r="C449">
        <v>1669</v>
      </c>
      <c r="D449" s="5">
        <v>0.330488</v>
      </c>
      <c r="E449" s="4">
        <v>0</v>
      </c>
      <c r="F449" s="5">
        <v>7.050351</v>
      </c>
      <c r="G449" s="5">
        <v>1.208107</v>
      </c>
      <c r="H449" s="6">
        <v>65.441261999999995</v>
      </c>
      <c r="I449" s="6">
        <v>68.614016000000007</v>
      </c>
      <c r="J449" s="6">
        <v>33.563222000000003</v>
      </c>
      <c r="K449" s="7">
        <f t="shared" si="12"/>
        <v>2.1472365</v>
      </c>
      <c r="L449" s="8">
        <f t="shared" si="13"/>
        <v>55.872833333333325</v>
      </c>
      <c r="M449" s="9">
        <v>1.0825593981073701E-8</v>
      </c>
      <c r="N449" s="9">
        <v>1.9253369482227401E-7</v>
      </c>
      <c r="O449" s="2">
        <v>4.4356145549455297</v>
      </c>
      <c r="P449" t="s">
        <v>1785</v>
      </c>
      <c r="Q449" s="10">
        <f>IF(N449&lt;='[1]statistical criteria'!$B$2,IF(O449&gt;=LOG('[1]statistical criteria'!$B$3,2),1,IF(O449&lt;=-1*LOG('[1]statistical criteria'!$B$3,2),2,"-")),"-")</f>
        <v>1</v>
      </c>
      <c r="R449" t="s">
        <v>1787</v>
      </c>
      <c r="S449" t="s">
        <v>1788</v>
      </c>
      <c r="T449">
        <v>0</v>
      </c>
      <c r="U449" t="s">
        <v>1789</v>
      </c>
    </row>
    <row r="450" spans="1:21" x14ac:dyDescent="0.35">
      <c r="A450" t="s">
        <v>180</v>
      </c>
      <c r="C450">
        <v>243</v>
      </c>
      <c r="D450" s="5">
        <v>1.759269</v>
      </c>
      <c r="E450" s="5">
        <v>23.77017</v>
      </c>
      <c r="F450" s="4">
        <v>0</v>
      </c>
      <c r="G450" s="4">
        <v>0</v>
      </c>
      <c r="H450" s="6">
        <v>138.47547900000001</v>
      </c>
      <c r="I450" s="6">
        <v>350.18600300000003</v>
      </c>
      <c r="J450" s="6">
        <v>110.78856</v>
      </c>
      <c r="K450" s="7">
        <f t="shared" si="12"/>
        <v>6.38235975</v>
      </c>
      <c r="L450" s="8">
        <f t="shared" si="13"/>
        <v>199.81668066666668</v>
      </c>
      <c r="M450" s="9">
        <v>2.8079294320537899E-5</v>
      </c>
      <c r="N450">
        <v>2.2546370081005701E-4</v>
      </c>
      <c r="O450" s="2">
        <v>4.4312394599641101</v>
      </c>
      <c r="P450" t="s">
        <v>180</v>
      </c>
      <c r="Q450" s="10">
        <f>IF(N450&lt;='[1]statistical criteria'!$B$2,IF(O450&gt;=LOG('[1]statistical criteria'!$B$3,2),1,IF(O450&lt;=-1*LOG('[1]statistical criteria'!$B$3,2),2,"-")),"-")</f>
        <v>1</v>
      </c>
    </row>
    <row r="451" spans="1:21" x14ac:dyDescent="0.35">
      <c r="A451" t="s">
        <v>1790</v>
      </c>
      <c r="B451" t="s">
        <v>1791</v>
      </c>
      <c r="C451">
        <v>1410</v>
      </c>
      <c r="D451" s="4">
        <v>0</v>
      </c>
      <c r="E451" s="4">
        <v>0</v>
      </c>
      <c r="F451" s="4">
        <v>0</v>
      </c>
      <c r="G451" s="4">
        <v>0</v>
      </c>
      <c r="H451" s="6">
        <v>5.8318000000000003</v>
      </c>
      <c r="I451" s="6">
        <v>2.2944909999999998</v>
      </c>
      <c r="J451" s="6">
        <v>2.27521</v>
      </c>
      <c r="K451" s="7">
        <f t="shared" ref="K451:K514" si="14">AVERAGE(D451:G451)</f>
        <v>0</v>
      </c>
      <c r="L451" s="8">
        <f t="shared" ref="L451:L514" si="15">AVERAGE(H451:J451)</f>
        <v>3.4671669999999999</v>
      </c>
      <c r="M451" s="9">
        <v>7.50032737925167E-8</v>
      </c>
      <c r="N451" s="9">
        <v>1.11639601116276E-6</v>
      </c>
      <c r="O451" s="2">
        <v>4.4304862050739802</v>
      </c>
      <c r="P451" t="s">
        <v>1790</v>
      </c>
      <c r="Q451" s="10">
        <f>IF(N451&lt;='[1]statistical criteria'!$B$2,IF(O451&gt;=LOG('[1]statistical criteria'!$B$3,2),1,IF(O451&lt;=-1*LOG('[1]statistical criteria'!$B$3,2),2,"-")),"-")</f>
        <v>1</v>
      </c>
      <c r="R451" t="s">
        <v>1792</v>
      </c>
    </row>
    <row r="452" spans="1:21" x14ac:dyDescent="0.35">
      <c r="A452" t="s">
        <v>1793</v>
      </c>
      <c r="B452" t="s">
        <v>1794</v>
      </c>
      <c r="C452">
        <v>2250</v>
      </c>
      <c r="D452" s="5">
        <v>0.39407799999999998</v>
      </c>
      <c r="E452" s="4">
        <v>0</v>
      </c>
      <c r="F452" s="4">
        <v>0</v>
      </c>
      <c r="G452" s="4">
        <v>0</v>
      </c>
      <c r="H452" s="6">
        <v>3.4991080000000001</v>
      </c>
      <c r="I452" s="6">
        <v>5.8249269999999997</v>
      </c>
      <c r="J452" s="6">
        <v>4.2139290000000003</v>
      </c>
      <c r="K452" s="7">
        <f t="shared" si="14"/>
        <v>9.8519499999999996E-2</v>
      </c>
      <c r="L452" s="8">
        <f t="shared" si="15"/>
        <v>4.5126546666666671</v>
      </c>
      <c r="M452" s="9">
        <v>3.0117385940035898E-7</v>
      </c>
      <c r="N452" s="9">
        <v>3.9041815697471697E-6</v>
      </c>
      <c r="O452" s="2">
        <v>4.4224133986129299</v>
      </c>
      <c r="P452" t="s">
        <v>1793</v>
      </c>
      <c r="Q452" s="10">
        <f>IF(N452&lt;='[1]statistical criteria'!$B$2,IF(O452&gt;=LOG('[1]statistical criteria'!$B$3,2),1,IF(O452&lt;=-1*LOG('[1]statistical criteria'!$B$3,2),2,"-")),"-")</f>
        <v>1</v>
      </c>
      <c r="R452" t="s">
        <v>1795</v>
      </c>
      <c r="S452" t="s">
        <v>1796</v>
      </c>
      <c r="T452">
        <v>0</v>
      </c>
      <c r="U452" t="s">
        <v>750</v>
      </c>
    </row>
    <row r="453" spans="1:21" x14ac:dyDescent="0.35">
      <c r="A453" t="s">
        <v>1797</v>
      </c>
      <c r="B453" t="s">
        <v>1798</v>
      </c>
      <c r="C453">
        <v>399</v>
      </c>
      <c r="D453" s="5">
        <v>3.1807639999999999</v>
      </c>
      <c r="E453" s="4">
        <v>0</v>
      </c>
      <c r="F453" s="4">
        <v>0</v>
      </c>
      <c r="G453" s="4">
        <v>0</v>
      </c>
      <c r="H453" s="6">
        <v>27.397887000000001</v>
      </c>
      <c r="I453" s="6">
        <v>36.215485999999999</v>
      </c>
      <c r="J453" s="6">
        <v>35.316034999999999</v>
      </c>
      <c r="K453" s="7">
        <f t="shared" si="14"/>
        <v>0.79519099999999998</v>
      </c>
      <c r="L453" s="8">
        <f t="shared" si="15"/>
        <v>32.976469333333334</v>
      </c>
      <c r="M453" s="9">
        <v>6.0261159287864895E-7</v>
      </c>
      <c r="N453" s="9">
        <v>7.3042666321533E-6</v>
      </c>
      <c r="O453" s="2">
        <v>4.4223001323196804</v>
      </c>
      <c r="P453" t="s">
        <v>1797</v>
      </c>
      <c r="Q453" s="10">
        <f>IF(N453&lt;='[1]statistical criteria'!$B$2,IF(O453&gt;=LOG('[1]statistical criteria'!$B$3,2),1,IF(O453&lt;=-1*LOG('[1]statistical criteria'!$B$3,2),2,"-")),"-")</f>
        <v>1</v>
      </c>
      <c r="R453" t="s">
        <v>1799</v>
      </c>
    </row>
    <row r="454" spans="1:21" x14ac:dyDescent="0.35">
      <c r="A454" t="s">
        <v>1800</v>
      </c>
      <c r="B454" t="s">
        <v>1801</v>
      </c>
      <c r="C454">
        <v>495</v>
      </c>
      <c r="D454" s="4">
        <v>0</v>
      </c>
      <c r="E454" s="4">
        <v>0</v>
      </c>
      <c r="F454" s="4">
        <v>0</v>
      </c>
      <c r="G454" s="4">
        <v>0</v>
      </c>
      <c r="H454" s="6">
        <v>12.971625</v>
      </c>
      <c r="I454" s="6">
        <v>10.364871000000001</v>
      </c>
      <c r="J454" s="6">
        <v>9.9102069999999998</v>
      </c>
      <c r="K454" s="7">
        <f t="shared" si="14"/>
        <v>0</v>
      </c>
      <c r="L454" s="8">
        <f t="shared" si="15"/>
        <v>11.082234333333332</v>
      </c>
      <c r="M454" s="9">
        <v>3.9653470358045001E-10</v>
      </c>
      <c r="N454" s="9">
        <v>9.0861594330354701E-9</v>
      </c>
      <c r="O454" s="2">
        <v>4.4203068197861999</v>
      </c>
      <c r="P454" t="s">
        <v>1800</v>
      </c>
      <c r="Q454" s="10">
        <f>IF(N454&lt;='[1]statistical criteria'!$B$2,IF(O454&gt;=LOG('[1]statistical criteria'!$B$3,2),1,IF(O454&lt;=-1*LOG('[1]statistical criteria'!$B$3,2),2,"-")),"-")</f>
        <v>1</v>
      </c>
      <c r="S454" t="s">
        <v>1802</v>
      </c>
      <c r="T454" s="9">
        <v>2.0000000000000001E-22</v>
      </c>
      <c r="U454" t="s">
        <v>1803</v>
      </c>
    </row>
    <row r="455" spans="1:21" x14ac:dyDescent="0.35">
      <c r="A455" t="s">
        <v>1804</v>
      </c>
      <c r="B455" t="s">
        <v>1805</v>
      </c>
      <c r="C455">
        <v>1140</v>
      </c>
      <c r="D455" s="5">
        <v>2.497687</v>
      </c>
      <c r="E455" s="4">
        <v>0</v>
      </c>
      <c r="F455" s="5">
        <v>0.86152600000000001</v>
      </c>
      <c r="G455" s="4">
        <v>0</v>
      </c>
      <c r="H455" s="6">
        <v>23.148613000000001</v>
      </c>
      <c r="I455" s="6">
        <v>25.605395999999999</v>
      </c>
      <c r="J455" s="6">
        <v>34.190404999999998</v>
      </c>
      <c r="K455" s="7">
        <f t="shared" si="14"/>
        <v>0.83980325</v>
      </c>
      <c r="L455" s="8">
        <f t="shared" si="15"/>
        <v>27.648137999999999</v>
      </c>
      <c r="M455" s="9">
        <v>4.9643365013099098E-5</v>
      </c>
      <c r="N455">
        <v>3.7127657150688801E-4</v>
      </c>
      <c r="O455" s="2">
        <v>4.4193611797910899</v>
      </c>
      <c r="P455" t="s">
        <v>1804</v>
      </c>
      <c r="Q455" s="10">
        <f>IF(N455&lt;='[1]statistical criteria'!$B$2,IF(O455&gt;=LOG('[1]statistical criteria'!$B$3,2),1,IF(O455&lt;=-1*LOG('[1]statistical criteria'!$B$3,2),2,"-")),"-")</f>
        <v>1</v>
      </c>
    </row>
    <row r="456" spans="1:21" x14ac:dyDescent="0.35">
      <c r="A456" t="s">
        <v>1806</v>
      </c>
      <c r="B456" t="s">
        <v>1807</v>
      </c>
      <c r="C456">
        <v>882</v>
      </c>
      <c r="D456" s="4">
        <v>0</v>
      </c>
      <c r="E456" s="5">
        <v>0.61484000000000005</v>
      </c>
      <c r="F456" s="4">
        <v>0</v>
      </c>
      <c r="G456" s="4">
        <v>0</v>
      </c>
      <c r="H456" s="6">
        <v>14.116970999999999</v>
      </c>
      <c r="I456" s="6">
        <v>2.9155120000000001</v>
      </c>
      <c r="J456" s="6">
        <v>15.370289</v>
      </c>
      <c r="K456" s="7">
        <f t="shared" si="14"/>
        <v>0.15371000000000001</v>
      </c>
      <c r="L456" s="8">
        <f t="shared" si="15"/>
        <v>10.800924</v>
      </c>
      <c r="M456" s="9">
        <v>1.1842336465878799E-6</v>
      </c>
      <c r="N456" s="9">
        <v>1.3394333607469401E-5</v>
      </c>
      <c r="O456" s="2">
        <v>4.4164099326114901</v>
      </c>
      <c r="P456" t="s">
        <v>1806</v>
      </c>
      <c r="Q456" s="10">
        <f>IF(N456&lt;='[1]statistical criteria'!$B$2,IF(O456&gt;=LOG('[1]statistical criteria'!$B$3,2),1,IF(O456&lt;=-1*LOG('[1]statistical criteria'!$B$3,2),2,"-")),"-")</f>
        <v>1</v>
      </c>
      <c r="R456" t="s">
        <v>713</v>
      </c>
      <c r="S456" t="s">
        <v>714</v>
      </c>
      <c r="T456" s="9">
        <v>2E-87</v>
      </c>
      <c r="U456" t="s">
        <v>715</v>
      </c>
    </row>
    <row r="457" spans="1:21" x14ac:dyDescent="0.35">
      <c r="A457" t="s">
        <v>1808</v>
      </c>
      <c r="B457" t="s">
        <v>1809</v>
      </c>
      <c r="C457">
        <v>810</v>
      </c>
      <c r="D457" s="4">
        <v>0</v>
      </c>
      <c r="E457" s="4">
        <v>0</v>
      </c>
      <c r="F457" s="4">
        <v>0</v>
      </c>
      <c r="G457" s="4">
        <v>0</v>
      </c>
      <c r="H457" s="6">
        <v>4.1189920000000004</v>
      </c>
      <c r="I457" s="6">
        <v>5.7623139999999999</v>
      </c>
      <c r="J457" s="6">
        <v>3.284332</v>
      </c>
      <c r="K457" s="7">
        <f t="shared" si="14"/>
        <v>0</v>
      </c>
      <c r="L457" s="8">
        <f t="shared" si="15"/>
        <v>4.3885460000000007</v>
      </c>
      <c r="M457" s="9">
        <v>2.9318729774058199E-9</v>
      </c>
      <c r="N457" s="9">
        <v>5.80380404825891E-8</v>
      </c>
      <c r="O457" s="2">
        <v>4.4160352220997998</v>
      </c>
      <c r="P457" t="s">
        <v>1808</v>
      </c>
      <c r="Q457" s="10">
        <f>IF(N457&lt;='[1]statistical criteria'!$B$2,IF(O457&gt;=LOG('[1]statistical criteria'!$B$3,2),1,IF(O457&lt;=-1*LOG('[1]statistical criteria'!$B$3,2),2,"-")),"-")</f>
        <v>1</v>
      </c>
      <c r="R457" t="s">
        <v>1810</v>
      </c>
    </row>
    <row r="458" spans="1:21" x14ac:dyDescent="0.35">
      <c r="A458" t="s">
        <v>1811</v>
      </c>
      <c r="B458" t="s">
        <v>1812</v>
      </c>
      <c r="C458">
        <v>1206</v>
      </c>
      <c r="D458" s="4">
        <v>0</v>
      </c>
      <c r="E458" s="4">
        <v>0</v>
      </c>
      <c r="F458" s="4">
        <v>0</v>
      </c>
      <c r="G458" s="4">
        <v>0</v>
      </c>
      <c r="H458" s="6">
        <v>5.2317169999999997</v>
      </c>
      <c r="I458" s="6">
        <v>1.6438889999999999</v>
      </c>
      <c r="J458" s="6">
        <v>6.0587</v>
      </c>
      <c r="K458" s="7">
        <f t="shared" si="14"/>
        <v>0</v>
      </c>
      <c r="L458" s="8">
        <f t="shared" si="15"/>
        <v>4.3114353333333328</v>
      </c>
      <c r="M458" s="9">
        <v>4.0721897277214802E-11</v>
      </c>
      <c r="N458" s="9">
        <v>1.1046866788102601E-9</v>
      </c>
      <c r="O458" s="2">
        <v>4.4160059351040797</v>
      </c>
      <c r="P458" t="s">
        <v>1811</v>
      </c>
      <c r="Q458" s="10">
        <f>IF(N458&lt;='[1]statistical criteria'!$B$2,IF(O458&gt;=LOG('[1]statistical criteria'!$B$3,2),1,IF(O458&lt;=-1*LOG('[1]statistical criteria'!$B$3,2),2,"-")),"-")</f>
        <v>1</v>
      </c>
      <c r="R458" t="s">
        <v>1813</v>
      </c>
      <c r="S458" t="s">
        <v>1814</v>
      </c>
      <c r="T458">
        <v>0</v>
      </c>
      <c r="U458" t="s">
        <v>1815</v>
      </c>
    </row>
    <row r="459" spans="1:21" x14ac:dyDescent="0.35">
      <c r="A459" t="s">
        <v>1816</v>
      </c>
      <c r="B459" t="s">
        <v>1817</v>
      </c>
      <c r="C459">
        <v>819</v>
      </c>
      <c r="D459" s="4">
        <v>0</v>
      </c>
      <c r="E459" s="4">
        <v>0</v>
      </c>
      <c r="F459" s="4">
        <v>0</v>
      </c>
      <c r="G459" s="4">
        <v>0</v>
      </c>
      <c r="H459" s="6">
        <v>2.076292</v>
      </c>
      <c r="I459" s="6">
        <v>3.2294239999999999</v>
      </c>
      <c r="J459" s="6">
        <v>13.37543</v>
      </c>
      <c r="K459" s="7">
        <f t="shared" si="14"/>
        <v>0</v>
      </c>
      <c r="L459" s="8">
        <f t="shared" si="15"/>
        <v>6.2270486666666658</v>
      </c>
      <c r="M459" s="9">
        <v>1.0803796329758199E-6</v>
      </c>
      <c r="N459" s="9">
        <v>1.23185287091252E-5</v>
      </c>
      <c r="O459" s="2">
        <v>4.4092385397338196</v>
      </c>
      <c r="P459" t="s">
        <v>1816</v>
      </c>
      <c r="Q459" s="10">
        <f>IF(N459&lt;='[1]statistical criteria'!$B$2,IF(O459&gt;=LOG('[1]statistical criteria'!$B$3,2),1,IF(O459&lt;=-1*LOG('[1]statistical criteria'!$B$3,2),2,"-")),"-")</f>
        <v>1</v>
      </c>
      <c r="R459" t="s">
        <v>773</v>
      </c>
      <c r="S459" t="s">
        <v>1818</v>
      </c>
      <c r="T459" s="9">
        <v>2E-14</v>
      </c>
      <c r="U459" t="s">
        <v>160</v>
      </c>
    </row>
    <row r="460" spans="1:21" x14ac:dyDescent="0.35">
      <c r="A460" t="s">
        <v>1819</v>
      </c>
      <c r="B460" t="s">
        <v>1820</v>
      </c>
      <c r="C460">
        <v>1935</v>
      </c>
      <c r="D460" s="4">
        <v>0</v>
      </c>
      <c r="E460" s="4">
        <v>0</v>
      </c>
      <c r="F460" s="4">
        <v>0</v>
      </c>
      <c r="G460" s="4">
        <v>0</v>
      </c>
      <c r="H460" s="6">
        <v>2.282756</v>
      </c>
      <c r="I460" s="6">
        <v>2.66954</v>
      </c>
      <c r="J460" s="6">
        <v>3.9281160000000002</v>
      </c>
      <c r="K460" s="7">
        <f t="shared" si="14"/>
        <v>0</v>
      </c>
      <c r="L460" s="8">
        <f t="shared" si="15"/>
        <v>2.9601373333333334</v>
      </c>
      <c r="M460" s="9">
        <v>2.2716300441763702E-6</v>
      </c>
      <c r="N460" s="9">
        <v>2.3982868094688701E-5</v>
      </c>
      <c r="O460" s="2">
        <v>4.4085597568340802</v>
      </c>
      <c r="P460" t="s">
        <v>1819</v>
      </c>
      <c r="Q460" s="10">
        <f>IF(N460&lt;='[1]statistical criteria'!$B$2,IF(O460&gt;=LOG('[1]statistical criteria'!$B$3,2),1,IF(O460&lt;=-1*LOG('[1]statistical criteria'!$B$3,2),2,"-")),"-")</f>
        <v>1</v>
      </c>
      <c r="S460" t="s">
        <v>1821</v>
      </c>
      <c r="T460" s="9">
        <v>1.9999999999999999E-94</v>
      </c>
      <c r="U460" t="s">
        <v>1822</v>
      </c>
    </row>
    <row r="461" spans="1:21" x14ac:dyDescent="0.35">
      <c r="A461" t="s">
        <v>1823</v>
      </c>
      <c r="B461" t="s">
        <v>1824</v>
      </c>
      <c r="C461">
        <v>564</v>
      </c>
      <c r="D461" s="4">
        <v>0</v>
      </c>
      <c r="E461" s="4">
        <v>0</v>
      </c>
      <c r="F461" s="4">
        <v>0</v>
      </c>
      <c r="G461" s="4">
        <v>0</v>
      </c>
      <c r="H461" s="6">
        <v>3.8281230000000002</v>
      </c>
      <c r="I461" s="6">
        <v>11.887551</v>
      </c>
      <c r="J461" s="6">
        <v>11.286994</v>
      </c>
      <c r="K461" s="7">
        <f t="shared" si="14"/>
        <v>0</v>
      </c>
      <c r="L461" s="8">
        <f t="shared" si="15"/>
        <v>9.0008893333333333</v>
      </c>
      <c r="M461" s="9">
        <v>4.8875952912454001E-10</v>
      </c>
      <c r="N461" s="9">
        <v>1.10333260251957E-8</v>
      </c>
      <c r="O461" s="2">
        <v>4.4080492997448601</v>
      </c>
      <c r="P461" t="s">
        <v>1823</v>
      </c>
      <c r="Q461" s="10">
        <f>IF(N461&lt;='[1]statistical criteria'!$B$2,IF(O461&gt;=LOG('[1]statistical criteria'!$B$3,2),1,IF(O461&lt;=-1*LOG('[1]statistical criteria'!$B$3,2),2,"-")),"-")</f>
        <v>1</v>
      </c>
      <c r="S461" t="s">
        <v>133</v>
      </c>
      <c r="T461" t="s">
        <v>133</v>
      </c>
      <c r="U461" t="s">
        <v>134</v>
      </c>
    </row>
    <row r="462" spans="1:21" x14ac:dyDescent="0.35">
      <c r="A462" t="s">
        <v>1825</v>
      </c>
      <c r="B462" t="s">
        <v>1826</v>
      </c>
      <c r="C462">
        <v>1314</v>
      </c>
      <c r="D462" s="4">
        <v>0</v>
      </c>
      <c r="E462" s="4">
        <v>0</v>
      </c>
      <c r="F462" s="4">
        <v>0</v>
      </c>
      <c r="G462" s="4">
        <v>0</v>
      </c>
      <c r="H462" s="6">
        <v>1.5203960000000001</v>
      </c>
      <c r="I462" s="6">
        <v>5.0116579999999997</v>
      </c>
      <c r="J462" s="6">
        <v>4.4992159999999997</v>
      </c>
      <c r="K462" s="7">
        <f t="shared" si="14"/>
        <v>0</v>
      </c>
      <c r="L462" s="8">
        <f t="shared" si="15"/>
        <v>3.6770899999999997</v>
      </c>
      <c r="M462" s="9">
        <v>3.26874618385406E-6</v>
      </c>
      <c r="N462" s="9">
        <v>3.3175594601996099E-5</v>
      </c>
      <c r="O462" s="2">
        <v>4.4070638729837199</v>
      </c>
      <c r="P462" t="s">
        <v>1825</v>
      </c>
      <c r="Q462" s="10">
        <f>IF(N462&lt;='[1]statistical criteria'!$B$2,IF(O462&gt;=LOG('[1]statistical criteria'!$B$3,2),1,IF(O462&lt;=-1*LOG('[1]statistical criteria'!$B$3,2),2,"-")),"-")</f>
        <v>1</v>
      </c>
      <c r="R462" t="s">
        <v>1827</v>
      </c>
      <c r="S462" t="s">
        <v>1828</v>
      </c>
      <c r="T462">
        <v>0</v>
      </c>
      <c r="U462" t="s">
        <v>1829</v>
      </c>
    </row>
    <row r="463" spans="1:21" x14ac:dyDescent="0.35">
      <c r="A463" t="s">
        <v>1830</v>
      </c>
      <c r="B463" t="s">
        <v>1831</v>
      </c>
      <c r="C463">
        <v>1056</v>
      </c>
      <c r="D463" s="5">
        <v>3.1985960000000002</v>
      </c>
      <c r="E463" s="5">
        <v>3.39072</v>
      </c>
      <c r="F463" s="4">
        <v>0</v>
      </c>
      <c r="G463" s="5">
        <v>0.72577899999999995</v>
      </c>
      <c r="H463" s="6">
        <v>120.35319800000001</v>
      </c>
      <c r="I463" s="6">
        <v>39.942850999999997</v>
      </c>
      <c r="J463" s="6">
        <v>109.86863200000001</v>
      </c>
      <c r="K463" s="7">
        <f t="shared" si="14"/>
        <v>1.8287737500000001</v>
      </c>
      <c r="L463" s="8">
        <f t="shared" si="15"/>
        <v>90.054893666666672</v>
      </c>
      <c r="M463" s="9">
        <v>1.8152281628670101E-7</v>
      </c>
      <c r="N463" s="9">
        <v>2.4595081480497901E-6</v>
      </c>
      <c r="O463" s="2">
        <v>4.4067371305252401</v>
      </c>
      <c r="P463" t="s">
        <v>1830</v>
      </c>
      <c r="Q463" s="10">
        <f>IF(N463&lt;='[1]statistical criteria'!$B$2,IF(O463&gt;=LOG('[1]statistical criteria'!$B$3,2),1,IF(O463&lt;=-1*LOG('[1]statistical criteria'!$B$3,2),2,"-")),"-")</f>
        <v>1</v>
      </c>
      <c r="S463" t="s">
        <v>1832</v>
      </c>
      <c r="T463" s="9">
        <v>1.9999999999999999E-44</v>
      </c>
      <c r="U463" t="s">
        <v>529</v>
      </c>
    </row>
    <row r="464" spans="1:21" x14ac:dyDescent="0.35">
      <c r="A464" t="s">
        <v>1833</v>
      </c>
      <c r="B464" t="s">
        <v>1834</v>
      </c>
      <c r="C464">
        <v>960</v>
      </c>
      <c r="D464" s="5">
        <v>4.5420210000000001</v>
      </c>
      <c r="E464" s="4">
        <v>0</v>
      </c>
      <c r="F464" s="5">
        <v>0.71344600000000002</v>
      </c>
      <c r="G464" s="4">
        <v>0</v>
      </c>
      <c r="H464" s="6">
        <v>51.212853000000003</v>
      </c>
      <c r="I464" s="6">
        <v>38.120846999999998</v>
      </c>
      <c r="J464" s="6">
        <v>22.649245000000001</v>
      </c>
      <c r="K464" s="7">
        <f t="shared" si="14"/>
        <v>1.3138667500000001</v>
      </c>
      <c r="L464" s="8">
        <f t="shared" si="15"/>
        <v>37.327648333333336</v>
      </c>
      <c r="M464" s="9">
        <v>2.1090604108268299E-5</v>
      </c>
      <c r="N464">
        <v>1.74501824426238E-4</v>
      </c>
      <c r="O464" s="2">
        <v>4.4040063842081203</v>
      </c>
      <c r="P464" t="s">
        <v>1833</v>
      </c>
      <c r="Q464" s="10">
        <f>IF(N464&lt;='[1]statistical criteria'!$B$2,IF(O464&gt;=LOG('[1]statistical criteria'!$B$3,2),1,IF(O464&lt;=-1*LOG('[1]statistical criteria'!$B$3,2),2,"-")),"-")</f>
        <v>1</v>
      </c>
      <c r="R464" t="s">
        <v>1835</v>
      </c>
      <c r="S464" t="s">
        <v>1836</v>
      </c>
      <c r="T464" s="9">
        <v>1.9999999999999999E-82</v>
      </c>
      <c r="U464" t="s">
        <v>1837</v>
      </c>
    </row>
    <row r="465" spans="1:21" x14ac:dyDescent="0.35">
      <c r="A465" t="s">
        <v>1838</v>
      </c>
      <c r="B465" t="s">
        <v>1839</v>
      </c>
      <c r="C465">
        <v>400</v>
      </c>
      <c r="D465" s="4">
        <v>0</v>
      </c>
      <c r="E465" s="4">
        <v>0</v>
      </c>
      <c r="F465" s="4">
        <v>0</v>
      </c>
      <c r="G465" s="4">
        <v>0</v>
      </c>
      <c r="H465" s="6">
        <v>12.132334</v>
      </c>
      <c r="I465" s="6">
        <v>11.051465</v>
      </c>
      <c r="J465" s="6">
        <v>7.3246159999999998</v>
      </c>
      <c r="K465" s="7">
        <f t="shared" si="14"/>
        <v>0</v>
      </c>
      <c r="L465" s="8">
        <f t="shared" si="15"/>
        <v>10.169471666666666</v>
      </c>
      <c r="M465" s="9">
        <v>2.7474746038875399E-8</v>
      </c>
      <c r="N465" s="9">
        <v>4.5170144027628498E-7</v>
      </c>
      <c r="O465" s="2">
        <v>4.4039131162978498</v>
      </c>
      <c r="P465" t="s">
        <v>1838</v>
      </c>
      <c r="Q465" s="10">
        <f>IF(N465&lt;='[1]statistical criteria'!$B$2,IF(O465&gt;=LOG('[1]statistical criteria'!$B$3,2),1,IF(O465&lt;=-1*LOG('[1]statistical criteria'!$B$3,2),2,"-")),"-")</f>
        <v>1</v>
      </c>
    </row>
    <row r="466" spans="1:21" x14ac:dyDescent="0.35">
      <c r="A466" t="s">
        <v>1840</v>
      </c>
      <c r="B466" t="s">
        <v>1841</v>
      </c>
      <c r="C466">
        <v>729</v>
      </c>
      <c r="D466" s="5">
        <v>5.6030309999999997</v>
      </c>
      <c r="E466" s="4">
        <v>0</v>
      </c>
      <c r="F466" s="4">
        <v>0</v>
      </c>
      <c r="G466" s="5">
        <v>3.2732939999999999</v>
      </c>
      <c r="H466" s="6">
        <v>52.049031999999997</v>
      </c>
      <c r="I466" s="6">
        <v>77.973937000000006</v>
      </c>
      <c r="J466" s="6">
        <v>26.055927000000001</v>
      </c>
      <c r="K466" s="7">
        <f t="shared" si="14"/>
        <v>2.2190812499999999</v>
      </c>
      <c r="L466" s="8">
        <f t="shared" si="15"/>
        <v>52.026298666666662</v>
      </c>
      <c r="M466" s="9">
        <v>1.05161688900141E-5</v>
      </c>
      <c r="N466" s="9">
        <v>9.4131088418141593E-5</v>
      </c>
      <c r="O466" s="2">
        <v>4.40337288216001</v>
      </c>
      <c r="P466" t="s">
        <v>1840</v>
      </c>
      <c r="Q466" s="10">
        <f>IF(N466&lt;='[1]statistical criteria'!$B$2,IF(O466&gt;=LOG('[1]statistical criteria'!$B$3,2),1,IF(O466&lt;=-1*LOG('[1]statistical criteria'!$B$3,2),2,"-")),"-")</f>
        <v>1</v>
      </c>
      <c r="R466" t="s">
        <v>1842</v>
      </c>
      <c r="S466" t="s">
        <v>1843</v>
      </c>
      <c r="T466" s="9">
        <v>4.9999999999999999E-114</v>
      </c>
      <c r="U466" t="s">
        <v>1844</v>
      </c>
    </row>
    <row r="467" spans="1:21" x14ac:dyDescent="0.35">
      <c r="A467" t="s">
        <v>1845</v>
      </c>
      <c r="B467" t="s">
        <v>1846</v>
      </c>
      <c r="C467">
        <v>1803</v>
      </c>
      <c r="D467" s="4">
        <v>0</v>
      </c>
      <c r="E467" s="4">
        <v>0</v>
      </c>
      <c r="F467" s="5">
        <v>1.929179</v>
      </c>
      <c r="G467" s="4">
        <v>0</v>
      </c>
      <c r="H467" s="6">
        <v>10.251087</v>
      </c>
      <c r="I467" s="6">
        <v>5.7440509999999998</v>
      </c>
      <c r="J467" s="6">
        <v>13.464674</v>
      </c>
      <c r="K467" s="7">
        <f t="shared" si="14"/>
        <v>0.48229474999999999</v>
      </c>
      <c r="L467" s="8">
        <f t="shared" si="15"/>
        <v>9.8199373333333337</v>
      </c>
      <c r="M467" s="9">
        <v>1.9747919902532701E-6</v>
      </c>
      <c r="N467" s="9">
        <v>2.1106594537781299E-5</v>
      </c>
      <c r="O467" s="2">
        <v>4.4032593501740402</v>
      </c>
      <c r="P467" t="s">
        <v>1845</v>
      </c>
      <c r="Q467" s="10">
        <f>IF(N467&lt;='[1]statistical criteria'!$B$2,IF(O467&gt;=LOG('[1]statistical criteria'!$B$3,2),1,IF(O467&lt;=-1*LOG('[1]statistical criteria'!$B$3,2),2,"-")),"-")</f>
        <v>1</v>
      </c>
      <c r="R467" t="s">
        <v>1847</v>
      </c>
      <c r="S467" t="s">
        <v>1848</v>
      </c>
      <c r="T467">
        <v>0</v>
      </c>
      <c r="U467" t="s">
        <v>1849</v>
      </c>
    </row>
    <row r="468" spans="1:21" x14ac:dyDescent="0.35">
      <c r="A468" t="s">
        <v>1850</v>
      </c>
      <c r="B468" t="s">
        <v>1851</v>
      </c>
      <c r="C468">
        <v>1781</v>
      </c>
      <c r="D468" s="5">
        <v>1.603003</v>
      </c>
      <c r="E468" s="4">
        <v>0</v>
      </c>
      <c r="F468" s="4">
        <v>0</v>
      </c>
      <c r="G468" s="5">
        <v>1.40771</v>
      </c>
      <c r="H468" s="6">
        <v>14.720772</v>
      </c>
      <c r="I468" s="6">
        <v>31.774759</v>
      </c>
      <c r="J468" s="6">
        <v>14.624904000000001</v>
      </c>
      <c r="K468" s="7">
        <f t="shared" si="14"/>
        <v>0.75267824999999999</v>
      </c>
      <c r="L468" s="8">
        <f t="shared" si="15"/>
        <v>20.373478333333335</v>
      </c>
      <c r="M468" s="9">
        <v>1.85535680017273E-6</v>
      </c>
      <c r="N468" s="9">
        <v>1.9947706162309099E-5</v>
      </c>
      <c r="O468" s="2">
        <v>4.4015314530107101</v>
      </c>
      <c r="P468" t="s">
        <v>1850</v>
      </c>
      <c r="Q468" s="10">
        <f>IF(N468&lt;='[1]statistical criteria'!$B$2,IF(O468&gt;=LOG('[1]statistical criteria'!$B$3,2),1,IF(O468&lt;=-1*LOG('[1]statistical criteria'!$B$3,2),2,"-")),"-")</f>
        <v>1</v>
      </c>
      <c r="R468" t="s">
        <v>1413</v>
      </c>
      <c r="S468" t="s">
        <v>1852</v>
      </c>
      <c r="T468">
        <v>0</v>
      </c>
      <c r="U468" t="s">
        <v>1853</v>
      </c>
    </row>
    <row r="469" spans="1:21" x14ac:dyDescent="0.35">
      <c r="A469" t="s">
        <v>1854</v>
      </c>
      <c r="B469" t="s">
        <v>1855</v>
      </c>
      <c r="C469">
        <v>795</v>
      </c>
      <c r="D469" s="4">
        <v>0</v>
      </c>
      <c r="E469" s="4">
        <v>0</v>
      </c>
      <c r="F469" s="4">
        <v>0</v>
      </c>
      <c r="G469" s="5">
        <v>1.061734</v>
      </c>
      <c r="H469" s="6">
        <v>14.492457999999999</v>
      </c>
      <c r="I469" s="6">
        <v>8.5650750000000002</v>
      </c>
      <c r="J469" s="6">
        <v>9.665381</v>
      </c>
      <c r="K469" s="7">
        <f t="shared" si="14"/>
        <v>0.26543349999999999</v>
      </c>
      <c r="L469" s="8">
        <f t="shared" si="15"/>
        <v>10.907638</v>
      </c>
      <c r="M469" s="9">
        <v>1.3889716793967199E-7</v>
      </c>
      <c r="N469" s="9">
        <v>1.9279453726418401E-6</v>
      </c>
      <c r="O469" s="2">
        <v>4.4014888747471597</v>
      </c>
      <c r="P469" t="s">
        <v>1854</v>
      </c>
      <c r="Q469" s="10">
        <f>IF(N469&lt;='[1]statistical criteria'!$B$2,IF(O469&gt;=LOG('[1]statistical criteria'!$B$3,2),1,IF(O469&lt;=-1*LOG('[1]statistical criteria'!$B$3,2),2,"-")),"-")</f>
        <v>1</v>
      </c>
      <c r="R469" t="s">
        <v>1856</v>
      </c>
      <c r="S469" t="s">
        <v>1857</v>
      </c>
      <c r="T469" s="9">
        <v>1.9999999999999999E-103</v>
      </c>
      <c r="U469" t="s">
        <v>1858</v>
      </c>
    </row>
    <row r="470" spans="1:21" x14ac:dyDescent="0.35">
      <c r="A470" t="s">
        <v>1859</v>
      </c>
      <c r="B470" t="s">
        <v>1860</v>
      </c>
      <c r="C470">
        <v>456</v>
      </c>
      <c r="D470" s="4">
        <v>0</v>
      </c>
      <c r="E470" s="4">
        <v>0</v>
      </c>
      <c r="F470" s="4">
        <v>0</v>
      </c>
      <c r="G470" s="4">
        <v>0</v>
      </c>
      <c r="H470" s="6">
        <v>7.1027990000000001</v>
      </c>
      <c r="I470" s="6">
        <v>20.539756000000001</v>
      </c>
      <c r="J470" s="6">
        <v>15.860794</v>
      </c>
      <c r="K470" s="7">
        <f t="shared" si="14"/>
        <v>0</v>
      </c>
      <c r="L470" s="8">
        <f t="shared" si="15"/>
        <v>14.501116333333334</v>
      </c>
      <c r="M470" s="9">
        <v>1.6591326221446501E-8</v>
      </c>
      <c r="N470" s="9">
        <v>2.84449985476291E-7</v>
      </c>
      <c r="O470" s="2">
        <v>4.398879796808</v>
      </c>
      <c r="P470" t="s">
        <v>1859</v>
      </c>
      <c r="Q470" s="10">
        <f>IF(N470&lt;='[1]statistical criteria'!$B$2,IF(O470&gt;=LOG('[1]statistical criteria'!$B$3,2),1,IF(O470&lt;=-1*LOG('[1]statistical criteria'!$B$3,2),2,"-")),"-")</f>
        <v>1</v>
      </c>
      <c r="R470" t="s">
        <v>1861</v>
      </c>
      <c r="S470" t="s">
        <v>1862</v>
      </c>
      <c r="T470" s="9">
        <v>2E-19</v>
      </c>
      <c r="U470" t="s">
        <v>61</v>
      </c>
    </row>
    <row r="471" spans="1:21" x14ac:dyDescent="0.35">
      <c r="A471" t="s">
        <v>1863</v>
      </c>
      <c r="B471" t="s">
        <v>1864</v>
      </c>
      <c r="C471">
        <v>922</v>
      </c>
      <c r="D471" s="5">
        <v>4.5921919999999998</v>
      </c>
      <c r="E471" s="4">
        <v>0</v>
      </c>
      <c r="F471" s="5">
        <v>1.6873610000000001</v>
      </c>
      <c r="G471" s="4">
        <v>0</v>
      </c>
      <c r="H471" s="6">
        <v>21.394219</v>
      </c>
      <c r="I471" s="6">
        <v>67.429294999999996</v>
      </c>
      <c r="J471" s="6">
        <v>38.453149000000003</v>
      </c>
      <c r="K471" s="7">
        <f t="shared" si="14"/>
        <v>1.56988825</v>
      </c>
      <c r="L471" s="8">
        <f t="shared" si="15"/>
        <v>42.425554333333331</v>
      </c>
      <c r="M471" s="9">
        <v>2.04198893919189E-5</v>
      </c>
      <c r="N471">
        <v>1.6957909453555199E-4</v>
      </c>
      <c r="O471" s="2">
        <v>4.3955925677429999</v>
      </c>
      <c r="P471" t="s">
        <v>1863</v>
      </c>
      <c r="Q471" s="10">
        <f>IF(N471&lt;='[1]statistical criteria'!$B$2,IF(O471&gt;=LOG('[1]statistical criteria'!$B$3,2),1,IF(O471&lt;=-1*LOG('[1]statistical criteria'!$B$3,2),2,"-")),"-")</f>
        <v>1</v>
      </c>
      <c r="R471" t="s">
        <v>823</v>
      </c>
      <c r="S471" t="s">
        <v>824</v>
      </c>
      <c r="T471" s="9">
        <v>1E-50</v>
      </c>
      <c r="U471" t="s">
        <v>666</v>
      </c>
    </row>
    <row r="472" spans="1:21" x14ac:dyDescent="0.35">
      <c r="A472" t="s">
        <v>1865</v>
      </c>
      <c r="B472" t="s">
        <v>1866</v>
      </c>
      <c r="C472">
        <v>2282</v>
      </c>
      <c r="D472" s="4">
        <v>0</v>
      </c>
      <c r="E472" s="4">
        <v>0</v>
      </c>
      <c r="F472" s="5">
        <v>1.9872479999999999</v>
      </c>
      <c r="G472" s="4">
        <v>0</v>
      </c>
      <c r="H472" s="6">
        <v>12.346792000000001</v>
      </c>
      <c r="I472" s="6">
        <v>2.509198</v>
      </c>
      <c r="J472" s="6">
        <v>10.204698</v>
      </c>
      <c r="K472" s="7">
        <f t="shared" si="14"/>
        <v>0.49681199999999998</v>
      </c>
      <c r="L472" s="8">
        <f t="shared" si="15"/>
        <v>8.3535626666666669</v>
      </c>
      <c r="M472" s="9">
        <v>1.29136191363937E-6</v>
      </c>
      <c r="N472" s="9">
        <v>1.4464165518868199E-5</v>
      </c>
      <c r="O472" s="2">
        <v>4.3949158647584303</v>
      </c>
      <c r="P472" t="s">
        <v>1865</v>
      </c>
      <c r="Q472" s="10">
        <f>IF(N472&lt;='[1]statistical criteria'!$B$2,IF(O472&gt;=LOG('[1]statistical criteria'!$B$3,2),1,IF(O472&lt;=-1*LOG('[1]statistical criteria'!$B$3,2),2,"-")),"-")</f>
        <v>1</v>
      </c>
      <c r="R472" t="s">
        <v>1867</v>
      </c>
      <c r="S472" t="s">
        <v>1868</v>
      </c>
      <c r="T472">
        <v>0</v>
      </c>
      <c r="U472" t="s">
        <v>1869</v>
      </c>
    </row>
    <row r="473" spans="1:21" x14ac:dyDescent="0.35">
      <c r="A473" t="s">
        <v>1870</v>
      </c>
      <c r="C473">
        <v>270</v>
      </c>
      <c r="D473" s="4">
        <v>0</v>
      </c>
      <c r="E473" s="4">
        <v>0</v>
      </c>
      <c r="F473" s="4">
        <v>0</v>
      </c>
      <c r="G473" s="4">
        <v>0</v>
      </c>
      <c r="H473" s="6">
        <v>58.751550999999999</v>
      </c>
      <c r="I473" s="6">
        <v>40.077573000000001</v>
      </c>
      <c r="J473" s="6">
        <v>15.558684</v>
      </c>
      <c r="K473" s="7">
        <f t="shared" si="14"/>
        <v>0</v>
      </c>
      <c r="L473" s="8">
        <f t="shared" si="15"/>
        <v>38.129269333333333</v>
      </c>
      <c r="M473" s="9">
        <v>6.4370481394430304E-12</v>
      </c>
      <c r="N473" s="9">
        <v>1.95370057565551E-10</v>
      </c>
      <c r="O473" s="2">
        <v>4.3917065017272199</v>
      </c>
      <c r="P473" t="s">
        <v>1870</v>
      </c>
      <c r="Q473" s="10">
        <f>IF(N473&lt;='[1]statistical criteria'!$B$2,IF(O473&gt;=LOG('[1]statistical criteria'!$B$3,2),1,IF(O473&lt;=-1*LOG('[1]statistical criteria'!$B$3,2),2,"-")),"-")</f>
        <v>1</v>
      </c>
    </row>
    <row r="474" spans="1:21" x14ac:dyDescent="0.35">
      <c r="A474" t="s">
        <v>1871</v>
      </c>
      <c r="B474" t="s">
        <v>1872</v>
      </c>
      <c r="C474">
        <v>1398</v>
      </c>
      <c r="D474" s="4">
        <v>0</v>
      </c>
      <c r="E474" s="4">
        <v>0</v>
      </c>
      <c r="F474" s="4">
        <v>0</v>
      </c>
      <c r="G474" s="4">
        <v>0</v>
      </c>
      <c r="H474" s="6">
        <v>0.62119500000000005</v>
      </c>
      <c r="I474" s="6">
        <v>9.4327480000000001</v>
      </c>
      <c r="J474" s="6">
        <v>4.3248920000000002</v>
      </c>
      <c r="K474" s="7">
        <f t="shared" si="14"/>
        <v>0</v>
      </c>
      <c r="L474" s="8">
        <f t="shared" si="15"/>
        <v>4.7929450000000005</v>
      </c>
      <c r="M474" s="9">
        <v>1.0477308573067499E-9</v>
      </c>
      <c r="N474" s="9">
        <v>2.2491052695485101E-8</v>
      </c>
      <c r="O474" s="2">
        <v>4.3798549689894601</v>
      </c>
      <c r="P474" t="s">
        <v>1871</v>
      </c>
      <c r="Q474" s="10">
        <f>IF(N474&lt;='[1]statistical criteria'!$B$2,IF(O474&gt;=LOG('[1]statistical criteria'!$B$3,2),1,IF(O474&lt;=-1*LOG('[1]statistical criteria'!$B$3,2),2,"-")),"-")</f>
        <v>1</v>
      </c>
      <c r="R474" t="s">
        <v>1873</v>
      </c>
      <c r="S474" t="s">
        <v>1874</v>
      </c>
      <c r="T474">
        <v>0</v>
      </c>
      <c r="U474" t="s">
        <v>1875</v>
      </c>
    </row>
    <row r="475" spans="1:21" x14ac:dyDescent="0.35">
      <c r="A475" t="s">
        <v>1876</v>
      </c>
      <c r="B475" t="s">
        <v>1877</v>
      </c>
      <c r="C475">
        <v>2021</v>
      </c>
      <c r="D475" s="4">
        <v>0</v>
      </c>
      <c r="E475" s="4">
        <v>0</v>
      </c>
      <c r="F475" s="4">
        <v>0</v>
      </c>
      <c r="G475" s="5">
        <v>2.1058979999999998</v>
      </c>
      <c r="H475" s="6">
        <v>11.204651</v>
      </c>
      <c r="I475" s="6">
        <v>3.4914360000000002</v>
      </c>
      <c r="J475" s="6">
        <v>8.2388779999999997</v>
      </c>
      <c r="K475" s="7">
        <f t="shared" si="14"/>
        <v>0.52647449999999996</v>
      </c>
      <c r="L475" s="8">
        <f t="shared" si="15"/>
        <v>7.6449883333333331</v>
      </c>
      <c r="M475" s="9">
        <v>3.8681715024456399E-7</v>
      </c>
      <c r="N475" s="9">
        <v>4.9008857317936402E-6</v>
      </c>
      <c r="O475" s="2">
        <v>4.3797266239929202</v>
      </c>
      <c r="P475" t="s">
        <v>1876</v>
      </c>
      <c r="Q475" s="10">
        <f>IF(N475&lt;='[1]statistical criteria'!$B$2,IF(O475&gt;=LOG('[1]statistical criteria'!$B$3,2),1,IF(O475&lt;=-1*LOG('[1]statistical criteria'!$B$3,2),2,"-")),"-")</f>
        <v>1</v>
      </c>
      <c r="R475" t="s">
        <v>1521</v>
      </c>
      <c r="S475" t="s">
        <v>1878</v>
      </c>
      <c r="T475" s="9">
        <v>3.0000000000000001E-164</v>
      </c>
      <c r="U475" t="s">
        <v>1523</v>
      </c>
    </row>
    <row r="476" spans="1:21" x14ac:dyDescent="0.35">
      <c r="A476" t="s">
        <v>1879</v>
      </c>
      <c r="B476" t="s">
        <v>1880</v>
      </c>
      <c r="C476">
        <v>1239</v>
      </c>
      <c r="D476" s="5">
        <v>0.77469699999999997</v>
      </c>
      <c r="E476" s="5">
        <v>1.1438459999999999</v>
      </c>
      <c r="F476" s="5">
        <v>1.3738379999999999</v>
      </c>
      <c r="G476" s="5">
        <v>2.0755270000000001</v>
      </c>
      <c r="H476" s="6">
        <v>105.73837899999999</v>
      </c>
      <c r="I476" s="6">
        <v>92.485501999999997</v>
      </c>
      <c r="J476" s="6">
        <v>131.26603700000001</v>
      </c>
      <c r="K476" s="7">
        <f t="shared" si="14"/>
        <v>1.341977</v>
      </c>
      <c r="L476" s="8">
        <f t="shared" si="15"/>
        <v>109.82997266666666</v>
      </c>
      <c r="M476" s="9">
        <v>7.1249650632216202E-27</v>
      </c>
      <c r="N476" s="9">
        <v>1.29131509669626E-24</v>
      </c>
      <c r="O476" s="2">
        <v>4.3780334768089304</v>
      </c>
      <c r="P476" t="s">
        <v>1879</v>
      </c>
      <c r="Q476" s="10">
        <f>IF(N476&lt;='[1]statistical criteria'!$B$2,IF(O476&gt;=LOG('[1]statistical criteria'!$B$3,2),1,IF(O476&lt;=-1*LOG('[1]statistical criteria'!$B$3,2),2,"-")),"-")</f>
        <v>1</v>
      </c>
      <c r="R476" t="s">
        <v>1881</v>
      </c>
      <c r="S476" t="s">
        <v>1882</v>
      </c>
      <c r="T476">
        <v>0</v>
      </c>
      <c r="U476" t="s">
        <v>1883</v>
      </c>
    </row>
    <row r="477" spans="1:21" x14ac:dyDescent="0.35">
      <c r="A477" t="s">
        <v>1884</v>
      </c>
      <c r="B477" t="s">
        <v>1885</v>
      </c>
      <c r="C477">
        <v>1167</v>
      </c>
      <c r="D477" s="4">
        <v>0</v>
      </c>
      <c r="E477" s="4">
        <v>0</v>
      </c>
      <c r="F477" s="5">
        <v>0.789802</v>
      </c>
      <c r="G477" s="4">
        <v>0</v>
      </c>
      <c r="H477" s="6">
        <v>5.2537739999999999</v>
      </c>
      <c r="I477" s="6">
        <v>6.5688839999999997</v>
      </c>
      <c r="J477" s="6">
        <v>10.144824</v>
      </c>
      <c r="K477" s="7">
        <f t="shared" si="14"/>
        <v>0.1974505</v>
      </c>
      <c r="L477" s="8">
        <f t="shared" si="15"/>
        <v>7.3224939999999998</v>
      </c>
      <c r="M477" s="9">
        <v>1.70456844833162E-6</v>
      </c>
      <c r="N477" s="9">
        <v>1.8520089963888599E-5</v>
      </c>
      <c r="O477" s="2">
        <v>4.3752501389189398</v>
      </c>
      <c r="P477" t="s">
        <v>1884</v>
      </c>
      <c r="Q477" s="10">
        <f>IF(N477&lt;='[1]statistical criteria'!$B$2,IF(O477&gt;=LOG('[1]statistical criteria'!$B$3,2),1,IF(O477&lt;=-1*LOG('[1]statistical criteria'!$B$3,2),2,"-")),"-")</f>
        <v>1</v>
      </c>
      <c r="R477" t="s">
        <v>1827</v>
      </c>
      <c r="S477" t="s">
        <v>1886</v>
      </c>
      <c r="T477" s="9">
        <v>9.9999999999999997E-106</v>
      </c>
      <c r="U477" t="s">
        <v>1829</v>
      </c>
    </row>
    <row r="478" spans="1:21" x14ac:dyDescent="0.35">
      <c r="A478" t="s">
        <v>1887</v>
      </c>
      <c r="B478" t="s">
        <v>1888</v>
      </c>
      <c r="C478">
        <v>1443</v>
      </c>
      <c r="D478" s="4">
        <v>0</v>
      </c>
      <c r="E478" s="4">
        <v>0</v>
      </c>
      <c r="F478" s="4">
        <v>0</v>
      </c>
      <c r="G478" s="4">
        <v>0</v>
      </c>
      <c r="H478" s="6">
        <v>1.908091</v>
      </c>
      <c r="I478" s="6">
        <v>5.3662859999999997</v>
      </c>
      <c r="J478" s="6">
        <v>4.3569100000000001</v>
      </c>
      <c r="K478" s="7">
        <f t="shared" si="14"/>
        <v>0</v>
      </c>
      <c r="L478" s="8">
        <f t="shared" si="15"/>
        <v>3.8770956666666669</v>
      </c>
      <c r="M478" s="9">
        <v>1.4173180156038701E-6</v>
      </c>
      <c r="N478" s="9">
        <v>1.57131149647199E-5</v>
      </c>
      <c r="O478" s="2">
        <v>4.3745755387465302</v>
      </c>
      <c r="P478" t="s">
        <v>1887</v>
      </c>
      <c r="Q478" s="10">
        <f>IF(N478&lt;='[1]statistical criteria'!$B$2,IF(O478&gt;=LOG('[1]statistical criteria'!$B$3,2),1,IF(O478&lt;=-1*LOG('[1]statistical criteria'!$B$3,2),2,"-")),"-")</f>
        <v>1</v>
      </c>
      <c r="R478" t="s">
        <v>1889</v>
      </c>
      <c r="S478" t="s">
        <v>1890</v>
      </c>
      <c r="T478">
        <v>0</v>
      </c>
      <c r="U478" t="s">
        <v>1891</v>
      </c>
    </row>
    <row r="479" spans="1:21" x14ac:dyDescent="0.35">
      <c r="A479" t="s">
        <v>1892</v>
      </c>
      <c r="B479" t="s">
        <v>1893</v>
      </c>
      <c r="C479">
        <v>666</v>
      </c>
      <c r="D479" s="4">
        <v>0</v>
      </c>
      <c r="E479" s="4">
        <v>0</v>
      </c>
      <c r="F479" s="4">
        <v>0</v>
      </c>
      <c r="G479" s="4">
        <v>0</v>
      </c>
      <c r="H479" s="6">
        <v>2.7314850000000002</v>
      </c>
      <c r="I479" s="6">
        <v>17.647096000000001</v>
      </c>
      <c r="J479" s="6">
        <v>6.8606809999999996</v>
      </c>
      <c r="K479" s="7">
        <f t="shared" si="14"/>
        <v>0</v>
      </c>
      <c r="L479" s="8">
        <f t="shared" si="15"/>
        <v>9.0797539999999994</v>
      </c>
      <c r="M479" s="9">
        <v>2.7821986519696102E-6</v>
      </c>
      <c r="N479" s="9">
        <v>2.86541697283784E-5</v>
      </c>
      <c r="O479" s="2">
        <v>4.3739228942109598</v>
      </c>
      <c r="P479" t="s">
        <v>1892</v>
      </c>
      <c r="Q479" s="10">
        <f>IF(N479&lt;='[1]statistical criteria'!$B$2,IF(O479&gt;=LOG('[1]statistical criteria'!$B$3,2),1,IF(O479&lt;=-1*LOG('[1]statistical criteria'!$B$3,2),2,"-")),"-")</f>
        <v>1</v>
      </c>
      <c r="S479" t="s">
        <v>1894</v>
      </c>
      <c r="T479">
        <v>0.68</v>
      </c>
      <c r="U479" t="s">
        <v>1895</v>
      </c>
    </row>
    <row r="480" spans="1:21" x14ac:dyDescent="0.35">
      <c r="A480" t="s">
        <v>1896</v>
      </c>
      <c r="B480" t="s">
        <v>1897</v>
      </c>
      <c r="C480">
        <v>1469</v>
      </c>
      <c r="D480" s="4">
        <v>0</v>
      </c>
      <c r="E480" s="4">
        <v>0</v>
      </c>
      <c r="F480" s="4">
        <v>0</v>
      </c>
      <c r="G480" s="4">
        <v>0</v>
      </c>
      <c r="H480" s="6">
        <v>2.5421459999999998</v>
      </c>
      <c r="I480" s="6">
        <v>10.313478999999999</v>
      </c>
      <c r="J480" s="6">
        <v>0.51705100000000004</v>
      </c>
      <c r="K480" s="7">
        <f t="shared" si="14"/>
        <v>0</v>
      </c>
      <c r="L480" s="8">
        <f t="shared" si="15"/>
        <v>4.4575586666666664</v>
      </c>
      <c r="M480" s="9">
        <v>4.4227244673746697E-6</v>
      </c>
      <c r="N480" s="9">
        <v>4.3619822033760001E-5</v>
      </c>
      <c r="O480" s="2">
        <v>4.37343463687208</v>
      </c>
      <c r="P480" t="s">
        <v>1896</v>
      </c>
      <c r="Q480" s="10">
        <f>IF(N480&lt;='[1]statistical criteria'!$B$2,IF(O480&gt;=LOG('[1]statistical criteria'!$B$3,2),1,IF(O480&lt;=-1*LOG('[1]statistical criteria'!$B$3,2),2,"-")),"-")</f>
        <v>1</v>
      </c>
      <c r="R480" t="s">
        <v>1898</v>
      </c>
      <c r="S480" t="s">
        <v>1899</v>
      </c>
      <c r="T480">
        <v>0</v>
      </c>
      <c r="U480" t="s">
        <v>1900</v>
      </c>
    </row>
    <row r="481" spans="1:21" x14ac:dyDescent="0.35">
      <c r="A481" t="s">
        <v>1901</v>
      </c>
      <c r="B481" t="s">
        <v>1902</v>
      </c>
      <c r="C481">
        <v>2238</v>
      </c>
      <c r="D481" s="4">
        <v>0</v>
      </c>
      <c r="E481" s="4">
        <v>0</v>
      </c>
      <c r="F481" s="4">
        <v>0</v>
      </c>
      <c r="G481" s="5">
        <v>0.19696900000000001</v>
      </c>
      <c r="H481" s="6">
        <v>3.6888580000000002</v>
      </c>
      <c r="I481" s="6">
        <v>3.2763969999999998</v>
      </c>
      <c r="J481" s="6">
        <v>2.7370909999999999</v>
      </c>
      <c r="K481" s="7">
        <f t="shared" si="14"/>
        <v>4.9242250000000001E-2</v>
      </c>
      <c r="L481" s="8">
        <f t="shared" si="15"/>
        <v>3.2341153333333335</v>
      </c>
      <c r="M481" s="9">
        <v>5.6201214281816498E-7</v>
      </c>
      <c r="N481" s="9">
        <v>6.8646284196596101E-6</v>
      </c>
      <c r="O481" s="2">
        <v>4.3732729236990799</v>
      </c>
      <c r="P481" t="s">
        <v>1901</v>
      </c>
      <c r="Q481" s="10">
        <f>IF(N481&lt;='[1]statistical criteria'!$B$2,IF(O481&gt;=LOG('[1]statistical criteria'!$B$3,2),1,IF(O481&lt;=-1*LOG('[1]statistical criteria'!$B$3,2),2,"-")),"-")</f>
        <v>1</v>
      </c>
      <c r="R481" t="s">
        <v>1903</v>
      </c>
      <c r="S481" t="s">
        <v>1904</v>
      </c>
      <c r="T481">
        <v>0</v>
      </c>
      <c r="U481" t="s">
        <v>1905</v>
      </c>
    </row>
    <row r="482" spans="1:21" x14ac:dyDescent="0.35">
      <c r="A482" t="s">
        <v>1906</v>
      </c>
      <c r="B482" t="s">
        <v>1907</v>
      </c>
      <c r="C482">
        <v>713</v>
      </c>
      <c r="D482" s="4">
        <v>0</v>
      </c>
      <c r="E482" s="4">
        <v>0</v>
      </c>
      <c r="F482" s="4">
        <v>0</v>
      </c>
      <c r="G482" s="4">
        <v>0</v>
      </c>
      <c r="H482" s="6">
        <v>3.5842849999999999</v>
      </c>
      <c r="I482" s="6">
        <v>10.415616999999999</v>
      </c>
      <c r="J482" s="6">
        <v>11.13645</v>
      </c>
      <c r="K482" s="7">
        <f t="shared" si="14"/>
        <v>0</v>
      </c>
      <c r="L482" s="8">
        <f t="shared" si="15"/>
        <v>8.3787839999999996</v>
      </c>
      <c r="M482" s="9">
        <v>2.9070429228321501E-6</v>
      </c>
      <c r="N482" s="9">
        <v>2.9854739979708601E-5</v>
      </c>
      <c r="O482" s="2">
        <v>4.3732234200589097</v>
      </c>
      <c r="P482" t="s">
        <v>1906</v>
      </c>
      <c r="Q482" s="10">
        <f>IF(N482&lt;='[1]statistical criteria'!$B$2,IF(O482&gt;=LOG('[1]statistical criteria'!$B$3,2),1,IF(O482&lt;=-1*LOG('[1]statistical criteria'!$B$3,2),2,"-")),"-")</f>
        <v>1</v>
      </c>
      <c r="R482" t="s">
        <v>1908</v>
      </c>
      <c r="S482" t="s">
        <v>1909</v>
      </c>
      <c r="T482" s="9">
        <v>1.9999999999999999E-80</v>
      </c>
      <c r="U482" t="s">
        <v>1910</v>
      </c>
    </row>
    <row r="483" spans="1:21" x14ac:dyDescent="0.35">
      <c r="A483" t="s">
        <v>1911</v>
      </c>
      <c r="B483" t="s">
        <v>1912</v>
      </c>
      <c r="C483">
        <v>919</v>
      </c>
      <c r="D483" s="5">
        <v>3.3228559999999998</v>
      </c>
      <c r="E483" s="4">
        <v>0</v>
      </c>
      <c r="F483" s="5">
        <v>0.82189000000000001</v>
      </c>
      <c r="G483" s="4">
        <v>0</v>
      </c>
      <c r="H483" s="6">
        <v>96.546599999999998</v>
      </c>
      <c r="I483" s="6">
        <v>6.7715569999999996</v>
      </c>
      <c r="J483" s="6">
        <v>62.144849000000001</v>
      </c>
      <c r="K483" s="7">
        <f t="shared" si="14"/>
        <v>1.0361864999999999</v>
      </c>
      <c r="L483" s="8">
        <f t="shared" si="15"/>
        <v>55.154335333333336</v>
      </c>
      <c r="M483" s="9">
        <v>5.8675439040606096E-6</v>
      </c>
      <c r="N483" s="9">
        <v>5.6294106626807901E-5</v>
      </c>
      <c r="O483" s="2">
        <v>4.3692494253365304</v>
      </c>
      <c r="P483" t="s">
        <v>1911</v>
      </c>
      <c r="Q483" s="10">
        <f>IF(N483&lt;='[1]statistical criteria'!$B$2,IF(O483&gt;=LOG('[1]statistical criteria'!$B$3,2),1,IF(O483&lt;=-1*LOG('[1]statistical criteria'!$B$3,2),2,"-")),"-")</f>
        <v>1</v>
      </c>
      <c r="R483" t="s">
        <v>1913</v>
      </c>
      <c r="S483" t="s">
        <v>1291</v>
      </c>
      <c r="T483" s="9">
        <v>7.0000000000000003E-146</v>
      </c>
      <c r="U483" t="s">
        <v>1292</v>
      </c>
    </row>
    <row r="484" spans="1:21" x14ac:dyDescent="0.35">
      <c r="A484" t="s">
        <v>1914</v>
      </c>
      <c r="B484" t="s">
        <v>1915</v>
      </c>
      <c r="C484">
        <v>1074</v>
      </c>
      <c r="D484" s="4">
        <v>0</v>
      </c>
      <c r="E484" s="4">
        <v>0</v>
      </c>
      <c r="F484" s="4">
        <v>0</v>
      </c>
      <c r="G484" s="4">
        <v>0</v>
      </c>
      <c r="H484" s="6">
        <v>2.2601450000000001</v>
      </c>
      <c r="I484" s="6">
        <v>3.7540460000000002</v>
      </c>
      <c r="J484" s="6">
        <v>2.8317199999999998</v>
      </c>
      <c r="K484" s="7">
        <f t="shared" si="14"/>
        <v>0</v>
      </c>
      <c r="L484" s="8">
        <f t="shared" si="15"/>
        <v>2.9486370000000002</v>
      </c>
      <c r="M484" s="9">
        <v>5.4938504312020598E-13</v>
      </c>
      <c r="N484" s="9">
        <v>1.9800752595790801E-11</v>
      </c>
      <c r="O484" s="2">
        <v>4.3672946488276603</v>
      </c>
      <c r="P484" t="s">
        <v>1914</v>
      </c>
      <c r="Q484" s="10">
        <f>IF(N484&lt;='[1]statistical criteria'!$B$2,IF(O484&gt;=LOG('[1]statistical criteria'!$B$3,2),1,IF(O484&lt;=-1*LOG('[1]statistical criteria'!$B$3,2),2,"-")),"-")</f>
        <v>1</v>
      </c>
      <c r="R484" t="s">
        <v>1916</v>
      </c>
      <c r="S484" t="s">
        <v>1917</v>
      </c>
      <c r="T484" s="9">
        <v>2.0000000000000001E-54</v>
      </c>
      <c r="U484" t="s">
        <v>1918</v>
      </c>
    </row>
    <row r="485" spans="1:21" x14ac:dyDescent="0.35">
      <c r="A485" t="s">
        <v>1919</v>
      </c>
      <c r="B485" t="s">
        <v>1920</v>
      </c>
      <c r="C485">
        <v>5334</v>
      </c>
      <c r="D485" s="4">
        <v>0</v>
      </c>
      <c r="E485" s="4">
        <v>0</v>
      </c>
      <c r="F485" s="4">
        <v>0</v>
      </c>
      <c r="G485" s="4">
        <v>0</v>
      </c>
      <c r="H485" s="6">
        <v>1.3690990000000001</v>
      </c>
      <c r="I485" s="6">
        <v>0.63346400000000003</v>
      </c>
      <c r="J485" s="6">
        <v>0.75912100000000005</v>
      </c>
      <c r="K485" s="7">
        <f t="shared" si="14"/>
        <v>0</v>
      </c>
      <c r="L485" s="8">
        <f t="shared" si="15"/>
        <v>0.92056133333333345</v>
      </c>
      <c r="M485" s="9">
        <v>1.56682956152349E-6</v>
      </c>
      <c r="N485" s="9">
        <v>1.71557920344028E-5</v>
      </c>
      <c r="O485" s="2">
        <v>4.3644968809207603</v>
      </c>
      <c r="P485" t="s">
        <v>1919</v>
      </c>
      <c r="Q485" s="10">
        <f>IF(N485&lt;='[1]statistical criteria'!$B$2,IF(O485&gt;=LOG('[1]statistical criteria'!$B$3,2),1,IF(O485&lt;=-1*LOG('[1]statistical criteria'!$B$3,2),2,"-")),"-")</f>
        <v>1</v>
      </c>
      <c r="S485" t="s">
        <v>289</v>
      </c>
      <c r="T485" s="9">
        <v>2.0000000000000001E-17</v>
      </c>
      <c r="U485" t="s">
        <v>215</v>
      </c>
    </row>
    <row r="486" spans="1:21" x14ac:dyDescent="0.35">
      <c r="A486" t="s">
        <v>1921</v>
      </c>
      <c r="B486" t="s">
        <v>1922</v>
      </c>
      <c r="C486">
        <v>951</v>
      </c>
      <c r="D486" s="5">
        <v>0.44490499999999999</v>
      </c>
      <c r="E486" s="4">
        <v>0</v>
      </c>
      <c r="F486" s="4">
        <v>0</v>
      </c>
      <c r="G486" s="5">
        <v>0.845831</v>
      </c>
      <c r="H486" s="6">
        <v>14.190184</v>
      </c>
      <c r="I486" s="6">
        <v>29.676503</v>
      </c>
      <c r="J486" s="6">
        <v>9.8407309999999999</v>
      </c>
      <c r="K486" s="7">
        <f t="shared" si="14"/>
        <v>0.32268399999999997</v>
      </c>
      <c r="L486" s="8">
        <f t="shared" si="15"/>
        <v>17.902472666666664</v>
      </c>
      <c r="M486" s="9">
        <v>1.40597581258787E-7</v>
      </c>
      <c r="N486" s="9">
        <v>1.9501253435530099E-6</v>
      </c>
      <c r="O486" s="2">
        <v>4.3641461827180601</v>
      </c>
      <c r="P486" t="s">
        <v>1921</v>
      </c>
      <c r="Q486" s="10">
        <f>IF(N486&lt;='[1]statistical criteria'!$B$2,IF(O486&gt;=LOG('[1]statistical criteria'!$B$3,2),1,IF(O486&lt;=-1*LOG('[1]statistical criteria'!$B$3,2),2,"-")),"-")</f>
        <v>1</v>
      </c>
      <c r="R486" t="s">
        <v>1923</v>
      </c>
      <c r="S486" t="s">
        <v>1924</v>
      </c>
      <c r="T486" s="9">
        <v>3.0000000000000002E-147</v>
      </c>
      <c r="U486" t="s">
        <v>1925</v>
      </c>
    </row>
    <row r="487" spans="1:21" x14ac:dyDescent="0.35">
      <c r="A487" t="s">
        <v>1926</v>
      </c>
      <c r="B487" t="s">
        <v>1927</v>
      </c>
      <c r="C487">
        <v>612</v>
      </c>
      <c r="D487" s="4">
        <v>0</v>
      </c>
      <c r="E487" s="4">
        <v>0</v>
      </c>
      <c r="F487" s="5">
        <v>4.4359440000000001</v>
      </c>
      <c r="G487" s="4">
        <v>0</v>
      </c>
      <c r="H487" s="6">
        <v>29.27347</v>
      </c>
      <c r="I487" s="6">
        <v>18.206531999999999</v>
      </c>
      <c r="J487" s="6">
        <v>17.487072000000001</v>
      </c>
      <c r="K487" s="7">
        <f t="shared" si="14"/>
        <v>1.108986</v>
      </c>
      <c r="L487" s="8">
        <f t="shared" si="15"/>
        <v>21.655691333333333</v>
      </c>
      <c r="M487" s="9">
        <v>1.4566040909185899E-5</v>
      </c>
      <c r="N487">
        <v>1.25682048742602E-4</v>
      </c>
      <c r="O487" s="2">
        <v>4.3627234218893998</v>
      </c>
      <c r="P487" t="s">
        <v>1926</v>
      </c>
      <c r="Q487" s="10">
        <f>IF(N487&lt;='[1]statistical criteria'!$B$2,IF(O487&gt;=LOG('[1]statistical criteria'!$B$3,2),1,IF(O487&lt;=-1*LOG('[1]statistical criteria'!$B$3,2),2,"-")),"-")</f>
        <v>1</v>
      </c>
      <c r="R487" t="s">
        <v>1928</v>
      </c>
      <c r="S487" t="s">
        <v>1929</v>
      </c>
      <c r="T487" s="9">
        <v>7E-114</v>
      </c>
      <c r="U487" t="s">
        <v>1930</v>
      </c>
    </row>
    <row r="488" spans="1:21" x14ac:dyDescent="0.35">
      <c r="A488" t="s">
        <v>1931</v>
      </c>
      <c r="B488" t="s">
        <v>1932</v>
      </c>
      <c r="C488">
        <v>594</v>
      </c>
      <c r="D488" s="4">
        <v>0</v>
      </c>
      <c r="E488" s="4">
        <v>0</v>
      </c>
      <c r="F488" s="4">
        <v>0</v>
      </c>
      <c r="G488" s="4">
        <v>0</v>
      </c>
      <c r="H488" s="6">
        <v>6.7012109999999998</v>
      </c>
      <c r="I488" s="6">
        <v>16.179690000000001</v>
      </c>
      <c r="J488" s="6">
        <v>9.7076080000000005</v>
      </c>
      <c r="K488" s="7">
        <f t="shared" si="14"/>
        <v>0</v>
      </c>
      <c r="L488" s="8">
        <f t="shared" si="15"/>
        <v>10.862836333333334</v>
      </c>
      <c r="M488" s="9">
        <v>4.8186085974041901E-8</v>
      </c>
      <c r="N488" s="9">
        <v>7.49473817806308E-7</v>
      </c>
      <c r="O488" s="2">
        <v>4.36062387096199</v>
      </c>
      <c r="P488" t="s">
        <v>1931</v>
      </c>
      <c r="Q488" s="10">
        <f>IF(N488&lt;='[1]statistical criteria'!$B$2,IF(O488&gt;=LOG('[1]statistical criteria'!$B$3,2),1,IF(O488&lt;=-1*LOG('[1]statistical criteria'!$B$3,2),2,"-")),"-")</f>
        <v>1</v>
      </c>
      <c r="R488" t="s">
        <v>1933</v>
      </c>
      <c r="S488" t="s">
        <v>1934</v>
      </c>
      <c r="T488" s="9">
        <v>6.9999999999999997E-81</v>
      </c>
      <c r="U488" t="s">
        <v>61</v>
      </c>
    </row>
    <row r="489" spans="1:21" x14ac:dyDescent="0.35">
      <c r="A489" t="s">
        <v>1935</v>
      </c>
      <c r="B489" t="s">
        <v>1936</v>
      </c>
      <c r="C489">
        <v>1908</v>
      </c>
      <c r="D489" s="5">
        <v>1.717117</v>
      </c>
      <c r="E489" s="4">
        <v>0</v>
      </c>
      <c r="F489" s="4">
        <v>0</v>
      </c>
      <c r="G489" s="5">
        <v>0.118046</v>
      </c>
      <c r="H489" s="6">
        <v>8.9070920000000005</v>
      </c>
      <c r="I489" s="6">
        <v>17.411484999999999</v>
      </c>
      <c r="J489" s="6">
        <v>7.4910759999999996</v>
      </c>
      <c r="K489" s="7">
        <f t="shared" si="14"/>
        <v>0.45879075000000002</v>
      </c>
      <c r="L489" s="8">
        <f t="shared" si="15"/>
        <v>11.269884333333332</v>
      </c>
      <c r="M489" s="9">
        <v>1.20896752117575E-6</v>
      </c>
      <c r="N489" s="9">
        <v>1.3649748993161899E-5</v>
      </c>
      <c r="O489" s="2">
        <v>4.3564632399760104</v>
      </c>
      <c r="P489" t="s">
        <v>1935</v>
      </c>
      <c r="Q489" s="10">
        <f>IF(N489&lt;='[1]statistical criteria'!$B$2,IF(O489&gt;=LOG('[1]statistical criteria'!$B$3,2),1,IF(O489&lt;=-1*LOG('[1]statistical criteria'!$B$3,2),2,"-")),"-")</f>
        <v>1</v>
      </c>
      <c r="S489" t="s">
        <v>1937</v>
      </c>
      <c r="T489" s="9">
        <v>2E-116</v>
      </c>
      <c r="U489" t="s">
        <v>982</v>
      </c>
    </row>
    <row r="490" spans="1:21" x14ac:dyDescent="0.35">
      <c r="A490" t="s">
        <v>1938</v>
      </c>
      <c r="B490" t="s">
        <v>1939</v>
      </c>
      <c r="C490">
        <v>498</v>
      </c>
      <c r="D490" s="4">
        <v>0</v>
      </c>
      <c r="E490" s="4">
        <v>0</v>
      </c>
      <c r="F490" s="4">
        <v>0</v>
      </c>
      <c r="G490" s="4">
        <v>0</v>
      </c>
      <c r="H490" s="6">
        <v>7.577744</v>
      </c>
      <c r="I490" s="6">
        <v>8.3177179999999993</v>
      </c>
      <c r="J490" s="6">
        <v>14.957822999999999</v>
      </c>
      <c r="K490" s="7">
        <f t="shared" si="14"/>
        <v>0</v>
      </c>
      <c r="L490" s="8">
        <f t="shared" si="15"/>
        <v>10.284428333333333</v>
      </c>
      <c r="M490" s="9">
        <v>6.1414304756959795E-7</v>
      </c>
      <c r="N490" s="9">
        <v>7.4298424636042301E-6</v>
      </c>
      <c r="O490" s="2">
        <v>4.3563369597487203</v>
      </c>
      <c r="P490" t="s">
        <v>1938</v>
      </c>
      <c r="Q490" s="10">
        <f>IF(N490&lt;='[1]statistical criteria'!$B$2,IF(O490&gt;=LOG('[1]statistical criteria'!$B$3,2),1,IF(O490&lt;=-1*LOG('[1]statistical criteria'!$B$3,2),2,"-")),"-")</f>
        <v>1</v>
      </c>
      <c r="R490" t="s">
        <v>1940</v>
      </c>
      <c r="S490" t="s">
        <v>1941</v>
      </c>
      <c r="T490" s="9">
        <v>9.9999999999999995E-45</v>
      </c>
      <c r="U490" t="s">
        <v>61</v>
      </c>
    </row>
    <row r="491" spans="1:21" x14ac:dyDescent="0.35">
      <c r="A491" t="s">
        <v>1942</v>
      </c>
      <c r="B491" t="s">
        <v>1943</v>
      </c>
      <c r="C491">
        <v>2517</v>
      </c>
      <c r="D491" s="4">
        <v>0</v>
      </c>
      <c r="E491" s="5">
        <v>1.725484</v>
      </c>
      <c r="F491" s="4">
        <v>0</v>
      </c>
      <c r="G491" s="4">
        <v>0</v>
      </c>
      <c r="H491" s="6">
        <v>8.2114689999999992</v>
      </c>
      <c r="I491" s="6">
        <v>4.6154140000000003</v>
      </c>
      <c r="J491" s="6">
        <v>4.4813369999999999</v>
      </c>
      <c r="K491" s="7">
        <f t="shared" si="14"/>
        <v>0.431371</v>
      </c>
      <c r="L491" s="8">
        <f t="shared" si="15"/>
        <v>5.7694066666666659</v>
      </c>
      <c r="M491" s="9">
        <v>2.74799780167349E-6</v>
      </c>
      <c r="N491" s="9">
        <v>2.8374605624441899E-5</v>
      </c>
      <c r="O491" s="2">
        <v>4.3555167357787896</v>
      </c>
      <c r="P491" t="s">
        <v>1942</v>
      </c>
      <c r="Q491" s="10">
        <f>IF(N491&lt;='[1]statistical criteria'!$B$2,IF(O491&gt;=LOG('[1]statistical criteria'!$B$3,2),1,IF(O491&lt;=-1*LOG('[1]statistical criteria'!$B$3,2),2,"-")),"-")</f>
        <v>1</v>
      </c>
      <c r="S491" t="s">
        <v>1944</v>
      </c>
      <c r="T491" s="9">
        <v>2.0000000000000001E-135</v>
      </c>
      <c r="U491" t="s">
        <v>1945</v>
      </c>
    </row>
    <row r="492" spans="1:21" x14ac:dyDescent="0.35">
      <c r="A492" t="s">
        <v>1946</v>
      </c>
      <c r="B492" t="s">
        <v>1947</v>
      </c>
      <c r="C492">
        <v>897</v>
      </c>
      <c r="D492" s="5">
        <v>4.85595</v>
      </c>
      <c r="E492" s="4">
        <v>0</v>
      </c>
      <c r="F492" s="4">
        <v>0</v>
      </c>
      <c r="G492" s="5">
        <v>2.609432</v>
      </c>
      <c r="H492" s="6">
        <v>34.085289000000003</v>
      </c>
      <c r="I492" s="6">
        <v>113.52829</v>
      </c>
      <c r="J492" s="6">
        <v>21.331491</v>
      </c>
      <c r="K492" s="7">
        <f t="shared" si="14"/>
        <v>1.8663455</v>
      </c>
      <c r="L492" s="8">
        <f t="shared" si="15"/>
        <v>56.315023333333336</v>
      </c>
      <c r="M492" s="9">
        <v>2.4092573288047499E-5</v>
      </c>
      <c r="N492">
        <v>1.9698460565909499E-4</v>
      </c>
      <c r="O492" s="2">
        <v>4.3543045425838001</v>
      </c>
      <c r="P492" t="s">
        <v>1946</v>
      </c>
      <c r="Q492" s="10">
        <f>IF(N492&lt;='[1]statistical criteria'!$B$2,IF(O492&gt;=LOG('[1]statistical criteria'!$B$3,2),1,IF(O492&lt;=-1*LOG('[1]statistical criteria'!$B$3,2),2,"-")),"-")</f>
        <v>1</v>
      </c>
      <c r="R492" t="s">
        <v>1948</v>
      </c>
    </row>
    <row r="493" spans="1:21" x14ac:dyDescent="0.35">
      <c r="A493" t="s">
        <v>1949</v>
      </c>
      <c r="B493" t="s">
        <v>1950</v>
      </c>
      <c r="C493">
        <v>1656</v>
      </c>
      <c r="D493" s="5">
        <v>1.0834410000000001</v>
      </c>
      <c r="E493" s="5">
        <v>1.6665080000000001</v>
      </c>
      <c r="F493" s="5">
        <v>3.845837</v>
      </c>
      <c r="G493" s="4">
        <v>0</v>
      </c>
      <c r="H493" s="6">
        <v>37.013215000000002</v>
      </c>
      <c r="I493" s="6">
        <v>69.328568000000004</v>
      </c>
      <c r="J493" s="6">
        <v>64.240897000000004</v>
      </c>
      <c r="K493" s="7">
        <f t="shared" si="14"/>
        <v>1.6489465000000001</v>
      </c>
      <c r="L493" s="8">
        <f t="shared" si="15"/>
        <v>56.860893333333337</v>
      </c>
      <c r="M493" s="9">
        <v>6.5826520761362503E-8</v>
      </c>
      <c r="N493" s="9">
        <v>9.9212382753700103E-7</v>
      </c>
      <c r="O493" s="2">
        <v>4.3527116229399399</v>
      </c>
      <c r="P493" t="s">
        <v>1949</v>
      </c>
      <c r="Q493" s="10">
        <f>IF(N493&lt;='[1]statistical criteria'!$B$2,IF(O493&gt;=LOG('[1]statistical criteria'!$B$3,2),1,IF(O493&lt;=-1*LOG('[1]statistical criteria'!$B$3,2),2,"-")),"-")</f>
        <v>1</v>
      </c>
      <c r="R493" t="s">
        <v>1951</v>
      </c>
    </row>
    <row r="494" spans="1:21" x14ac:dyDescent="0.35">
      <c r="A494" t="s">
        <v>1952</v>
      </c>
      <c r="B494" t="s">
        <v>1953</v>
      </c>
      <c r="C494">
        <v>831</v>
      </c>
      <c r="D494" s="5">
        <v>16.315231000000001</v>
      </c>
      <c r="E494" s="5">
        <v>16.202804</v>
      </c>
      <c r="F494" s="4">
        <v>0</v>
      </c>
      <c r="G494" s="4">
        <v>0</v>
      </c>
      <c r="H494" s="6">
        <v>95.290564000000003</v>
      </c>
      <c r="I494" s="6">
        <v>91.363304999999997</v>
      </c>
      <c r="J494" s="6">
        <v>77.021476000000007</v>
      </c>
      <c r="K494" s="7">
        <f t="shared" si="14"/>
        <v>8.1295087499999994</v>
      </c>
      <c r="L494" s="8">
        <f t="shared" si="15"/>
        <v>87.89178166666666</v>
      </c>
      <c r="M494">
        <v>3.9989580912054502E-4</v>
      </c>
      <c r="N494">
        <v>2.2616080689608201E-3</v>
      </c>
      <c r="O494" s="2">
        <v>4.3456700398147001</v>
      </c>
      <c r="P494" t="s">
        <v>1952</v>
      </c>
      <c r="Q494" s="10">
        <f>IF(N494&lt;='[1]statistical criteria'!$B$2,IF(O494&gt;=LOG('[1]statistical criteria'!$B$3,2),1,IF(O494&lt;=-1*LOG('[1]statistical criteria'!$B$3,2),2,"-")),"-")</f>
        <v>1</v>
      </c>
      <c r="R494" t="s">
        <v>830</v>
      </c>
      <c r="S494" t="s">
        <v>831</v>
      </c>
      <c r="T494" s="9">
        <v>1.0000000000000001E-111</v>
      </c>
      <c r="U494" t="s">
        <v>832</v>
      </c>
    </row>
    <row r="495" spans="1:21" x14ac:dyDescent="0.35">
      <c r="A495" t="s">
        <v>1954</v>
      </c>
      <c r="B495" t="s">
        <v>1955</v>
      </c>
      <c r="C495">
        <v>569</v>
      </c>
      <c r="D495" s="5">
        <v>1.6828369999999999</v>
      </c>
      <c r="E495" s="4">
        <v>0</v>
      </c>
      <c r="F495" s="4">
        <v>0</v>
      </c>
      <c r="G495" s="4">
        <v>0</v>
      </c>
      <c r="H495" s="6">
        <v>34.798774999999999</v>
      </c>
      <c r="I495" s="6">
        <v>18.493185</v>
      </c>
      <c r="J495" s="6">
        <v>15.366318</v>
      </c>
      <c r="K495" s="7">
        <f t="shared" si="14"/>
        <v>0.42070924999999998</v>
      </c>
      <c r="L495" s="8">
        <f t="shared" si="15"/>
        <v>22.886092666666666</v>
      </c>
      <c r="M495" s="9">
        <v>4.2452387483805699E-9</v>
      </c>
      <c r="N495" s="9">
        <v>8.15205785889831E-8</v>
      </c>
      <c r="O495" s="2">
        <v>4.3447767314000796</v>
      </c>
      <c r="P495" t="s">
        <v>1954</v>
      </c>
      <c r="Q495" s="10">
        <f>IF(N495&lt;='[1]statistical criteria'!$B$2,IF(O495&gt;=LOG('[1]statistical criteria'!$B$3,2),1,IF(O495&lt;=-1*LOG('[1]statistical criteria'!$B$3,2),2,"-")),"-")</f>
        <v>1</v>
      </c>
      <c r="R495" t="s">
        <v>1768</v>
      </c>
      <c r="S495" t="s">
        <v>1769</v>
      </c>
      <c r="T495" s="9">
        <v>1.9999999999999999E-105</v>
      </c>
      <c r="U495" t="s">
        <v>1770</v>
      </c>
    </row>
    <row r="496" spans="1:21" x14ac:dyDescent="0.35">
      <c r="A496" t="s">
        <v>1956</v>
      </c>
      <c r="B496" t="s">
        <v>1957</v>
      </c>
      <c r="C496">
        <v>719</v>
      </c>
      <c r="D496" s="4">
        <v>0</v>
      </c>
      <c r="E496" s="4">
        <v>0</v>
      </c>
      <c r="F496" s="4">
        <v>0</v>
      </c>
      <c r="G496" s="5">
        <v>0.31702000000000002</v>
      </c>
      <c r="H496" s="6">
        <v>3.2033710000000002</v>
      </c>
      <c r="I496" s="6">
        <v>8.3744250000000005</v>
      </c>
      <c r="J496" s="6">
        <v>3.1277240000000002</v>
      </c>
      <c r="K496" s="7">
        <f t="shared" si="14"/>
        <v>7.9255000000000006E-2</v>
      </c>
      <c r="L496" s="8">
        <f t="shared" si="15"/>
        <v>4.9018400000000009</v>
      </c>
      <c r="M496" s="9">
        <v>6.2278509122486799E-7</v>
      </c>
      <c r="N496" s="9">
        <v>7.5319695214597601E-6</v>
      </c>
      <c r="O496" s="2">
        <v>4.34469172796077</v>
      </c>
      <c r="P496" t="s">
        <v>1956</v>
      </c>
      <c r="Q496" s="10">
        <f>IF(N496&lt;='[1]statistical criteria'!$B$2,IF(O496&gt;=LOG('[1]statistical criteria'!$B$3,2),1,IF(O496&lt;=-1*LOG('[1]statistical criteria'!$B$3,2),2,"-")),"-")</f>
        <v>1</v>
      </c>
      <c r="S496" t="s">
        <v>133</v>
      </c>
      <c r="T496" t="s">
        <v>133</v>
      </c>
      <c r="U496" t="s">
        <v>134</v>
      </c>
    </row>
    <row r="497" spans="1:21" x14ac:dyDescent="0.35">
      <c r="A497" t="s">
        <v>1958</v>
      </c>
      <c r="B497" t="s">
        <v>1959</v>
      </c>
      <c r="C497">
        <v>265</v>
      </c>
      <c r="D497" s="4">
        <v>0</v>
      </c>
      <c r="E497" s="4">
        <v>0</v>
      </c>
      <c r="F497" s="4">
        <v>0</v>
      </c>
      <c r="G497" s="4">
        <v>0</v>
      </c>
      <c r="H497" s="6">
        <v>29.3567</v>
      </c>
      <c r="I497" s="6">
        <v>52.666041</v>
      </c>
      <c r="J497" s="6">
        <v>23.548278</v>
      </c>
      <c r="K497" s="7">
        <f t="shared" si="14"/>
        <v>0</v>
      </c>
      <c r="L497" s="8">
        <f t="shared" si="15"/>
        <v>35.190339666666667</v>
      </c>
      <c r="M497" s="9">
        <v>2.8517096582258998E-8</v>
      </c>
      <c r="N497" s="9">
        <v>4.65620204170218E-7</v>
      </c>
      <c r="O497" s="2">
        <v>4.3422731055211203</v>
      </c>
      <c r="P497" t="s">
        <v>1958</v>
      </c>
      <c r="Q497" s="10">
        <f>IF(N497&lt;='[1]statistical criteria'!$B$2,IF(O497&gt;=LOG('[1]statistical criteria'!$B$3,2),1,IF(O497&lt;=-1*LOG('[1]statistical criteria'!$B$3,2),2,"-")),"-")</f>
        <v>1</v>
      </c>
    </row>
    <row r="498" spans="1:21" x14ac:dyDescent="0.35">
      <c r="A498" t="s">
        <v>1960</v>
      </c>
      <c r="B498" t="s">
        <v>1961</v>
      </c>
      <c r="C498">
        <v>1254</v>
      </c>
      <c r="D498" s="5">
        <v>0.89960700000000005</v>
      </c>
      <c r="E498" s="5">
        <v>0.53718200000000005</v>
      </c>
      <c r="F498" s="5">
        <v>0.23269400000000001</v>
      </c>
      <c r="G498" s="5">
        <v>1.0300149999999999</v>
      </c>
      <c r="H498" s="6">
        <v>39.693589000000003</v>
      </c>
      <c r="I498" s="6">
        <v>52.852558999999999</v>
      </c>
      <c r="J498" s="6">
        <v>42.104987999999999</v>
      </c>
      <c r="K498" s="7">
        <f t="shared" si="14"/>
        <v>0.67487450000000004</v>
      </c>
      <c r="L498" s="8">
        <f t="shared" si="15"/>
        <v>44.883712000000003</v>
      </c>
      <c r="M498" s="9">
        <v>3.38693228701177E-9</v>
      </c>
      <c r="N498" s="9">
        <v>6.6480991667698899E-8</v>
      </c>
      <c r="O498" s="2">
        <v>4.3404534966925299</v>
      </c>
      <c r="P498" t="s">
        <v>1960</v>
      </c>
      <c r="Q498" s="10">
        <f>IF(N498&lt;='[1]statistical criteria'!$B$2,IF(O498&gt;=LOG('[1]statistical criteria'!$B$3,2),1,IF(O498&lt;=-1*LOG('[1]statistical criteria'!$B$3,2),2,"-")),"-")</f>
        <v>1</v>
      </c>
      <c r="R498" t="s">
        <v>1962</v>
      </c>
      <c r="S498" t="s">
        <v>1963</v>
      </c>
      <c r="T498">
        <v>0</v>
      </c>
      <c r="U498" t="s">
        <v>61</v>
      </c>
    </row>
    <row r="499" spans="1:21" x14ac:dyDescent="0.35">
      <c r="A499" t="s">
        <v>1964</v>
      </c>
      <c r="B499" t="s">
        <v>1965</v>
      </c>
      <c r="C499">
        <v>609</v>
      </c>
      <c r="D499" s="4">
        <v>0</v>
      </c>
      <c r="E499" s="4">
        <v>0</v>
      </c>
      <c r="F499" s="5">
        <v>3.7694939999999999</v>
      </c>
      <c r="G499" s="4">
        <v>0</v>
      </c>
      <c r="H499" s="6">
        <v>27.826592999999999</v>
      </c>
      <c r="I499" s="6">
        <v>35.475540000000002</v>
      </c>
      <c r="J499" s="6">
        <v>8.9626560000000008</v>
      </c>
      <c r="K499" s="7">
        <f t="shared" si="14"/>
        <v>0.94237349999999998</v>
      </c>
      <c r="L499" s="8">
        <f t="shared" si="15"/>
        <v>24.088262999999998</v>
      </c>
      <c r="M499" s="9">
        <v>4.4091571083147201E-6</v>
      </c>
      <c r="N499" s="9">
        <v>4.3519844279683201E-5</v>
      </c>
      <c r="O499" s="2">
        <v>4.3395704838168596</v>
      </c>
      <c r="P499" t="s">
        <v>1964</v>
      </c>
      <c r="Q499" s="10">
        <f>IF(N499&lt;='[1]statistical criteria'!$B$2,IF(O499&gt;=LOG('[1]statistical criteria'!$B$3,2),1,IF(O499&lt;=-1*LOG('[1]statistical criteria'!$B$3,2),2,"-")),"-")</f>
        <v>1</v>
      </c>
      <c r="R499" t="s">
        <v>1966</v>
      </c>
    </row>
    <row r="500" spans="1:21" x14ac:dyDescent="0.35">
      <c r="A500" t="s">
        <v>1967</v>
      </c>
      <c r="B500" t="s">
        <v>1968</v>
      </c>
      <c r="C500">
        <v>2493</v>
      </c>
      <c r="D500" s="4">
        <v>0</v>
      </c>
      <c r="E500" s="4">
        <v>0</v>
      </c>
      <c r="F500" s="4">
        <v>0</v>
      </c>
      <c r="G500" s="4">
        <v>0</v>
      </c>
      <c r="H500" s="6">
        <v>2.8723200000000002</v>
      </c>
      <c r="I500" s="6">
        <v>1.6983299999999999</v>
      </c>
      <c r="J500" s="6">
        <v>1.000467</v>
      </c>
      <c r="K500" s="7">
        <f t="shared" si="14"/>
        <v>0</v>
      </c>
      <c r="L500" s="8">
        <f t="shared" si="15"/>
        <v>1.8570390000000003</v>
      </c>
      <c r="M500" s="9">
        <v>6.8815721190264199E-8</v>
      </c>
      <c r="N500" s="9">
        <v>1.03359366554911E-6</v>
      </c>
      <c r="O500" s="2">
        <v>4.3342198209314304</v>
      </c>
      <c r="P500" t="s">
        <v>1967</v>
      </c>
      <c r="Q500" s="10">
        <f>IF(N500&lt;='[1]statistical criteria'!$B$2,IF(O500&gt;=LOG('[1]statistical criteria'!$B$3,2),1,IF(O500&lt;=-1*LOG('[1]statistical criteria'!$B$3,2),2,"-")),"-")</f>
        <v>1</v>
      </c>
      <c r="R500" t="s">
        <v>1112</v>
      </c>
      <c r="S500" t="s">
        <v>1969</v>
      </c>
      <c r="T500">
        <v>0</v>
      </c>
      <c r="U500" t="s">
        <v>1114</v>
      </c>
    </row>
    <row r="501" spans="1:21" x14ac:dyDescent="0.35">
      <c r="A501" t="s">
        <v>1970</v>
      </c>
      <c r="B501" t="s">
        <v>1971</v>
      </c>
      <c r="C501">
        <v>444</v>
      </c>
      <c r="D501" s="5">
        <v>0.58482100000000004</v>
      </c>
      <c r="E501" s="4">
        <v>0</v>
      </c>
      <c r="F501" s="5">
        <v>0.40115699999999999</v>
      </c>
      <c r="G501" s="4">
        <v>0</v>
      </c>
      <c r="H501" s="6">
        <v>24.267897999999999</v>
      </c>
      <c r="I501" s="6">
        <v>23.004527</v>
      </c>
      <c r="J501" s="6">
        <v>64.131838000000002</v>
      </c>
      <c r="K501" s="7">
        <f t="shared" si="14"/>
        <v>0.24649450000000001</v>
      </c>
      <c r="L501" s="8">
        <f t="shared" si="15"/>
        <v>37.134754333333333</v>
      </c>
      <c r="M501" s="9">
        <v>9.7423600384748308E-6</v>
      </c>
      <c r="N501" s="9">
        <v>8.82843388248457E-5</v>
      </c>
      <c r="O501" s="2">
        <v>4.3319467937966101</v>
      </c>
      <c r="P501" t="s">
        <v>1970</v>
      </c>
      <c r="Q501" s="10">
        <f>IF(N501&lt;='[1]statistical criteria'!$B$2,IF(O501&gt;=LOG('[1]statistical criteria'!$B$3,2),1,IF(O501&lt;=-1*LOG('[1]statistical criteria'!$B$3,2),2,"-")),"-")</f>
        <v>1</v>
      </c>
      <c r="R501" t="s">
        <v>1972</v>
      </c>
      <c r="S501" t="s">
        <v>1973</v>
      </c>
      <c r="T501" s="9">
        <v>3.0000000000000002E-40</v>
      </c>
      <c r="U501" t="s">
        <v>1974</v>
      </c>
    </row>
    <row r="502" spans="1:21" x14ac:dyDescent="0.35">
      <c r="A502" t="s">
        <v>1975</v>
      </c>
      <c r="B502" t="s">
        <v>1826</v>
      </c>
      <c r="C502">
        <v>1482</v>
      </c>
      <c r="D502" s="4">
        <v>0</v>
      </c>
      <c r="E502" s="4">
        <v>0</v>
      </c>
      <c r="F502" s="4">
        <v>0</v>
      </c>
      <c r="G502" s="5">
        <v>0.94664199999999998</v>
      </c>
      <c r="H502" s="6">
        <v>4.4154489999999997</v>
      </c>
      <c r="I502" s="6">
        <v>6.0788289999999998</v>
      </c>
      <c r="J502" s="6">
        <v>8.0188780000000008</v>
      </c>
      <c r="K502" s="7">
        <f t="shared" si="14"/>
        <v>0.2366605</v>
      </c>
      <c r="L502" s="8">
        <f t="shared" si="15"/>
        <v>6.1710520000000004</v>
      </c>
      <c r="M502" s="9">
        <v>1.2826585904381501E-7</v>
      </c>
      <c r="N502" s="9">
        <v>1.7921433903111599E-6</v>
      </c>
      <c r="O502" s="2">
        <v>4.3290267446869999</v>
      </c>
      <c r="P502" t="s">
        <v>1975</v>
      </c>
      <c r="Q502" s="10">
        <f>IF(N502&lt;='[1]statistical criteria'!$B$2,IF(O502&gt;=LOG('[1]statistical criteria'!$B$3,2),1,IF(O502&lt;=-1*LOG('[1]statistical criteria'!$B$3,2),2,"-")),"-")</f>
        <v>1</v>
      </c>
      <c r="R502" t="s">
        <v>1827</v>
      </c>
      <c r="S502" t="s">
        <v>1828</v>
      </c>
      <c r="T502">
        <v>0</v>
      </c>
      <c r="U502" t="s">
        <v>1829</v>
      </c>
    </row>
    <row r="503" spans="1:21" x14ac:dyDescent="0.35">
      <c r="A503" t="s">
        <v>1976</v>
      </c>
      <c r="B503" t="s">
        <v>1977</v>
      </c>
      <c r="C503">
        <v>2946</v>
      </c>
      <c r="D503" s="4">
        <v>0</v>
      </c>
      <c r="E503" s="4">
        <v>0</v>
      </c>
      <c r="F503" s="4">
        <v>0</v>
      </c>
      <c r="G503" s="5">
        <v>7.6346999999999998E-2</v>
      </c>
      <c r="H503" s="6">
        <v>5.6654090000000004</v>
      </c>
      <c r="I503" s="6">
        <v>2.772087</v>
      </c>
      <c r="J503" s="6">
        <v>0.73399999999999999</v>
      </c>
      <c r="K503" s="7">
        <f t="shared" si="14"/>
        <v>1.908675E-2</v>
      </c>
      <c r="L503" s="8">
        <f t="shared" si="15"/>
        <v>3.0571653333333333</v>
      </c>
      <c r="M503" s="9">
        <v>1.3374487535253599E-6</v>
      </c>
      <c r="N503" s="9">
        <v>1.49266853618821E-5</v>
      </c>
      <c r="O503" s="2">
        <v>4.3271801043165601</v>
      </c>
      <c r="P503" t="s">
        <v>1976</v>
      </c>
      <c r="Q503" s="10">
        <f>IF(N503&lt;='[1]statistical criteria'!$B$2,IF(O503&gt;=LOG('[1]statistical criteria'!$B$3,2),1,IF(O503&lt;=-1*LOG('[1]statistical criteria'!$B$3,2),2,"-")),"-")</f>
        <v>1</v>
      </c>
      <c r="S503" t="s">
        <v>1978</v>
      </c>
      <c r="T503" s="9">
        <v>4.0000000000000001E-179</v>
      </c>
      <c r="U503" t="s">
        <v>1979</v>
      </c>
    </row>
    <row r="504" spans="1:21" x14ac:dyDescent="0.35">
      <c r="A504" t="s">
        <v>1980</v>
      </c>
      <c r="B504" t="s">
        <v>1981</v>
      </c>
      <c r="C504">
        <v>741</v>
      </c>
      <c r="D504" s="4">
        <v>0</v>
      </c>
      <c r="E504" s="4">
        <v>0</v>
      </c>
      <c r="F504" s="4">
        <v>0</v>
      </c>
      <c r="G504" s="4">
        <v>0</v>
      </c>
      <c r="H504" s="6">
        <v>3.265333</v>
      </c>
      <c r="I504" s="6">
        <v>2.142369</v>
      </c>
      <c r="J504" s="6">
        <v>5.7204600000000001</v>
      </c>
      <c r="K504" s="7">
        <f t="shared" si="14"/>
        <v>0</v>
      </c>
      <c r="L504" s="8">
        <f t="shared" si="15"/>
        <v>3.7093873333333334</v>
      </c>
      <c r="M504" s="9">
        <v>9.610675077493939E-10</v>
      </c>
      <c r="N504" s="9">
        <v>2.07124741477587E-8</v>
      </c>
      <c r="O504" s="2">
        <v>4.3253668752946099</v>
      </c>
      <c r="P504" t="s">
        <v>1980</v>
      </c>
      <c r="Q504" s="10">
        <f>IF(N504&lt;='[1]statistical criteria'!$B$2,IF(O504&gt;=LOG('[1]statistical criteria'!$B$3,2),1,IF(O504&lt;=-1*LOG('[1]statistical criteria'!$B$3,2),2,"-")),"-")</f>
        <v>1</v>
      </c>
      <c r="S504" t="s">
        <v>1982</v>
      </c>
      <c r="T504" s="9">
        <v>4E-41</v>
      </c>
      <c r="U504" t="s">
        <v>1983</v>
      </c>
    </row>
    <row r="505" spans="1:21" x14ac:dyDescent="0.35">
      <c r="A505" t="s">
        <v>1984</v>
      </c>
      <c r="B505" t="s">
        <v>1985</v>
      </c>
      <c r="C505">
        <v>903</v>
      </c>
      <c r="D505" s="4">
        <v>0</v>
      </c>
      <c r="E505" s="4">
        <v>0</v>
      </c>
      <c r="F505" s="4">
        <v>0</v>
      </c>
      <c r="G505" s="4">
        <v>0</v>
      </c>
      <c r="H505" s="6">
        <v>1.6387149999999999</v>
      </c>
      <c r="I505" s="6">
        <v>5.8974070000000003</v>
      </c>
      <c r="J505" s="6">
        <v>6.967454</v>
      </c>
      <c r="K505" s="7">
        <f t="shared" si="14"/>
        <v>0</v>
      </c>
      <c r="L505" s="8">
        <f t="shared" si="15"/>
        <v>4.8345253333333336</v>
      </c>
      <c r="M505" s="9">
        <v>1.55733452681886E-6</v>
      </c>
      <c r="N505" s="9">
        <v>1.70616442402781E-5</v>
      </c>
      <c r="O505" s="2">
        <v>4.3237254803347902</v>
      </c>
      <c r="P505" t="s">
        <v>1984</v>
      </c>
      <c r="Q505" s="10">
        <f>IF(N505&lt;='[1]statistical criteria'!$B$2,IF(O505&gt;=LOG('[1]statistical criteria'!$B$3,2),1,IF(O505&lt;=-1*LOG('[1]statistical criteria'!$B$3,2),2,"-")),"-")</f>
        <v>1</v>
      </c>
      <c r="R505" t="s">
        <v>1986</v>
      </c>
    </row>
    <row r="506" spans="1:21" x14ac:dyDescent="0.35">
      <c r="A506" t="s">
        <v>1987</v>
      </c>
      <c r="B506" t="s">
        <v>1988</v>
      </c>
      <c r="C506">
        <v>1024</v>
      </c>
      <c r="D506" s="5">
        <v>5.3186629999999999</v>
      </c>
      <c r="E506" s="5">
        <v>2.660793</v>
      </c>
      <c r="F506" s="5">
        <v>0.23405899999999999</v>
      </c>
      <c r="G506" s="5">
        <v>0.39524300000000001</v>
      </c>
      <c r="H506" s="6">
        <v>177.70343800000001</v>
      </c>
      <c r="I506" s="6">
        <v>145.99491499999999</v>
      </c>
      <c r="J506" s="6">
        <v>147.98451800000001</v>
      </c>
      <c r="K506" s="7">
        <f t="shared" si="14"/>
        <v>2.1521895</v>
      </c>
      <c r="L506" s="8">
        <f t="shared" si="15"/>
        <v>157.22762366666666</v>
      </c>
      <c r="M506" s="9">
        <v>2.1050879712365599E-11</v>
      </c>
      <c r="N506" s="9">
        <v>5.9041745162316496E-10</v>
      </c>
      <c r="O506" s="2">
        <v>4.3217279841676</v>
      </c>
      <c r="P506" t="s">
        <v>1987</v>
      </c>
      <c r="Q506" s="10">
        <f>IF(N506&lt;='[1]statistical criteria'!$B$2,IF(O506&gt;=LOG('[1]statistical criteria'!$B$3,2),1,IF(O506&lt;=-1*LOG('[1]statistical criteria'!$B$3,2),2,"-")),"-")</f>
        <v>1</v>
      </c>
      <c r="R506" t="s">
        <v>1989</v>
      </c>
      <c r="S506" t="s">
        <v>1990</v>
      </c>
      <c r="T506" s="9">
        <v>9.9999999999999993E-35</v>
      </c>
      <c r="U506" t="s">
        <v>61</v>
      </c>
    </row>
    <row r="507" spans="1:21" x14ac:dyDescent="0.35">
      <c r="A507" t="s">
        <v>1991</v>
      </c>
      <c r="B507" t="s">
        <v>1992</v>
      </c>
      <c r="C507">
        <v>1116</v>
      </c>
      <c r="D507" s="5">
        <v>1.096381</v>
      </c>
      <c r="E507" s="4">
        <v>0</v>
      </c>
      <c r="F507" s="5">
        <v>2.3428339999999999</v>
      </c>
      <c r="G507" s="4">
        <v>0</v>
      </c>
      <c r="H507" s="6">
        <v>27.819451000000001</v>
      </c>
      <c r="I507" s="6">
        <v>9.4367649999999994</v>
      </c>
      <c r="J507" s="6">
        <v>39.281891000000002</v>
      </c>
      <c r="K507" s="7">
        <f t="shared" si="14"/>
        <v>0.85980374999999998</v>
      </c>
      <c r="L507" s="8">
        <f t="shared" si="15"/>
        <v>25.512702333333333</v>
      </c>
      <c r="M507" s="9">
        <v>5.9359698073604801E-8</v>
      </c>
      <c r="N507" s="9">
        <v>9.0659314152543998E-7</v>
      </c>
      <c r="O507" s="2">
        <v>4.3174607952839903</v>
      </c>
      <c r="P507" t="s">
        <v>1991</v>
      </c>
      <c r="Q507" s="10">
        <f>IF(N507&lt;='[1]statistical criteria'!$B$2,IF(O507&gt;=LOG('[1]statistical criteria'!$B$3,2),1,IF(O507&lt;=-1*LOG('[1]statistical criteria'!$B$3,2),2,"-")),"-")</f>
        <v>1</v>
      </c>
      <c r="R507" t="s">
        <v>1993</v>
      </c>
      <c r="S507" t="s">
        <v>1994</v>
      </c>
      <c r="T507" s="9">
        <v>9.9999999999999999E-93</v>
      </c>
      <c r="U507" t="s">
        <v>1995</v>
      </c>
    </row>
    <row r="508" spans="1:21" x14ac:dyDescent="0.35">
      <c r="A508" t="s">
        <v>1996</v>
      </c>
      <c r="B508" t="s">
        <v>1997</v>
      </c>
      <c r="C508">
        <v>680</v>
      </c>
      <c r="D508" s="5">
        <v>2.7982480000000001</v>
      </c>
      <c r="E508" s="5">
        <v>3.6896179999999998</v>
      </c>
      <c r="F508" s="4">
        <v>0</v>
      </c>
      <c r="G508" s="5">
        <v>1.106204</v>
      </c>
      <c r="H508" s="6">
        <v>110.063136</v>
      </c>
      <c r="I508" s="6">
        <v>274.88659000000001</v>
      </c>
      <c r="J508" s="6">
        <v>79.750720000000001</v>
      </c>
      <c r="K508" s="7">
        <f t="shared" si="14"/>
        <v>1.8985175000000001</v>
      </c>
      <c r="L508" s="8">
        <f t="shared" si="15"/>
        <v>154.90014866666667</v>
      </c>
      <c r="M508" s="9">
        <v>6.1550569199451997E-6</v>
      </c>
      <c r="N508" s="9">
        <v>5.8800568868753603E-5</v>
      </c>
      <c r="O508" s="2">
        <v>4.3162378124390202</v>
      </c>
      <c r="P508" t="s">
        <v>1996</v>
      </c>
      <c r="Q508" s="10">
        <f>IF(N508&lt;='[1]statistical criteria'!$B$2,IF(O508&gt;=LOG('[1]statistical criteria'!$B$3,2),1,IF(O508&lt;=-1*LOG('[1]statistical criteria'!$B$3,2),2,"-")),"-")</f>
        <v>1</v>
      </c>
      <c r="R508" t="s">
        <v>227</v>
      </c>
      <c r="S508" t="s">
        <v>228</v>
      </c>
      <c r="T508" s="9">
        <v>4.9999999999999999E-20</v>
      </c>
      <c r="U508" t="s">
        <v>229</v>
      </c>
    </row>
    <row r="509" spans="1:21" x14ac:dyDescent="0.35">
      <c r="A509" t="s">
        <v>1998</v>
      </c>
      <c r="B509" t="s">
        <v>1999</v>
      </c>
      <c r="C509">
        <v>1044</v>
      </c>
      <c r="D509" s="4">
        <v>0</v>
      </c>
      <c r="E509" s="4">
        <v>0</v>
      </c>
      <c r="F509" s="4">
        <v>0</v>
      </c>
      <c r="G509" s="4">
        <v>0</v>
      </c>
      <c r="H509" s="6">
        <v>3.7437969999999998</v>
      </c>
      <c r="I509" s="6">
        <v>3.9863369999999998</v>
      </c>
      <c r="J509" s="6">
        <v>2.7931750000000002</v>
      </c>
      <c r="K509" s="7">
        <f t="shared" si="14"/>
        <v>0</v>
      </c>
      <c r="L509" s="8">
        <f t="shared" si="15"/>
        <v>3.5077696666666665</v>
      </c>
      <c r="M509" s="9">
        <v>4.3147010849657301E-10</v>
      </c>
      <c r="N509" s="9">
        <v>9.8136038996608995E-9</v>
      </c>
      <c r="O509" s="2">
        <v>4.3162338368900004</v>
      </c>
      <c r="P509" t="s">
        <v>1998</v>
      </c>
      <c r="Q509" s="10">
        <f>IF(N509&lt;='[1]statistical criteria'!$B$2,IF(O509&gt;=LOG('[1]statistical criteria'!$B$3,2),1,IF(O509&lt;=-1*LOG('[1]statistical criteria'!$B$3,2),2,"-")),"-")</f>
        <v>1</v>
      </c>
      <c r="R509" t="s">
        <v>2000</v>
      </c>
    </row>
    <row r="510" spans="1:21" x14ac:dyDescent="0.35">
      <c r="A510" t="s">
        <v>2001</v>
      </c>
      <c r="B510" t="s">
        <v>2002</v>
      </c>
      <c r="C510">
        <v>828</v>
      </c>
      <c r="D510" s="4">
        <v>0</v>
      </c>
      <c r="E510" s="4">
        <v>0</v>
      </c>
      <c r="F510" s="5">
        <v>4.7928499999999996</v>
      </c>
      <c r="G510" s="4">
        <v>0</v>
      </c>
      <c r="H510" s="6">
        <v>20.412852000000001</v>
      </c>
      <c r="I510" s="6">
        <v>5.6026109999999996</v>
      </c>
      <c r="J510" s="6">
        <v>19.118836000000002</v>
      </c>
      <c r="K510" s="7">
        <f t="shared" si="14"/>
        <v>1.1982124999999999</v>
      </c>
      <c r="L510" s="8">
        <f t="shared" si="15"/>
        <v>15.044766333333333</v>
      </c>
      <c r="M510" s="9">
        <v>6.5228298527033299E-7</v>
      </c>
      <c r="N510" s="9">
        <v>7.8612699238090205E-6</v>
      </c>
      <c r="O510" s="2">
        <v>4.3142067163521904</v>
      </c>
      <c r="P510" t="s">
        <v>2001</v>
      </c>
      <c r="Q510" s="10">
        <f>IF(N510&lt;='[1]statistical criteria'!$B$2,IF(O510&gt;=LOG('[1]statistical criteria'!$B$3,2),1,IF(O510&lt;=-1*LOG('[1]statistical criteria'!$B$3,2),2,"-")),"-")</f>
        <v>1</v>
      </c>
      <c r="R510" t="s">
        <v>248</v>
      </c>
      <c r="S510" t="s">
        <v>249</v>
      </c>
      <c r="T510" s="9">
        <v>2.9999999999999999E-121</v>
      </c>
      <c r="U510" t="s">
        <v>250</v>
      </c>
    </row>
    <row r="511" spans="1:21" x14ac:dyDescent="0.35">
      <c r="A511" t="s">
        <v>2003</v>
      </c>
      <c r="B511" t="s">
        <v>2004</v>
      </c>
      <c r="C511">
        <v>1451</v>
      </c>
      <c r="D511" s="4">
        <v>0</v>
      </c>
      <c r="E511" s="4">
        <v>0</v>
      </c>
      <c r="F511" s="4">
        <v>0</v>
      </c>
      <c r="G511" s="4">
        <v>0</v>
      </c>
      <c r="H511" s="6">
        <v>3.8861669999999999</v>
      </c>
      <c r="I511" s="6">
        <v>4.0535730000000001</v>
      </c>
      <c r="J511" s="6">
        <v>1.114088</v>
      </c>
      <c r="K511" s="7">
        <f t="shared" si="14"/>
        <v>0</v>
      </c>
      <c r="L511" s="8">
        <f t="shared" si="15"/>
        <v>3.0179426666666669</v>
      </c>
      <c r="M511" s="9">
        <v>1.3789986356300101E-7</v>
      </c>
      <c r="N511" s="9">
        <v>1.9161989073413E-6</v>
      </c>
      <c r="O511" s="2">
        <v>4.3103500442135196</v>
      </c>
      <c r="P511" t="s">
        <v>2003</v>
      </c>
      <c r="Q511" s="10">
        <f>IF(N511&lt;='[1]statistical criteria'!$B$2,IF(O511&gt;=LOG('[1]statistical criteria'!$B$3,2),1,IF(O511&lt;=-1*LOG('[1]statistical criteria'!$B$3,2),2,"-")),"-")</f>
        <v>1</v>
      </c>
      <c r="R511" t="s">
        <v>2005</v>
      </c>
      <c r="S511" t="s">
        <v>2006</v>
      </c>
      <c r="T511">
        <v>0</v>
      </c>
      <c r="U511" t="s">
        <v>2007</v>
      </c>
    </row>
    <row r="512" spans="1:21" x14ac:dyDescent="0.35">
      <c r="A512" t="s">
        <v>212</v>
      </c>
      <c r="B512" t="s">
        <v>213</v>
      </c>
      <c r="C512">
        <v>318</v>
      </c>
      <c r="D512" s="4">
        <v>0</v>
      </c>
      <c r="E512" s="4">
        <v>0</v>
      </c>
      <c r="F512" s="4">
        <v>0</v>
      </c>
      <c r="G512" s="4">
        <v>0</v>
      </c>
      <c r="H512" s="6">
        <v>12.574265</v>
      </c>
      <c r="I512" s="6">
        <v>22.710623999999999</v>
      </c>
      <c r="J512" s="6">
        <v>28.612155999999999</v>
      </c>
      <c r="K512" s="7">
        <f t="shared" si="14"/>
        <v>0</v>
      </c>
      <c r="L512" s="8">
        <f t="shared" si="15"/>
        <v>21.299015000000001</v>
      </c>
      <c r="M512" s="9">
        <v>2.6868085784823301E-7</v>
      </c>
      <c r="N512" s="9">
        <v>3.5249891243377299E-6</v>
      </c>
      <c r="O512" s="2">
        <v>4.3083621084710302</v>
      </c>
      <c r="P512" t="s">
        <v>212</v>
      </c>
      <c r="Q512" s="10">
        <f>IF(N512&lt;='[1]statistical criteria'!$B$2,IF(O512&gt;=LOG('[1]statistical criteria'!$B$3,2),1,IF(O512&lt;=-1*LOG('[1]statistical criteria'!$B$3,2),2,"-")),"-")</f>
        <v>1</v>
      </c>
      <c r="R512" t="s">
        <v>214</v>
      </c>
    </row>
    <row r="513" spans="1:21" x14ac:dyDescent="0.35">
      <c r="A513" t="s">
        <v>2008</v>
      </c>
      <c r="B513" t="s">
        <v>2009</v>
      </c>
      <c r="C513">
        <v>1067</v>
      </c>
      <c r="D513" s="4">
        <v>0</v>
      </c>
      <c r="E513" s="4">
        <v>0</v>
      </c>
      <c r="F513" s="5">
        <v>0.84038199999999996</v>
      </c>
      <c r="G513" s="4">
        <v>0</v>
      </c>
      <c r="H513" s="6">
        <v>4.8293850000000003</v>
      </c>
      <c r="I513" s="6">
        <v>7.2664559999999998</v>
      </c>
      <c r="J513" s="6">
        <v>4.7119520000000001</v>
      </c>
      <c r="K513" s="7">
        <f t="shared" si="14"/>
        <v>0.21009549999999999</v>
      </c>
      <c r="L513" s="8">
        <f t="shared" si="15"/>
        <v>5.602597666666667</v>
      </c>
      <c r="M513" s="9">
        <v>1.14551910004427E-9</v>
      </c>
      <c r="N513" s="9">
        <v>2.4493515139148801E-8</v>
      </c>
      <c r="O513" s="2">
        <v>4.30681161461544</v>
      </c>
      <c r="P513" t="s">
        <v>2008</v>
      </c>
      <c r="Q513" s="10">
        <f>IF(N513&lt;='[1]statistical criteria'!$B$2,IF(O513&gt;=LOG('[1]statistical criteria'!$B$3,2),1,IF(O513&lt;=-1*LOG('[1]statistical criteria'!$B$3,2),2,"-")),"-")</f>
        <v>1</v>
      </c>
      <c r="R513" t="s">
        <v>773</v>
      </c>
      <c r="S513" t="s">
        <v>522</v>
      </c>
      <c r="T513" s="9">
        <v>6.9999999999999999E-28</v>
      </c>
      <c r="U513" t="s">
        <v>160</v>
      </c>
    </row>
    <row r="514" spans="1:21" x14ac:dyDescent="0.35">
      <c r="A514" t="s">
        <v>2010</v>
      </c>
      <c r="B514" t="s">
        <v>2011</v>
      </c>
      <c r="C514">
        <v>345</v>
      </c>
      <c r="D514" s="4">
        <v>0</v>
      </c>
      <c r="E514" s="4">
        <v>0</v>
      </c>
      <c r="F514" s="4">
        <v>0</v>
      </c>
      <c r="G514" s="4">
        <v>0</v>
      </c>
      <c r="H514" s="6">
        <v>12.861826000000001</v>
      </c>
      <c r="I514" s="6">
        <v>18.874369999999999</v>
      </c>
      <c r="J514" s="6">
        <v>19.040347000000001</v>
      </c>
      <c r="K514" s="7">
        <f t="shared" si="14"/>
        <v>0</v>
      </c>
      <c r="L514" s="8">
        <f t="shared" si="15"/>
        <v>16.925514333333336</v>
      </c>
      <c r="M514" s="9">
        <v>1.5794745016414799E-7</v>
      </c>
      <c r="N514" s="9">
        <v>2.16786150495762E-6</v>
      </c>
      <c r="O514" s="2">
        <v>4.3051751301475498</v>
      </c>
      <c r="P514" t="s">
        <v>2010</v>
      </c>
      <c r="Q514" s="10">
        <f>IF(N514&lt;='[1]statistical criteria'!$B$2,IF(O514&gt;=LOG('[1]statistical criteria'!$B$3,2),1,IF(O514&lt;=-1*LOG('[1]statistical criteria'!$B$3,2),2,"-")),"-")</f>
        <v>1</v>
      </c>
      <c r="R514" t="s">
        <v>2012</v>
      </c>
      <c r="S514" t="s">
        <v>2013</v>
      </c>
      <c r="T514" s="9">
        <v>8.0000000000000007E-31</v>
      </c>
      <c r="U514" t="s">
        <v>2014</v>
      </c>
    </row>
    <row r="515" spans="1:21" x14ac:dyDescent="0.35">
      <c r="A515" t="s">
        <v>2015</v>
      </c>
      <c r="B515" t="s">
        <v>2016</v>
      </c>
      <c r="C515">
        <v>444</v>
      </c>
      <c r="D515" s="4">
        <v>0</v>
      </c>
      <c r="E515" s="4">
        <v>0</v>
      </c>
      <c r="F515" s="5">
        <v>1.977017</v>
      </c>
      <c r="G515" s="5">
        <v>2.9694950000000002</v>
      </c>
      <c r="H515" s="6">
        <v>49.719596000000003</v>
      </c>
      <c r="I515" s="6">
        <v>63.262447999999999</v>
      </c>
      <c r="J515" s="6">
        <v>50.754542000000001</v>
      </c>
      <c r="K515" s="7">
        <f t="shared" ref="K515:K578" si="16">AVERAGE(D515:G515)</f>
        <v>1.2366280000000001</v>
      </c>
      <c r="L515" s="8">
        <f t="shared" ref="L515:L578" si="17">AVERAGE(H515:J515)</f>
        <v>54.578861999999994</v>
      </c>
      <c r="M515" s="9">
        <v>2.0904661562199001E-6</v>
      </c>
      <c r="N515" s="9">
        <v>2.2205733158171799E-5</v>
      </c>
      <c r="O515" s="2">
        <v>4.3007266331906298</v>
      </c>
      <c r="P515" t="s">
        <v>2015</v>
      </c>
      <c r="Q515" s="10">
        <f>IF(N515&lt;='[1]statistical criteria'!$B$2,IF(O515&gt;=LOG('[1]statistical criteria'!$B$3,2),1,IF(O515&lt;=-1*LOG('[1]statistical criteria'!$B$3,2),2,"-")),"-")</f>
        <v>1</v>
      </c>
      <c r="R515" t="s">
        <v>2017</v>
      </c>
      <c r="S515" t="s">
        <v>2018</v>
      </c>
      <c r="T515" s="9">
        <v>3E-52</v>
      </c>
      <c r="U515" t="s">
        <v>2019</v>
      </c>
    </row>
    <row r="516" spans="1:21" x14ac:dyDescent="0.35">
      <c r="A516" t="s">
        <v>2020</v>
      </c>
      <c r="B516" t="s">
        <v>2021</v>
      </c>
      <c r="C516">
        <v>992</v>
      </c>
      <c r="D516" s="4">
        <v>0</v>
      </c>
      <c r="E516" s="4">
        <v>0</v>
      </c>
      <c r="F516" s="4">
        <v>0</v>
      </c>
      <c r="G516" s="5">
        <v>0.227905</v>
      </c>
      <c r="H516" s="6">
        <v>19.046842000000002</v>
      </c>
      <c r="I516" s="6">
        <v>1.8451390000000001</v>
      </c>
      <c r="J516" s="6">
        <v>9.1501450000000002</v>
      </c>
      <c r="K516" s="7">
        <f t="shared" si="16"/>
        <v>5.6976249999999999E-2</v>
      </c>
      <c r="L516" s="8">
        <f t="shared" si="17"/>
        <v>10.014042000000002</v>
      </c>
      <c r="M516" s="9">
        <v>6.2406419776811603E-6</v>
      </c>
      <c r="N516" s="9">
        <v>5.9528529741991297E-5</v>
      </c>
      <c r="O516" s="2">
        <v>4.2988696067022403</v>
      </c>
      <c r="P516" t="s">
        <v>2020</v>
      </c>
      <c r="Q516" s="10">
        <f>IF(N516&lt;='[1]statistical criteria'!$B$2,IF(O516&gt;=LOG('[1]statistical criteria'!$B$3,2),1,IF(O516&lt;=-1*LOG('[1]statistical criteria'!$B$3,2),2,"-")),"-")</f>
        <v>1</v>
      </c>
      <c r="R516" t="s">
        <v>419</v>
      </c>
      <c r="S516" t="s">
        <v>2022</v>
      </c>
      <c r="T516" s="9">
        <v>9.9999999999999997E-73</v>
      </c>
      <c r="U516" t="s">
        <v>421</v>
      </c>
    </row>
    <row r="517" spans="1:21" x14ac:dyDescent="0.35">
      <c r="A517" t="s">
        <v>2023</v>
      </c>
      <c r="B517" t="s">
        <v>2024</v>
      </c>
      <c r="C517">
        <v>465</v>
      </c>
      <c r="D517" s="4">
        <v>0</v>
      </c>
      <c r="E517" s="4">
        <v>0</v>
      </c>
      <c r="F517" s="4">
        <v>0</v>
      </c>
      <c r="G517" s="4">
        <v>0</v>
      </c>
      <c r="H517" s="6">
        <v>71.373045000000005</v>
      </c>
      <c r="I517" s="11">
        <v>0</v>
      </c>
      <c r="J517" s="6">
        <v>97.424864999999997</v>
      </c>
      <c r="K517" s="7">
        <f t="shared" si="16"/>
        <v>0</v>
      </c>
      <c r="L517" s="8">
        <f t="shared" si="17"/>
        <v>56.265970000000003</v>
      </c>
      <c r="M517">
        <v>1.53889516126938E-4</v>
      </c>
      <c r="N517">
        <v>9.9575569258606909E-4</v>
      </c>
      <c r="O517" s="2">
        <v>4.2986662060303402</v>
      </c>
      <c r="P517" t="s">
        <v>2023</v>
      </c>
      <c r="Q517" s="10">
        <f>IF(N517&lt;='[1]statistical criteria'!$B$2,IF(O517&gt;=LOG('[1]statistical criteria'!$B$3,2),1,IF(O517&lt;=-1*LOG('[1]statistical criteria'!$B$3,2),2,"-")),"-")</f>
        <v>1</v>
      </c>
      <c r="R517" t="s">
        <v>436</v>
      </c>
    </row>
    <row r="518" spans="1:21" x14ac:dyDescent="0.35">
      <c r="A518" t="s">
        <v>262</v>
      </c>
      <c r="B518" t="s">
        <v>263</v>
      </c>
      <c r="C518">
        <v>2550</v>
      </c>
      <c r="D518" s="5">
        <v>1.858592</v>
      </c>
      <c r="E518" s="5">
        <v>3.940874</v>
      </c>
      <c r="F518" s="5">
        <v>1.137491</v>
      </c>
      <c r="G518" s="5">
        <v>0.27768999999999999</v>
      </c>
      <c r="H518" s="6">
        <v>62.833024999999999</v>
      </c>
      <c r="I518" s="6">
        <v>128.35565500000001</v>
      </c>
      <c r="J518" s="6">
        <v>93.976641999999998</v>
      </c>
      <c r="K518" s="7">
        <f t="shared" si="16"/>
        <v>1.8036617499999998</v>
      </c>
      <c r="L518" s="8">
        <f t="shared" si="17"/>
        <v>95.055107333333339</v>
      </c>
      <c r="M518" s="9">
        <v>5.4782911423748198E-17</v>
      </c>
      <c r="N518" s="9">
        <v>3.6643894706289198E-15</v>
      </c>
      <c r="O518" s="2">
        <v>4.2956676281150799</v>
      </c>
      <c r="P518" t="s">
        <v>262</v>
      </c>
      <c r="Q518" s="10">
        <f>IF(N518&lt;='[1]statistical criteria'!$B$2,IF(O518&gt;=LOG('[1]statistical criteria'!$B$3,2),1,IF(O518&lt;=-1*LOG('[1]statistical criteria'!$B$3,2),2,"-")),"-")</f>
        <v>1</v>
      </c>
      <c r="R518" t="s">
        <v>264</v>
      </c>
      <c r="S518" t="s">
        <v>265</v>
      </c>
      <c r="T518">
        <v>0</v>
      </c>
      <c r="U518" t="s">
        <v>266</v>
      </c>
    </row>
    <row r="519" spans="1:21" x14ac:dyDescent="0.35">
      <c r="A519" t="s">
        <v>2025</v>
      </c>
      <c r="B519" t="s">
        <v>2026</v>
      </c>
      <c r="C519">
        <v>1740</v>
      </c>
      <c r="D519" s="4">
        <v>0</v>
      </c>
      <c r="E519" s="4">
        <v>0</v>
      </c>
      <c r="F519" s="4">
        <v>0</v>
      </c>
      <c r="G519" s="4">
        <v>0</v>
      </c>
      <c r="H519" s="6">
        <v>3.6483940000000001</v>
      </c>
      <c r="I519" s="6">
        <v>2.372036</v>
      </c>
      <c r="J519" s="6">
        <v>2.9959600000000002</v>
      </c>
      <c r="K519" s="7">
        <f t="shared" si="16"/>
        <v>0</v>
      </c>
      <c r="L519" s="8">
        <f t="shared" si="17"/>
        <v>3.0054633333333336</v>
      </c>
      <c r="M519" s="9">
        <v>2.5247165727592601E-6</v>
      </c>
      <c r="N519" s="9">
        <v>2.6319011985542899E-5</v>
      </c>
      <c r="O519" s="2">
        <v>4.2940064642528197</v>
      </c>
      <c r="P519" t="s">
        <v>2025</v>
      </c>
      <c r="Q519" s="10">
        <f>IF(N519&lt;='[1]statistical criteria'!$B$2,IF(O519&gt;=LOG('[1]statistical criteria'!$B$3,2),1,IF(O519&lt;=-1*LOG('[1]statistical criteria'!$B$3,2),2,"-")),"-")</f>
        <v>1</v>
      </c>
      <c r="R519" t="s">
        <v>1112</v>
      </c>
      <c r="S519" t="s">
        <v>2027</v>
      </c>
      <c r="T519">
        <v>0</v>
      </c>
      <c r="U519" t="s">
        <v>1114</v>
      </c>
    </row>
    <row r="520" spans="1:21" x14ac:dyDescent="0.35">
      <c r="A520" t="s">
        <v>2028</v>
      </c>
      <c r="B520" t="s">
        <v>2029</v>
      </c>
      <c r="C520">
        <v>2169</v>
      </c>
      <c r="D520" s="4">
        <v>0</v>
      </c>
      <c r="E520" s="4">
        <v>0</v>
      </c>
      <c r="F520" s="4">
        <v>0</v>
      </c>
      <c r="G520" s="4">
        <v>0</v>
      </c>
      <c r="H520" s="6">
        <v>2.4569009999999998</v>
      </c>
      <c r="I520" s="6">
        <v>1.597588</v>
      </c>
      <c r="J520" s="6">
        <v>2.8022450000000001</v>
      </c>
      <c r="K520" s="7">
        <f t="shared" si="16"/>
        <v>0</v>
      </c>
      <c r="L520" s="8">
        <f t="shared" si="17"/>
        <v>2.2855780000000001</v>
      </c>
      <c r="M520" s="9">
        <v>4.2726057160988102E-6</v>
      </c>
      <c r="N520" s="9">
        <v>4.2303687189053197E-5</v>
      </c>
      <c r="O520" s="2">
        <v>4.2898865052603998</v>
      </c>
      <c r="P520" t="s">
        <v>2028</v>
      </c>
      <c r="Q520" s="10">
        <f>IF(N520&lt;='[1]statistical criteria'!$B$2,IF(O520&gt;=LOG('[1]statistical criteria'!$B$3,2),1,IF(O520&lt;=-1*LOG('[1]statistical criteria'!$B$3,2),2,"-")),"-")</f>
        <v>1</v>
      </c>
    </row>
    <row r="521" spans="1:21" x14ac:dyDescent="0.35">
      <c r="A521" t="s">
        <v>2030</v>
      </c>
      <c r="B521" t="s">
        <v>2031</v>
      </c>
      <c r="C521">
        <v>2301</v>
      </c>
      <c r="D521" s="5">
        <v>10.567784</v>
      </c>
      <c r="E521" s="4">
        <v>0</v>
      </c>
      <c r="F521" s="5">
        <v>1.9442330000000001</v>
      </c>
      <c r="G521" s="5">
        <v>4.910209</v>
      </c>
      <c r="H521" s="6">
        <v>105.01273999999999</v>
      </c>
      <c r="I521" s="6">
        <v>119.396134</v>
      </c>
      <c r="J521" s="6">
        <v>73.246354999999994</v>
      </c>
      <c r="K521" s="7">
        <f t="shared" si="16"/>
        <v>4.3555565000000005</v>
      </c>
      <c r="L521" s="8">
        <f t="shared" si="17"/>
        <v>99.218409666666659</v>
      </c>
      <c r="M521" s="9">
        <v>7.1860296017235597E-6</v>
      </c>
      <c r="N521" s="9">
        <v>6.75643000596835E-5</v>
      </c>
      <c r="O521" s="2">
        <v>4.2898393140908704</v>
      </c>
      <c r="P521" t="s">
        <v>2030</v>
      </c>
      <c r="Q521" s="10">
        <f>IF(N521&lt;='[1]statistical criteria'!$B$2,IF(O521&gt;=LOG('[1]statistical criteria'!$B$3,2),1,IF(O521&lt;=-1*LOG('[1]statistical criteria'!$B$3,2),2,"-")),"-")</f>
        <v>1</v>
      </c>
      <c r="R521" t="s">
        <v>731</v>
      </c>
      <c r="S521" t="s">
        <v>732</v>
      </c>
      <c r="T521">
        <v>0</v>
      </c>
      <c r="U521" t="s">
        <v>733</v>
      </c>
    </row>
    <row r="522" spans="1:21" x14ac:dyDescent="0.35">
      <c r="A522" t="s">
        <v>2032</v>
      </c>
      <c r="B522" t="s">
        <v>2033</v>
      </c>
      <c r="C522">
        <v>469</v>
      </c>
      <c r="D522" s="4">
        <v>0</v>
      </c>
      <c r="E522" s="4">
        <v>0</v>
      </c>
      <c r="F522" s="4">
        <v>0</v>
      </c>
      <c r="G522" s="4">
        <v>0</v>
      </c>
      <c r="H522" s="6">
        <v>11.837999</v>
      </c>
      <c r="I522" s="6">
        <v>14.788624</v>
      </c>
      <c r="J522" s="6">
        <v>9.5164770000000001</v>
      </c>
      <c r="K522" s="7">
        <f t="shared" si="16"/>
        <v>0</v>
      </c>
      <c r="L522" s="8">
        <f t="shared" si="17"/>
        <v>12.047700000000001</v>
      </c>
      <c r="M522" s="9">
        <v>3.9243103731573297E-6</v>
      </c>
      <c r="N522" s="9">
        <v>3.9150524980961497E-5</v>
      </c>
      <c r="O522" s="2">
        <v>4.2891585773626497</v>
      </c>
      <c r="P522" t="s">
        <v>2032</v>
      </c>
      <c r="Q522" s="10">
        <f>IF(N522&lt;='[1]statistical criteria'!$B$2,IF(O522&gt;=LOG('[1]statistical criteria'!$B$3,2),1,IF(O522&lt;=-1*LOG('[1]statistical criteria'!$B$3,2),2,"-")),"-")</f>
        <v>1</v>
      </c>
    </row>
    <row r="523" spans="1:21" x14ac:dyDescent="0.35">
      <c r="A523" t="s">
        <v>2034</v>
      </c>
      <c r="B523" t="s">
        <v>2035</v>
      </c>
      <c r="C523">
        <v>870</v>
      </c>
      <c r="D523" s="4">
        <v>0</v>
      </c>
      <c r="E523" s="4">
        <v>0</v>
      </c>
      <c r="F523" s="4">
        <v>0</v>
      </c>
      <c r="G523" s="4">
        <v>0</v>
      </c>
      <c r="H523" s="6">
        <v>2.7966630000000001</v>
      </c>
      <c r="I523" s="6">
        <v>2.9760270000000002</v>
      </c>
      <c r="J523" s="6">
        <v>5.9550739999999998</v>
      </c>
      <c r="K523" s="7">
        <f t="shared" si="16"/>
        <v>0</v>
      </c>
      <c r="L523" s="8">
        <f t="shared" si="17"/>
        <v>3.909254666666667</v>
      </c>
      <c r="M523" s="9">
        <v>2.5918758852922401E-6</v>
      </c>
      <c r="N523" s="9">
        <v>2.6908564155543499E-5</v>
      </c>
      <c r="O523" s="2">
        <v>4.2821901953482104</v>
      </c>
      <c r="P523" t="s">
        <v>2034</v>
      </c>
      <c r="Q523" s="10">
        <f>IF(N523&lt;='[1]statistical criteria'!$B$2,IF(O523&gt;=LOG('[1]statistical criteria'!$B$3,2),1,IF(O523&lt;=-1*LOG('[1]statistical criteria'!$B$3,2),2,"-")),"-")</f>
        <v>1</v>
      </c>
      <c r="R523" t="s">
        <v>2036</v>
      </c>
      <c r="S523" t="s">
        <v>2037</v>
      </c>
      <c r="T523" s="9">
        <v>3.0000000000000002E-114</v>
      </c>
      <c r="U523" t="s">
        <v>2038</v>
      </c>
    </row>
    <row r="524" spans="1:21" x14ac:dyDescent="0.35">
      <c r="A524" t="s">
        <v>2039</v>
      </c>
      <c r="B524" t="s">
        <v>2040</v>
      </c>
      <c r="C524">
        <v>1248</v>
      </c>
      <c r="D524" s="5">
        <v>7.303973</v>
      </c>
      <c r="E524" s="5">
        <v>1.327053</v>
      </c>
      <c r="F524" s="4">
        <v>0</v>
      </c>
      <c r="G524" s="4">
        <v>0</v>
      </c>
      <c r="H524" s="6">
        <v>18.662445999999999</v>
      </c>
      <c r="I524" s="6">
        <v>31.160523999999999</v>
      </c>
      <c r="J524" s="6">
        <v>20.732951</v>
      </c>
      <c r="K524" s="7">
        <f t="shared" si="16"/>
        <v>2.1577565000000001</v>
      </c>
      <c r="L524" s="8">
        <f t="shared" si="17"/>
        <v>23.518640333333334</v>
      </c>
      <c r="M524" s="9">
        <v>9.0708597276997398E-6</v>
      </c>
      <c r="N524" s="9">
        <v>8.2909923447707003E-5</v>
      </c>
      <c r="O524" s="2">
        <v>4.2764734147002397</v>
      </c>
      <c r="P524" t="s">
        <v>2039</v>
      </c>
      <c r="Q524" s="10">
        <f>IF(N524&lt;='[1]statistical criteria'!$B$2,IF(O524&gt;=LOG('[1]statistical criteria'!$B$3,2),1,IF(O524&lt;=-1*LOG('[1]statistical criteria'!$B$3,2),2,"-")),"-")</f>
        <v>1</v>
      </c>
      <c r="R524" t="s">
        <v>2041</v>
      </c>
      <c r="S524" t="s">
        <v>2042</v>
      </c>
      <c r="T524" s="9">
        <v>7.9999999999999999E-109</v>
      </c>
      <c r="U524" t="s">
        <v>2043</v>
      </c>
    </row>
    <row r="525" spans="1:21" x14ac:dyDescent="0.35">
      <c r="A525" t="s">
        <v>2044</v>
      </c>
      <c r="B525" t="s">
        <v>2045</v>
      </c>
      <c r="C525">
        <v>1224</v>
      </c>
      <c r="D525" s="4">
        <v>0</v>
      </c>
      <c r="E525" s="4">
        <v>0</v>
      </c>
      <c r="F525" s="4">
        <v>0</v>
      </c>
      <c r="G525" s="5">
        <v>0.78899300000000006</v>
      </c>
      <c r="H525" s="6">
        <v>5.8391500000000001</v>
      </c>
      <c r="I525" s="6">
        <v>6.7930409999999997</v>
      </c>
      <c r="J525" s="6">
        <v>5.6705649999999999</v>
      </c>
      <c r="K525" s="7">
        <f t="shared" si="16"/>
        <v>0.19724825000000001</v>
      </c>
      <c r="L525" s="8">
        <f t="shared" si="17"/>
        <v>6.1009186666666659</v>
      </c>
      <c r="M525" s="9">
        <v>7.6081631999341701E-6</v>
      </c>
      <c r="N525" s="9">
        <v>7.0989627700292901E-5</v>
      </c>
      <c r="O525" s="2">
        <v>4.2763334866862204</v>
      </c>
      <c r="P525" t="s">
        <v>2044</v>
      </c>
      <c r="Q525" s="10">
        <f>IF(N525&lt;='[1]statistical criteria'!$B$2,IF(O525&gt;=LOG('[1]statistical criteria'!$B$3,2),1,IF(O525&lt;=-1*LOG('[1]statistical criteria'!$B$3,2),2,"-")),"-")</f>
        <v>1</v>
      </c>
      <c r="R525" t="s">
        <v>1993</v>
      </c>
      <c r="S525" t="s">
        <v>2046</v>
      </c>
      <c r="T525" s="9">
        <v>3E-124</v>
      </c>
      <c r="U525" t="s">
        <v>1995</v>
      </c>
    </row>
    <row r="526" spans="1:21" x14ac:dyDescent="0.35">
      <c r="A526" t="s">
        <v>2047</v>
      </c>
      <c r="B526" t="s">
        <v>2048</v>
      </c>
      <c r="C526">
        <v>846</v>
      </c>
      <c r="D526" s="5">
        <v>1.1999949999999999</v>
      </c>
      <c r="E526" s="4">
        <v>0</v>
      </c>
      <c r="F526" s="4">
        <v>0</v>
      </c>
      <c r="G526" s="4">
        <v>0</v>
      </c>
      <c r="H526" s="6">
        <v>10.008103</v>
      </c>
      <c r="I526" s="6">
        <v>18.322015</v>
      </c>
      <c r="J526" s="6">
        <v>3.799849</v>
      </c>
      <c r="K526" s="7">
        <f t="shared" si="16"/>
        <v>0.29999874999999998</v>
      </c>
      <c r="L526" s="8">
        <f t="shared" si="17"/>
        <v>10.709989</v>
      </c>
      <c r="M526" s="9">
        <v>4.3688058249234196E-6</v>
      </c>
      <c r="N526" s="9">
        <v>4.3177551206591902E-5</v>
      </c>
      <c r="O526" s="2">
        <v>4.2740716954088001</v>
      </c>
      <c r="P526" t="s">
        <v>2047</v>
      </c>
      <c r="Q526" s="10">
        <f>IF(N526&lt;='[1]statistical criteria'!$B$2,IF(O526&gt;=LOG('[1]statistical criteria'!$B$3,2),1,IF(O526&lt;=-1*LOG('[1]statistical criteria'!$B$3,2),2,"-")),"-")</f>
        <v>1</v>
      </c>
      <c r="R526" t="s">
        <v>1098</v>
      </c>
      <c r="S526" t="s">
        <v>1099</v>
      </c>
      <c r="T526" s="9">
        <v>6.0000000000000003E-126</v>
      </c>
      <c r="U526" t="s">
        <v>1100</v>
      </c>
    </row>
    <row r="527" spans="1:21" x14ac:dyDescent="0.35">
      <c r="A527" t="s">
        <v>2049</v>
      </c>
      <c r="B527" t="s">
        <v>2050</v>
      </c>
      <c r="C527">
        <v>1350</v>
      </c>
      <c r="D527" s="4">
        <v>0</v>
      </c>
      <c r="E527" s="4">
        <v>0</v>
      </c>
      <c r="F527" s="5">
        <v>0.97940499999999997</v>
      </c>
      <c r="G527" s="4">
        <v>0</v>
      </c>
      <c r="H527" s="6">
        <v>8.2476140000000004</v>
      </c>
      <c r="I527" s="6">
        <v>7.0161290000000003</v>
      </c>
      <c r="J527" s="6">
        <v>3.5135190000000001</v>
      </c>
      <c r="K527" s="7">
        <f t="shared" si="16"/>
        <v>0.24485124999999999</v>
      </c>
      <c r="L527" s="8">
        <f t="shared" si="17"/>
        <v>6.2590873333333334</v>
      </c>
      <c r="M527" s="9">
        <v>5.4000217552806104E-6</v>
      </c>
      <c r="N527" s="9">
        <v>5.2243220133701098E-5</v>
      </c>
      <c r="O527" s="2">
        <v>4.2740601080319696</v>
      </c>
      <c r="P527" t="s">
        <v>2049</v>
      </c>
      <c r="Q527" s="10">
        <f>IF(N527&lt;='[1]statistical criteria'!$B$2,IF(O527&gt;=LOG('[1]statistical criteria'!$B$3,2),1,IF(O527&lt;=-1*LOG('[1]statistical criteria'!$B$3,2),2,"-")),"-")</f>
        <v>1</v>
      </c>
      <c r="R527" t="s">
        <v>2051</v>
      </c>
      <c r="S527" t="s">
        <v>2052</v>
      </c>
      <c r="T527">
        <v>0</v>
      </c>
      <c r="U527" t="s">
        <v>2053</v>
      </c>
    </row>
    <row r="528" spans="1:21" x14ac:dyDescent="0.35">
      <c r="A528" t="s">
        <v>2054</v>
      </c>
      <c r="B528" t="s">
        <v>2055</v>
      </c>
      <c r="C528">
        <v>669</v>
      </c>
      <c r="D528" s="5">
        <v>1.1006929999999999</v>
      </c>
      <c r="E528" s="4">
        <v>0</v>
      </c>
      <c r="F528" s="4">
        <v>0</v>
      </c>
      <c r="G528" s="4">
        <v>0</v>
      </c>
      <c r="H528" s="6">
        <v>7.9378710000000003</v>
      </c>
      <c r="I528" s="6">
        <v>13.202482</v>
      </c>
      <c r="J528" s="6">
        <v>8.0849890000000002</v>
      </c>
      <c r="K528" s="7">
        <f t="shared" si="16"/>
        <v>0.27517324999999998</v>
      </c>
      <c r="L528" s="8">
        <f t="shared" si="17"/>
        <v>9.7417806666666671</v>
      </c>
      <c r="M528" s="9">
        <v>4.4369024893484599E-6</v>
      </c>
      <c r="N528" s="9">
        <v>4.3736987501839499E-5</v>
      </c>
      <c r="O528" s="2">
        <v>4.2708635187201498</v>
      </c>
      <c r="P528" t="s">
        <v>2054</v>
      </c>
      <c r="Q528" s="10">
        <f>IF(N528&lt;='[1]statistical criteria'!$B$2,IF(O528&gt;=LOG('[1]statistical criteria'!$B$3,2),1,IF(O528&lt;=-1*LOG('[1]statistical criteria'!$B$3,2),2,"-")),"-")</f>
        <v>1</v>
      </c>
    </row>
    <row r="529" spans="1:21" x14ac:dyDescent="0.35">
      <c r="A529" t="s">
        <v>2056</v>
      </c>
      <c r="B529" t="s">
        <v>2057</v>
      </c>
      <c r="C529">
        <v>792</v>
      </c>
      <c r="D529" s="4">
        <v>0</v>
      </c>
      <c r="E529" s="4">
        <v>0</v>
      </c>
      <c r="F529" s="4">
        <v>0</v>
      </c>
      <c r="G529" s="4">
        <v>0</v>
      </c>
      <c r="H529" s="6">
        <v>2.0071110000000001</v>
      </c>
      <c r="I529" s="6">
        <v>2.0695329999999998</v>
      </c>
      <c r="J529" s="6">
        <v>9.8085909999999998</v>
      </c>
      <c r="K529" s="7">
        <f t="shared" si="16"/>
        <v>0</v>
      </c>
      <c r="L529" s="8">
        <f t="shared" si="17"/>
        <v>4.6284116666666666</v>
      </c>
      <c r="M529" s="9">
        <v>5.01685801684183E-6</v>
      </c>
      <c r="N529" s="9">
        <v>4.8946838277621101E-5</v>
      </c>
      <c r="O529" s="2">
        <v>4.26927981000334</v>
      </c>
      <c r="P529" t="s">
        <v>2056</v>
      </c>
      <c r="Q529" s="10">
        <f>IF(N529&lt;='[1]statistical criteria'!$B$2,IF(O529&gt;=LOG('[1]statistical criteria'!$B$3,2),1,IF(O529&lt;=-1*LOG('[1]statistical criteria'!$B$3,2),2,"-")),"-")</f>
        <v>1</v>
      </c>
      <c r="S529" t="s">
        <v>2058</v>
      </c>
      <c r="T529" s="9">
        <v>5.9999999999999998E-41</v>
      </c>
      <c r="U529" t="s">
        <v>2059</v>
      </c>
    </row>
    <row r="530" spans="1:21" x14ac:dyDescent="0.35">
      <c r="A530" t="s">
        <v>2060</v>
      </c>
      <c r="B530" t="s">
        <v>2061</v>
      </c>
      <c r="C530">
        <v>1389</v>
      </c>
      <c r="D530" s="4">
        <v>0</v>
      </c>
      <c r="E530" s="4">
        <v>0</v>
      </c>
      <c r="F530" s="4">
        <v>0</v>
      </c>
      <c r="G530" s="4">
        <v>0</v>
      </c>
      <c r="H530" s="6">
        <v>1.8399479999999999</v>
      </c>
      <c r="I530" s="6">
        <v>2.5265580000000001</v>
      </c>
      <c r="J530" s="6">
        <v>3.8046869999999999</v>
      </c>
      <c r="K530" s="7">
        <f t="shared" si="16"/>
        <v>0</v>
      </c>
      <c r="L530" s="8">
        <f t="shared" si="17"/>
        <v>2.7237310000000003</v>
      </c>
      <c r="M530" s="9">
        <v>2.20788933345433E-8</v>
      </c>
      <c r="N530" s="9">
        <v>3.6872430026885399E-7</v>
      </c>
      <c r="O530" s="2">
        <v>4.2690823963592797</v>
      </c>
      <c r="P530" t="s">
        <v>2060</v>
      </c>
      <c r="Q530" s="10">
        <f>IF(N530&lt;='[1]statistical criteria'!$B$2,IF(O530&gt;=LOG('[1]statistical criteria'!$B$3,2),1,IF(O530&lt;=-1*LOG('[1]statistical criteria'!$B$3,2),2,"-")),"-")</f>
        <v>1</v>
      </c>
      <c r="R530" t="s">
        <v>2062</v>
      </c>
      <c r="S530" t="s">
        <v>2063</v>
      </c>
      <c r="T530" s="9">
        <v>6.9999999999999998E-96</v>
      </c>
      <c r="U530" t="s">
        <v>2064</v>
      </c>
    </row>
    <row r="531" spans="1:21" x14ac:dyDescent="0.35">
      <c r="A531" t="s">
        <v>2065</v>
      </c>
      <c r="B531" t="s">
        <v>2066</v>
      </c>
      <c r="C531">
        <v>699</v>
      </c>
      <c r="D531" s="4">
        <v>0</v>
      </c>
      <c r="E531" s="4">
        <v>0</v>
      </c>
      <c r="F531" s="4">
        <v>0</v>
      </c>
      <c r="G531" s="4">
        <v>0</v>
      </c>
      <c r="H531" s="6">
        <v>7.1003420000000004</v>
      </c>
      <c r="I531" s="6">
        <v>4.8462540000000001</v>
      </c>
      <c r="J531" s="6">
        <v>3.1599870000000001</v>
      </c>
      <c r="K531" s="7">
        <f t="shared" si="16"/>
        <v>0</v>
      </c>
      <c r="L531" s="8">
        <f t="shared" si="17"/>
        <v>5.0355276666666668</v>
      </c>
      <c r="M531" s="9">
        <v>5.6772225269906196E-9</v>
      </c>
      <c r="N531" s="9">
        <v>1.06651080640307E-7</v>
      </c>
      <c r="O531" s="2">
        <v>4.2684290708977199</v>
      </c>
      <c r="P531" t="s">
        <v>2065</v>
      </c>
      <c r="Q531" s="10">
        <f>IF(N531&lt;='[1]statistical criteria'!$B$2,IF(O531&gt;=LOG('[1]statistical criteria'!$B$3,2),1,IF(O531&lt;=-1*LOG('[1]statistical criteria'!$B$3,2),2,"-")),"-")</f>
        <v>1</v>
      </c>
    </row>
    <row r="532" spans="1:21" x14ac:dyDescent="0.35">
      <c r="A532" t="s">
        <v>2067</v>
      </c>
      <c r="B532" t="s">
        <v>2068</v>
      </c>
      <c r="C532">
        <v>945</v>
      </c>
      <c r="D532" s="5">
        <v>0.97139699999999995</v>
      </c>
      <c r="E532" s="4">
        <v>0</v>
      </c>
      <c r="F532" s="4">
        <v>0</v>
      </c>
      <c r="G532" s="4">
        <v>0</v>
      </c>
      <c r="H532" s="6">
        <v>15.945582999999999</v>
      </c>
      <c r="I532" s="6">
        <v>2.4442689999999998</v>
      </c>
      <c r="J532" s="6">
        <v>16.010933999999999</v>
      </c>
      <c r="K532" s="7">
        <f t="shared" si="16"/>
        <v>0.24284924999999999</v>
      </c>
      <c r="L532" s="8">
        <f t="shared" si="17"/>
        <v>11.466928666666666</v>
      </c>
      <c r="M532" s="9">
        <v>9.7505346785059005E-6</v>
      </c>
      <c r="N532" s="9">
        <v>8.8321536986835501E-5</v>
      </c>
      <c r="O532" s="2">
        <v>4.2682013533239003</v>
      </c>
      <c r="P532" t="s">
        <v>2067</v>
      </c>
      <c r="Q532" s="10">
        <f>IF(N532&lt;='[1]statistical criteria'!$B$2,IF(O532&gt;=LOG('[1]statistical criteria'!$B$3,2),1,IF(O532&lt;=-1*LOG('[1]statistical criteria'!$B$3,2),2,"-")),"-")</f>
        <v>1</v>
      </c>
      <c r="R532" t="s">
        <v>2069</v>
      </c>
      <c r="S532" t="s">
        <v>2070</v>
      </c>
      <c r="T532" s="9">
        <v>3.0000000000000002E-77</v>
      </c>
      <c r="U532" t="s">
        <v>2071</v>
      </c>
    </row>
    <row r="533" spans="1:21" x14ac:dyDescent="0.35">
      <c r="A533" t="s">
        <v>2072</v>
      </c>
      <c r="B533" t="s">
        <v>2073</v>
      </c>
      <c r="C533">
        <v>1332</v>
      </c>
      <c r="D533" s="4">
        <v>0</v>
      </c>
      <c r="E533" s="5">
        <v>4.9833189999999998</v>
      </c>
      <c r="F533" s="4">
        <v>0</v>
      </c>
      <c r="G533" s="4">
        <v>0</v>
      </c>
      <c r="H533" s="6">
        <v>9.1846949999999996</v>
      </c>
      <c r="I533" s="6">
        <v>7.8633069999999998</v>
      </c>
      <c r="J533" s="6">
        <v>10.387200999999999</v>
      </c>
      <c r="K533" s="7">
        <f t="shared" si="16"/>
        <v>1.24582975</v>
      </c>
      <c r="L533" s="8">
        <f t="shared" si="17"/>
        <v>9.1450676666666677</v>
      </c>
      <c r="M533">
        <v>4.7630561270174503E-4</v>
      </c>
      <c r="N533">
        <v>2.6227129079034201E-3</v>
      </c>
      <c r="O533" s="2">
        <v>4.2653639133691197</v>
      </c>
      <c r="P533" t="s">
        <v>2072</v>
      </c>
      <c r="Q533" s="10">
        <f>IF(N533&lt;='[1]statistical criteria'!$B$2,IF(O533&gt;=LOG('[1]statistical criteria'!$B$3,2),1,IF(O533&lt;=-1*LOG('[1]statistical criteria'!$B$3,2),2,"-")),"-")</f>
        <v>1</v>
      </c>
      <c r="R533" t="s">
        <v>2074</v>
      </c>
      <c r="S533" t="s">
        <v>2075</v>
      </c>
      <c r="T533" s="9">
        <v>3.0000000000000002E-33</v>
      </c>
      <c r="U533" t="s">
        <v>529</v>
      </c>
    </row>
    <row r="534" spans="1:21" x14ac:dyDescent="0.35">
      <c r="A534" t="s">
        <v>2076</v>
      </c>
      <c r="B534" t="s">
        <v>2077</v>
      </c>
      <c r="C534">
        <v>4569</v>
      </c>
      <c r="D534" s="4">
        <v>0</v>
      </c>
      <c r="E534" s="4">
        <v>0</v>
      </c>
      <c r="F534" s="4">
        <v>0</v>
      </c>
      <c r="G534" s="4">
        <v>0</v>
      </c>
      <c r="H534" s="6">
        <v>2.2362129999999998</v>
      </c>
      <c r="I534" s="6">
        <v>0.26335900000000001</v>
      </c>
      <c r="J534" s="6">
        <v>1.2466429999999999</v>
      </c>
      <c r="K534" s="7">
        <f t="shared" si="16"/>
        <v>0</v>
      </c>
      <c r="L534" s="8">
        <f t="shared" si="17"/>
        <v>1.2487383333333331</v>
      </c>
      <c r="M534" s="9">
        <v>6.2721949796321601E-7</v>
      </c>
      <c r="N534" s="9">
        <v>7.5784044738031801E-6</v>
      </c>
      <c r="O534" s="2">
        <v>4.2651545955117696</v>
      </c>
      <c r="P534" t="s">
        <v>2076</v>
      </c>
      <c r="Q534" s="10">
        <f>IF(N534&lt;='[1]statistical criteria'!$B$2,IF(O534&gt;=LOG('[1]statistical criteria'!$B$3,2),1,IF(O534&lt;=-1*LOG('[1]statistical criteria'!$B$3,2),2,"-")),"-")</f>
        <v>1</v>
      </c>
      <c r="R534" t="s">
        <v>2078</v>
      </c>
    </row>
    <row r="535" spans="1:21" x14ac:dyDescent="0.35">
      <c r="A535" t="s">
        <v>2079</v>
      </c>
      <c r="B535" t="s">
        <v>2080</v>
      </c>
      <c r="C535">
        <v>1458</v>
      </c>
      <c r="D535" s="5">
        <v>1.1581649999999999</v>
      </c>
      <c r="E535" s="5">
        <v>0.95567100000000005</v>
      </c>
      <c r="F535" s="4">
        <v>0</v>
      </c>
      <c r="G535" s="5">
        <v>1.950696</v>
      </c>
      <c r="H535" s="6">
        <v>56.787911000000001</v>
      </c>
      <c r="I535" s="6">
        <v>31.126567999999999</v>
      </c>
      <c r="J535" s="6">
        <v>31.441015</v>
      </c>
      <c r="K535" s="7">
        <f t="shared" si="16"/>
        <v>1.016133</v>
      </c>
      <c r="L535" s="8">
        <f t="shared" si="17"/>
        <v>39.785164666666667</v>
      </c>
      <c r="M535" s="9">
        <v>6.2364945621642497E-6</v>
      </c>
      <c r="N535" s="9">
        <v>5.9503881432933399E-5</v>
      </c>
      <c r="O535" s="2">
        <v>4.2629920652828801</v>
      </c>
      <c r="P535" t="s">
        <v>2079</v>
      </c>
      <c r="Q535" s="10">
        <f>IF(N535&lt;='[1]statistical criteria'!$B$2,IF(O535&gt;=LOG('[1]statistical criteria'!$B$3,2),1,IF(O535&lt;=-1*LOG('[1]statistical criteria'!$B$3,2),2,"-")),"-")</f>
        <v>1</v>
      </c>
      <c r="R535" t="s">
        <v>2081</v>
      </c>
      <c r="S535" t="s">
        <v>2082</v>
      </c>
      <c r="T535">
        <v>0</v>
      </c>
      <c r="U535" t="s">
        <v>2083</v>
      </c>
    </row>
    <row r="536" spans="1:21" x14ac:dyDescent="0.35">
      <c r="A536" t="s">
        <v>2084</v>
      </c>
      <c r="B536" t="s">
        <v>2085</v>
      </c>
      <c r="C536">
        <v>1113</v>
      </c>
      <c r="D536" s="4">
        <v>0</v>
      </c>
      <c r="E536" s="4">
        <v>0</v>
      </c>
      <c r="F536" s="4">
        <v>0</v>
      </c>
      <c r="G536" s="4">
        <v>0</v>
      </c>
      <c r="H536" s="6">
        <v>9.5623719999999999</v>
      </c>
      <c r="I536" s="6">
        <v>2.2146349999999999</v>
      </c>
      <c r="J536" s="6">
        <v>2.6286260000000001</v>
      </c>
      <c r="K536" s="7">
        <f t="shared" si="16"/>
        <v>0</v>
      </c>
      <c r="L536" s="8">
        <f t="shared" si="17"/>
        <v>4.8018776666666669</v>
      </c>
      <c r="M536" s="9">
        <v>1.17330239055174E-7</v>
      </c>
      <c r="N536" s="9">
        <v>1.6576053817520199E-6</v>
      </c>
      <c r="O536" s="2">
        <v>4.2626064962745698</v>
      </c>
      <c r="P536" t="s">
        <v>2084</v>
      </c>
      <c r="Q536" s="10">
        <f>IF(N536&lt;='[1]statistical criteria'!$B$2,IF(O536&gt;=LOG('[1]statistical criteria'!$B$3,2),1,IF(O536&lt;=-1*LOG('[1]statistical criteria'!$B$3,2),2,"-")),"-")</f>
        <v>1</v>
      </c>
      <c r="R536" t="s">
        <v>2086</v>
      </c>
      <c r="S536" t="s">
        <v>2087</v>
      </c>
      <c r="T536">
        <v>0</v>
      </c>
      <c r="U536" t="s">
        <v>61</v>
      </c>
    </row>
    <row r="537" spans="1:21" x14ac:dyDescent="0.35">
      <c r="A537" t="s">
        <v>2088</v>
      </c>
      <c r="B537" t="s">
        <v>2089</v>
      </c>
      <c r="C537">
        <v>1311</v>
      </c>
      <c r="D537" s="5">
        <v>0.42787500000000001</v>
      </c>
      <c r="E537" s="4">
        <v>0</v>
      </c>
      <c r="F537" s="4">
        <v>0</v>
      </c>
      <c r="G537" s="4">
        <v>0</v>
      </c>
      <c r="H537" s="6">
        <v>5.6825900000000003</v>
      </c>
      <c r="I537" s="6">
        <v>3.133616</v>
      </c>
      <c r="J537" s="6">
        <v>8.7792899999999996</v>
      </c>
      <c r="K537" s="7">
        <f t="shared" si="16"/>
        <v>0.10696875</v>
      </c>
      <c r="L537" s="8">
        <f t="shared" si="17"/>
        <v>5.8651653333333336</v>
      </c>
      <c r="M537" s="9">
        <v>6.5595762590295803E-6</v>
      </c>
      <c r="N537" s="9">
        <v>6.2258721301412898E-5</v>
      </c>
      <c r="O537" s="2">
        <v>4.2615947889270798</v>
      </c>
      <c r="P537" t="s">
        <v>2088</v>
      </c>
      <c r="Q537" s="10">
        <f>IF(N537&lt;='[1]statistical criteria'!$B$2,IF(O537&gt;=LOG('[1]statistical criteria'!$B$3,2),1,IF(O537&lt;=-1*LOG('[1]statistical criteria'!$B$3,2),2,"-")),"-")</f>
        <v>1</v>
      </c>
      <c r="R537" t="s">
        <v>905</v>
      </c>
      <c r="S537" t="s">
        <v>133</v>
      </c>
      <c r="T537" t="s">
        <v>133</v>
      </c>
      <c r="U537" t="s">
        <v>134</v>
      </c>
    </row>
    <row r="538" spans="1:21" x14ac:dyDescent="0.35">
      <c r="A538" t="s">
        <v>2090</v>
      </c>
      <c r="B538" t="s">
        <v>2091</v>
      </c>
      <c r="C538">
        <v>1061</v>
      </c>
      <c r="D538" s="5">
        <v>0.95709500000000003</v>
      </c>
      <c r="E538" s="4">
        <v>0</v>
      </c>
      <c r="F538" s="4">
        <v>0</v>
      </c>
      <c r="G538" s="4">
        <v>0</v>
      </c>
      <c r="H538" s="6">
        <v>9.3228980000000004</v>
      </c>
      <c r="I538" s="6">
        <v>6.0636049999999999</v>
      </c>
      <c r="J538" s="6">
        <v>9.056108</v>
      </c>
      <c r="K538" s="7">
        <f t="shared" si="16"/>
        <v>0.23927375000000001</v>
      </c>
      <c r="L538" s="8">
        <f t="shared" si="17"/>
        <v>8.1475369999999998</v>
      </c>
      <c r="M538" s="9">
        <v>6.7361249342682797E-6</v>
      </c>
      <c r="N538" s="9">
        <v>6.3791220452413797E-5</v>
      </c>
      <c r="O538" s="2">
        <v>4.2610734664629</v>
      </c>
      <c r="P538" t="s">
        <v>2090</v>
      </c>
      <c r="Q538" s="10">
        <f>IF(N538&lt;='[1]statistical criteria'!$B$2,IF(O538&gt;=LOG('[1]statistical criteria'!$B$3,2),1,IF(O538&lt;=-1*LOG('[1]statistical criteria'!$B$3,2),2,"-")),"-")</f>
        <v>1</v>
      </c>
      <c r="R538" t="s">
        <v>1138</v>
      </c>
      <c r="S538" t="s">
        <v>1139</v>
      </c>
      <c r="T538" s="9">
        <v>4.0000000000000004E-111</v>
      </c>
      <c r="U538" t="s">
        <v>1140</v>
      </c>
    </row>
    <row r="539" spans="1:21" x14ac:dyDescent="0.35">
      <c r="A539" t="s">
        <v>2092</v>
      </c>
      <c r="B539" t="s">
        <v>2093</v>
      </c>
      <c r="C539">
        <v>585</v>
      </c>
      <c r="D539" s="4">
        <v>0</v>
      </c>
      <c r="E539" s="4">
        <v>0</v>
      </c>
      <c r="F539" s="4">
        <v>0</v>
      </c>
      <c r="G539" s="4">
        <v>0</v>
      </c>
      <c r="H539" s="6">
        <v>4.0058429999999996</v>
      </c>
      <c r="I539" s="6">
        <v>7.4176080000000004</v>
      </c>
      <c r="J539" s="6">
        <v>19.872074999999999</v>
      </c>
      <c r="K539" s="7">
        <f t="shared" si="16"/>
        <v>0</v>
      </c>
      <c r="L539" s="8">
        <f t="shared" si="17"/>
        <v>10.431842</v>
      </c>
      <c r="M539" s="9">
        <v>5.4265760262025001E-6</v>
      </c>
      <c r="N539" s="9">
        <v>5.24867810818977E-5</v>
      </c>
      <c r="O539" s="2">
        <v>4.2600923558082302</v>
      </c>
      <c r="P539" t="s">
        <v>2092</v>
      </c>
      <c r="Q539" s="10">
        <f>IF(N539&lt;='[1]statistical criteria'!$B$2,IF(O539&gt;=LOG('[1]statistical criteria'!$B$3,2),1,IF(O539&lt;=-1*LOG('[1]statistical criteria'!$B$3,2),2,"-")),"-")</f>
        <v>1</v>
      </c>
      <c r="R539" t="s">
        <v>2094</v>
      </c>
      <c r="S539" t="s">
        <v>2095</v>
      </c>
      <c r="T539" s="9">
        <v>6.0000000000000004E-90</v>
      </c>
      <c r="U539" t="s">
        <v>2096</v>
      </c>
    </row>
    <row r="540" spans="1:21" x14ac:dyDescent="0.35">
      <c r="A540" t="s">
        <v>2097</v>
      </c>
      <c r="B540" t="s">
        <v>2098</v>
      </c>
      <c r="C540">
        <v>1077</v>
      </c>
      <c r="D540" s="5">
        <v>1.281785</v>
      </c>
      <c r="E540" s="4">
        <v>0</v>
      </c>
      <c r="F540" s="5">
        <v>0.26498300000000002</v>
      </c>
      <c r="G540" s="4">
        <v>0</v>
      </c>
      <c r="H540" s="6">
        <v>6.6094569999999999</v>
      </c>
      <c r="I540" s="6">
        <v>12.497671</v>
      </c>
      <c r="J540" s="6">
        <v>18.967552999999999</v>
      </c>
      <c r="K540" s="7">
        <f t="shared" si="16"/>
        <v>0.38669199999999998</v>
      </c>
      <c r="L540" s="8">
        <f t="shared" si="17"/>
        <v>12.691560333333333</v>
      </c>
      <c r="M540" s="9">
        <v>1.7979498497626601E-6</v>
      </c>
      <c r="N540" s="9">
        <v>1.94072522070241E-5</v>
      </c>
      <c r="O540" s="2">
        <v>4.24906638460783</v>
      </c>
      <c r="P540" t="s">
        <v>2097</v>
      </c>
      <c r="Q540" s="10">
        <f>IF(N540&lt;='[1]statistical criteria'!$B$2,IF(O540&gt;=LOG('[1]statistical criteria'!$B$3,2),1,IF(O540&lt;=-1*LOG('[1]statistical criteria'!$B$3,2),2,"-")),"-")</f>
        <v>1</v>
      </c>
      <c r="S540" t="s">
        <v>292</v>
      </c>
      <c r="T540" s="9">
        <v>6.9999999999999998E-58</v>
      </c>
      <c r="U540" t="s">
        <v>293</v>
      </c>
    </row>
    <row r="541" spans="1:21" x14ac:dyDescent="0.35">
      <c r="A541" t="s">
        <v>2099</v>
      </c>
      <c r="B541" t="s">
        <v>2100</v>
      </c>
      <c r="C541">
        <v>855</v>
      </c>
      <c r="D541" s="4">
        <v>0</v>
      </c>
      <c r="E541" s="4">
        <v>0</v>
      </c>
      <c r="F541" s="4">
        <v>0</v>
      </c>
      <c r="G541" s="4">
        <v>0</v>
      </c>
      <c r="H541" s="6">
        <v>5.8174970000000004</v>
      </c>
      <c r="I541" s="6">
        <v>3.9035340000000001</v>
      </c>
      <c r="J541" s="6">
        <v>2.7624939999999998</v>
      </c>
      <c r="K541" s="7">
        <f t="shared" si="16"/>
        <v>0</v>
      </c>
      <c r="L541" s="8">
        <f t="shared" si="17"/>
        <v>4.1611750000000001</v>
      </c>
      <c r="M541" s="9">
        <v>9.0951325462539002E-12</v>
      </c>
      <c r="N541" s="9">
        <v>2.7086130259031602E-10</v>
      </c>
      <c r="O541" s="2">
        <v>4.2464257801459198</v>
      </c>
      <c r="P541" t="s">
        <v>2099</v>
      </c>
      <c r="Q541" s="10">
        <f>IF(N541&lt;='[1]statistical criteria'!$B$2,IF(O541&gt;=LOG('[1]statistical criteria'!$B$3,2),1,IF(O541&lt;=-1*LOG('[1]statistical criteria'!$B$3,2),2,"-")),"-")</f>
        <v>1</v>
      </c>
      <c r="R541" t="s">
        <v>2101</v>
      </c>
      <c r="S541" t="s">
        <v>2102</v>
      </c>
      <c r="T541" s="9">
        <v>7.9999999999999997E-74</v>
      </c>
      <c r="U541" t="s">
        <v>2103</v>
      </c>
    </row>
    <row r="542" spans="1:21" x14ac:dyDescent="0.35">
      <c r="A542" t="s">
        <v>2104</v>
      </c>
      <c r="B542" t="s">
        <v>2105</v>
      </c>
      <c r="C542">
        <v>246</v>
      </c>
      <c r="D542" s="4">
        <v>0</v>
      </c>
      <c r="E542" s="4">
        <v>0</v>
      </c>
      <c r="F542" s="4">
        <v>0</v>
      </c>
      <c r="G542" s="4">
        <v>0</v>
      </c>
      <c r="H542" s="6">
        <v>16.995984</v>
      </c>
      <c r="I542" s="6">
        <v>73.030242999999999</v>
      </c>
      <c r="J542" s="6">
        <v>39.933954999999997</v>
      </c>
      <c r="K542" s="7">
        <f t="shared" si="16"/>
        <v>0</v>
      </c>
      <c r="L542" s="8">
        <f t="shared" si="17"/>
        <v>43.32006066666667</v>
      </c>
      <c r="M542" s="9">
        <v>1.1623922024233699E-13</v>
      </c>
      <c r="N542" s="9">
        <v>4.6373844050559301E-12</v>
      </c>
      <c r="O542" s="2">
        <v>4.2410797258651902</v>
      </c>
      <c r="P542" t="s">
        <v>2104</v>
      </c>
      <c r="Q542" s="10">
        <f>IF(N542&lt;='[1]statistical criteria'!$B$2,IF(O542&gt;=LOG('[1]statistical criteria'!$B$3,2),1,IF(O542&lt;=-1*LOG('[1]statistical criteria'!$B$3,2),2,"-")),"-")</f>
        <v>1</v>
      </c>
    </row>
    <row r="543" spans="1:21" x14ac:dyDescent="0.35">
      <c r="A543" t="s">
        <v>2106</v>
      </c>
      <c r="B543" t="s">
        <v>2107</v>
      </c>
      <c r="C543">
        <v>1914</v>
      </c>
      <c r="D543" s="4">
        <v>0</v>
      </c>
      <c r="E543" s="5">
        <v>2.0086740000000001</v>
      </c>
      <c r="F543" s="4">
        <v>0</v>
      </c>
      <c r="G543" s="4">
        <v>0</v>
      </c>
      <c r="H543" s="6">
        <v>6.4796440000000004</v>
      </c>
      <c r="I543" s="6">
        <v>8.7153880000000008</v>
      </c>
      <c r="J543" s="6">
        <v>4.9995710000000004</v>
      </c>
      <c r="K543" s="7">
        <f t="shared" si="16"/>
        <v>0.50216850000000002</v>
      </c>
      <c r="L543" s="8">
        <f t="shared" si="17"/>
        <v>6.7315343333333333</v>
      </c>
      <c r="M543" s="9">
        <v>1.37829699257011E-5</v>
      </c>
      <c r="N543">
        <v>1.19494267738539E-4</v>
      </c>
      <c r="O543" s="2">
        <v>4.2405250877785301</v>
      </c>
      <c r="P543" t="s">
        <v>2106</v>
      </c>
      <c r="Q543" s="10">
        <f>IF(N543&lt;='[1]statistical criteria'!$B$2,IF(O543&gt;=LOG('[1]statistical criteria'!$B$3,2),1,IF(O543&lt;=-1*LOG('[1]statistical criteria'!$B$3,2),2,"-")),"-")</f>
        <v>1</v>
      </c>
      <c r="R543" t="s">
        <v>2108</v>
      </c>
    </row>
    <row r="544" spans="1:21" x14ac:dyDescent="0.35">
      <c r="A544" t="s">
        <v>2109</v>
      </c>
      <c r="B544" t="s">
        <v>2110</v>
      </c>
      <c r="C544">
        <v>912</v>
      </c>
      <c r="D544" s="4">
        <v>0</v>
      </c>
      <c r="E544" s="4">
        <v>0</v>
      </c>
      <c r="F544" s="4">
        <v>0</v>
      </c>
      <c r="G544" s="5">
        <v>0.15278900000000001</v>
      </c>
      <c r="H544" s="6">
        <v>9.1891449999999999</v>
      </c>
      <c r="I544" s="6">
        <v>9.5291219999999992</v>
      </c>
      <c r="J544" s="6">
        <v>6.8349659999999997</v>
      </c>
      <c r="K544" s="7">
        <f t="shared" si="16"/>
        <v>3.8197250000000002E-2</v>
      </c>
      <c r="L544" s="8">
        <f t="shared" si="17"/>
        <v>8.5177443333333329</v>
      </c>
      <c r="M544" s="9">
        <v>7.2964328025726996E-6</v>
      </c>
      <c r="N544" s="9">
        <v>6.8455836484110298E-5</v>
      </c>
      <c r="O544" s="2">
        <v>4.2385033533564904</v>
      </c>
      <c r="P544" t="s">
        <v>2109</v>
      </c>
      <c r="Q544" s="10">
        <f>IF(N544&lt;='[1]statistical criteria'!$B$2,IF(O544&gt;=LOG('[1]statistical criteria'!$B$3,2),1,IF(O544&lt;=-1*LOG('[1]statistical criteria'!$B$3,2),2,"-")),"-")</f>
        <v>1</v>
      </c>
      <c r="R544" t="s">
        <v>2111</v>
      </c>
      <c r="S544" t="s">
        <v>2112</v>
      </c>
      <c r="T544" s="9">
        <v>4.0000000000000001E-127</v>
      </c>
      <c r="U544" t="s">
        <v>2113</v>
      </c>
    </row>
    <row r="545" spans="1:21" x14ac:dyDescent="0.35">
      <c r="A545" t="s">
        <v>2114</v>
      </c>
      <c r="B545" t="s">
        <v>2115</v>
      </c>
      <c r="C545">
        <v>861</v>
      </c>
      <c r="D545" s="5">
        <v>0.68929600000000002</v>
      </c>
      <c r="E545" s="4">
        <v>0</v>
      </c>
      <c r="F545" s="5">
        <v>0.18890199999999999</v>
      </c>
      <c r="G545" s="4">
        <v>0</v>
      </c>
      <c r="H545" s="6">
        <v>16.228529999999999</v>
      </c>
      <c r="I545" s="6">
        <v>5.464518</v>
      </c>
      <c r="J545" s="6">
        <v>12.350873999999999</v>
      </c>
      <c r="K545" s="7">
        <f t="shared" si="16"/>
        <v>0.21954950000000001</v>
      </c>
      <c r="L545" s="8">
        <f t="shared" si="17"/>
        <v>11.347973999999999</v>
      </c>
      <c r="M545" s="9">
        <v>1.21138091361478E-7</v>
      </c>
      <c r="N545" s="9">
        <v>1.703182769567E-6</v>
      </c>
      <c r="O545" s="2">
        <v>4.2384133756214704</v>
      </c>
      <c r="P545" t="s">
        <v>2114</v>
      </c>
      <c r="Q545" s="10">
        <f>IF(N545&lt;='[1]statistical criteria'!$B$2,IF(O545&gt;=LOG('[1]statistical criteria'!$B$3,2),1,IF(O545&lt;=-1*LOG('[1]statistical criteria'!$B$3,2),2,"-")),"-")</f>
        <v>1</v>
      </c>
      <c r="R545" t="s">
        <v>310</v>
      </c>
      <c r="S545" t="s">
        <v>2116</v>
      </c>
      <c r="T545" s="9">
        <v>9.9999999999999993E-78</v>
      </c>
      <c r="U545" t="s">
        <v>311</v>
      </c>
    </row>
    <row r="546" spans="1:21" x14ac:dyDescent="0.35">
      <c r="A546" t="s">
        <v>2117</v>
      </c>
      <c r="B546" t="s">
        <v>2118</v>
      </c>
      <c r="C546">
        <v>1512</v>
      </c>
      <c r="D546" s="4">
        <v>0</v>
      </c>
      <c r="E546" s="4">
        <v>0</v>
      </c>
      <c r="F546" s="4">
        <v>0</v>
      </c>
      <c r="G546" s="4">
        <v>0</v>
      </c>
      <c r="H546" s="6">
        <v>2.475187</v>
      </c>
      <c r="I546" s="6">
        <v>2.2990339999999998</v>
      </c>
      <c r="J546" s="6">
        <v>2.1036950000000001</v>
      </c>
      <c r="K546" s="7">
        <f t="shared" si="16"/>
        <v>0</v>
      </c>
      <c r="L546" s="8">
        <f t="shared" si="17"/>
        <v>2.2926386666666665</v>
      </c>
      <c r="M546" s="9">
        <v>5.9231844275744999E-6</v>
      </c>
      <c r="N546" s="9">
        <v>5.67563945905049E-5</v>
      </c>
      <c r="O546" s="2">
        <v>4.2376846434048803</v>
      </c>
      <c r="P546" t="s">
        <v>2117</v>
      </c>
      <c r="Q546" s="10">
        <f>IF(N546&lt;='[1]statistical criteria'!$B$2,IF(O546&gt;=LOG('[1]statistical criteria'!$B$3,2),1,IF(O546&lt;=-1*LOG('[1]statistical criteria'!$B$3,2),2,"-")),"-")</f>
        <v>1</v>
      </c>
      <c r="R546" t="s">
        <v>980</v>
      </c>
      <c r="S546" t="s">
        <v>2119</v>
      </c>
      <c r="T546" s="9">
        <v>4.0000000000000001E-13</v>
      </c>
      <c r="U546" t="s">
        <v>2120</v>
      </c>
    </row>
    <row r="547" spans="1:21" x14ac:dyDescent="0.35">
      <c r="A547" t="s">
        <v>115</v>
      </c>
      <c r="B547" t="s">
        <v>116</v>
      </c>
      <c r="C547">
        <v>258</v>
      </c>
      <c r="D547" s="5">
        <v>13.309248999999999</v>
      </c>
      <c r="E547" s="4">
        <v>0</v>
      </c>
      <c r="F547" s="4">
        <v>0</v>
      </c>
      <c r="G547" s="4">
        <v>0</v>
      </c>
      <c r="H547" s="6">
        <v>66.095495</v>
      </c>
      <c r="I547" s="6">
        <v>102.69878</v>
      </c>
      <c r="J547" s="6">
        <v>70.471686000000005</v>
      </c>
      <c r="K547" s="7">
        <f t="shared" si="16"/>
        <v>3.3273122499999999</v>
      </c>
      <c r="L547" s="8">
        <f t="shared" si="17"/>
        <v>79.75532033333333</v>
      </c>
      <c r="M547" s="9">
        <v>1.01377420373072E-5</v>
      </c>
      <c r="N547" s="9">
        <v>9.1237281139728394E-5</v>
      </c>
      <c r="O547" s="2">
        <v>4.23698710127921</v>
      </c>
      <c r="P547" t="s">
        <v>115</v>
      </c>
      <c r="Q547" s="10">
        <f>IF(N547&lt;='[1]statistical criteria'!$B$2,IF(O547&gt;=LOG('[1]statistical criteria'!$B$3,2),1,IF(O547&lt;=-1*LOG('[1]statistical criteria'!$B$3,2),2,"-")),"-")</f>
        <v>1</v>
      </c>
      <c r="R547" t="s">
        <v>117</v>
      </c>
    </row>
    <row r="548" spans="1:21" x14ac:dyDescent="0.35">
      <c r="A548" t="s">
        <v>2121</v>
      </c>
      <c r="C548">
        <v>234</v>
      </c>
      <c r="D548" s="4">
        <v>0</v>
      </c>
      <c r="E548" s="4">
        <v>0</v>
      </c>
      <c r="F548" s="4">
        <v>0</v>
      </c>
      <c r="G548" s="5">
        <v>4.8955479999999998</v>
      </c>
      <c r="H548" s="6">
        <v>158.430307</v>
      </c>
      <c r="I548" s="6">
        <v>42.600974999999998</v>
      </c>
      <c r="J548" s="6">
        <v>69.116461000000001</v>
      </c>
      <c r="K548" s="7">
        <f t="shared" si="16"/>
        <v>1.2238869999999999</v>
      </c>
      <c r="L548" s="8">
        <f t="shared" si="17"/>
        <v>90.049247666666659</v>
      </c>
      <c r="M548" s="9">
        <v>5.4352221617190404E-7</v>
      </c>
      <c r="N548" s="9">
        <v>6.6580159470558999E-6</v>
      </c>
      <c r="O548" s="2">
        <v>4.2343491570980198</v>
      </c>
      <c r="P548" t="s">
        <v>2121</v>
      </c>
      <c r="Q548" s="10">
        <f>IF(N548&lt;='[1]statistical criteria'!$B$2,IF(O548&gt;=LOG('[1]statistical criteria'!$B$3,2),1,IF(O548&lt;=-1*LOG('[1]statistical criteria'!$B$3,2),2,"-")),"-")</f>
        <v>1</v>
      </c>
    </row>
    <row r="549" spans="1:21" x14ac:dyDescent="0.35">
      <c r="A549" t="s">
        <v>2122</v>
      </c>
      <c r="B549" t="s">
        <v>2123</v>
      </c>
      <c r="C549">
        <v>1722</v>
      </c>
      <c r="D549" s="4">
        <v>0</v>
      </c>
      <c r="E549" s="4">
        <v>0</v>
      </c>
      <c r="F549" s="5">
        <v>0.95404900000000004</v>
      </c>
      <c r="G549" s="5">
        <v>0.78534099999999996</v>
      </c>
      <c r="H549" s="6">
        <v>15.420750999999999</v>
      </c>
      <c r="I549" s="6">
        <v>6.5131040000000002</v>
      </c>
      <c r="J549" s="6">
        <v>13.66531</v>
      </c>
      <c r="K549" s="7">
        <f t="shared" si="16"/>
        <v>0.4348475</v>
      </c>
      <c r="L549" s="8">
        <f t="shared" si="17"/>
        <v>11.866388333333333</v>
      </c>
      <c r="M549" s="9">
        <v>1.20505689732455E-7</v>
      </c>
      <c r="N549" s="9">
        <v>1.6955440115405599E-6</v>
      </c>
      <c r="O549" s="2">
        <v>4.2312872178434304</v>
      </c>
      <c r="P549" t="s">
        <v>2122</v>
      </c>
      <c r="Q549" s="10">
        <f>IF(N549&lt;='[1]statistical criteria'!$B$2,IF(O549&gt;=LOG('[1]statistical criteria'!$B$3,2),1,IF(O549&lt;=-1*LOG('[1]statistical criteria'!$B$3,2),2,"-")),"-")</f>
        <v>1</v>
      </c>
      <c r="R549" t="s">
        <v>2124</v>
      </c>
      <c r="S549" t="s">
        <v>2125</v>
      </c>
      <c r="T549">
        <v>0</v>
      </c>
      <c r="U549" t="s">
        <v>2126</v>
      </c>
    </row>
    <row r="550" spans="1:21" x14ac:dyDescent="0.35">
      <c r="A550" t="s">
        <v>2127</v>
      </c>
      <c r="B550" t="s">
        <v>2128</v>
      </c>
      <c r="C550">
        <v>1410</v>
      </c>
      <c r="D550" s="5">
        <v>0.13828599999999999</v>
      </c>
      <c r="E550" s="4">
        <v>0</v>
      </c>
      <c r="F550" s="4">
        <v>0</v>
      </c>
      <c r="G550" s="4">
        <v>0</v>
      </c>
      <c r="H550" s="6">
        <v>2.6380050000000002</v>
      </c>
      <c r="I550" s="6">
        <v>3.9294199999999999</v>
      </c>
      <c r="J550" s="6">
        <v>3.4537930000000001</v>
      </c>
      <c r="K550" s="7">
        <f t="shared" si="16"/>
        <v>3.4571499999999998E-2</v>
      </c>
      <c r="L550" s="8">
        <f t="shared" si="17"/>
        <v>3.3404060000000002</v>
      </c>
      <c r="M550" s="9">
        <v>3.8045380597197902E-7</v>
      </c>
      <c r="N550" s="9">
        <v>4.8299105588037103E-6</v>
      </c>
      <c r="O550" s="2">
        <v>4.2307635675162603</v>
      </c>
      <c r="P550" t="s">
        <v>2127</v>
      </c>
      <c r="Q550" s="10">
        <f>IF(N550&lt;='[1]statistical criteria'!$B$2,IF(O550&gt;=LOG('[1]statistical criteria'!$B$3,2),1,IF(O550&lt;=-1*LOG('[1]statistical criteria'!$B$3,2),2,"-")),"-")</f>
        <v>1</v>
      </c>
      <c r="R550" t="s">
        <v>1466</v>
      </c>
      <c r="S550" t="s">
        <v>1467</v>
      </c>
      <c r="T550">
        <v>0</v>
      </c>
      <c r="U550" t="s">
        <v>1468</v>
      </c>
    </row>
    <row r="551" spans="1:21" x14ac:dyDescent="0.35">
      <c r="A551" t="s">
        <v>2129</v>
      </c>
      <c r="B551" t="s">
        <v>2130</v>
      </c>
      <c r="C551">
        <v>1935</v>
      </c>
      <c r="D551" s="5">
        <v>2.1706789999999998</v>
      </c>
      <c r="E551" s="4">
        <v>0</v>
      </c>
      <c r="F551" s="5">
        <v>0.185223</v>
      </c>
      <c r="G551" s="4">
        <v>0</v>
      </c>
      <c r="H551" s="6">
        <v>9.6973859999999998</v>
      </c>
      <c r="I551" s="6">
        <v>9.1197269999999993</v>
      </c>
      <c r="J551" s="6">
        <v>8.1600719999999995</v>
      </c>
      <c r="K551" s="7">
        <f t="shared" si="16"/>
        <v>0.58897549999999999</v>
      </c>
      <c r="L551" s="8">
        <f t="shared" si="17"/>
        <v>8.9923950000000001</v>
      </c>
      <c r="M551" s="9">
        <v>3.2295886244273499E-7</v>
      </c>
      <c r="N551" s="9">
        <v>4.1541694887307398E-6</v>
      </c>
      <c r="O551" s="2">
        <v>4.2280919952548999</v>
      </c>
      <c r="P551" t="s">
        <v>2129</v>
      </c>
      <c r="Q551" s="10">
        <f>IF(N551&lt;='[1]statistical criteria'!$B$2,IF(O551&gt;=LOG('[1]statistical criteria'!$B$3,2),1,IF(O551&lt;=-1*LOG('[1]statistical criteria'!$B$3,2),2,"-")),"-")</f>
        <v>1</v>
      </c>
      <c r="R551" t="s">
        <v>2131</v>
      </c>
    </row>
    <row r="552" spans="1:21" x14ac:dyDescent="0.35">
      <c r="A552" t="s">
        <v>2132</v>
      </c>
      <c r="B552" t="s">
        <v>2133</v>
      </c>
      <c r="C552">
        <v>1449</v>
      </c>
      <c r="D552" s="5">
        <v>2.6570969999999998</v>
      </c>
      <c r="E552" s="4">
        <v>0</v>
      </c>
      <c r="F552" s="4">
        <v>0</v>
      </c>
      <c r="G552" s="5">
        <v>1.8616109999999999</v>
      </c>
      <c r="H552" s="6">
        <v>32.821438000000001</v>
      </c>
      <c r="I552" s="6">
        <v>6.7046910000000004</v>
      </c>
      <c r="J552" s="6">
        <v>19.567928999999999</v>
      </c>
      <c r="K552" s="7">
        <f t="shared" si="16"/>
        <v>1.129677</v>
      </c>
      <c r="L552" s="8">
        <f t="shared" si="17"/>
        <v>19.698019333333331</v>
      </c>
      <c r="M552" s="9">
        <v>1.17944082839958E-5</v>
      </c>
      <c r="N552">
        <v>1.03934980154869E-4</v>
      </c>
      <c r="O552" s="2">
        <v>4.2275253101388097</v>
      </c>
      <c r="P552" t="s">
        <v>2132</v>
      </c>
      <c r="Q552" s="10">
        <f>IF(N552&lt;='[1]statistical criteria'!$B$2,IF(O552&gt;=LOG('[1]statistical criteria'!$B$3,2),1,IF(O552&lt;=-1*LOG('[1]statistical criteria'!$B$3,2),2,"-")),"-")</f>
        <v>1</v>
      </c>
      <c r="R552" t="s">
        <v>653</v>
      </c>
    </row>
    <row r="553" spans="1:21" x14ac:dyDescent="0.35">
      <c r="A553" t="s">
        <v>2134</v>
      </c>
      <c r="B553" t="s">
        <v>2135</v>
      </c>
      <c r="C553">
        <v>729</v>
      </c>
      <c r="D553" s="4">
        <v>0</v>
      </c>
      <c r="E553" s="4">
        <v>0</v>
      </c>
      <c r="F553" s="4">
        <v>0</v>
      </c>
      <c r="G553" s="5">
        <v>0.28132600000000002</v>
      </c>
      <c r="H553" s="6">
        <v>6.4026800000000001</v>
      </c>
      <c r="I553" s="6">
        <v>16.739215999999999</v>
      </c>
      <c r="J553" s="6">
        <v>8.1577500000000001</v>
      </c>
      <c r="K553" s="7">
        <f t="shared" si="16"/>
        <v>7.0331500000000005E-2</v>
      </c>
      <c r="L553" s="8">
        <f t="shared" si="17"/>
        <v>10.433215333333333</v>
      </c>
      <c r="M553" s="9">
        <v>8.6402071042488594E-6</v>
      </c>
      <c r="N553" s="9">
        <v>7.9566001061628694E-5</v>
      </c>
      <c r="O553" s="2">
        <v>4.2269053630481404</v>
      </c>
      <c r="P553" t="s">
        <v>2134</v>
      </c>
      <c r="Q553" s="10">
        <f>IF(N553&lt;='[1]statistical criteria'!$B$2,IF(O553&gt;=LOG('[1]statistical criteria'!$B$3,2),1,IF(O553&lt;=-1*LOG('[1]statistical criteria'!$B$3,2),2,"-")),"-")</f>
        <v>1</v>
      </c>
      <c r="R553" t="s">
        <v>2136</v>
      </c>
      <c r="S553" t="s">
        <v>2137</v>
      </c>
      <c r="T553" s="9">
        <v>9.9999999999999997E-106</v>
      </c>
      <c r="U553" t="s">
        <v>745</v>
      </c>
    </row>
    <row r="554" spans="1:21" x14ac:dyDescent="0.35">
      <c r="A554" t="s">
        <v>2138</v>
      </c>
      <c r="C554">
        <v>276</v>
      </c>
      <c r="D554" s="4">
        <v>0</v>
      </c>
      <c r="E554" s="4">
        <v>0</v>
      </c>
      <c r="F554" s="4">
        <v>0</v>
      </c>
      <c r="G554" s="5">
        <v>5.1232480000000002</v>
      </c>
      <c r="H554" s="6">
        <v>88.537221000000002</v>
      </c>
      <c r="I554" s="6">
        <v>75.548528000000005</v>
      </c>
      <c r="J554" s="6">
        <v>23.907246000000001</v>
      </c>
      <c r="K554" s="7">
        <f t="shared" si="16"/>
        <v>1.2808120000000001</v>
      </c>
      <c r="L554" s="8">
        <f t="shared" si="17"/>
        <v>62.664331666666669</v>
      </c>
      <c r="M554" s="9">
        <v>4.0196541135681403E-5</v>
      </c>
      <c r="N554">
        <v>3.0869256570299303E-4</v>
      </c>
      <c r="O554" s="2">
        <v>4.2248936001117299</v>
      </c>
      <c r="P554" t="s">
        <v>2138</v>
      </c>
      <c r="Q554" s="10">
        <f>IF(N554&lt;='[1]statistical criteria'!$B$2,IF(O554&gt;=LOG('[1]statistical criteria'!$B$3,2),1,IF(O554&lt;=-1*LOG('[1]statistical criteria'!$B$3,2),2,"-")),"-")</f>
        <v>1</v>
      </c>
      <c r="R554" t="s">
        <v>2139</v>
      </c>
    </row>
    <row r="555" spans="1:21" x14ac:dyDescent="0.35">
      <c r="A555" t="s">
        <v>2140</v>
      </c>
      <c r="C555">
        <v>738</v>
      </c>
      <c r="D555" s="4">
        <v>0</v>
      </c>
      <c r="E555" s="4">
        <v>0</v>
      </c>
      <c r="F555" s="5">
        <v>1.722901</v>
      </c>
      <c r="G555" s="4">
        <v>0</v>
      </c>
      <c r="H555" s="6">
        <v>15.749833000000001</v>
      </c>
      <c r="I555" s="6">
        <v>16.153756999999999</v>
      </c>
      <c r="J555" s="6">
        <v>5.622579</v>
      </c>
      <c r="K555" s="7">
        <f t="shared" si="16"/>
        <v>0.43072525</v>
      </c>
      <c r="L555" s="8">
        <f t="shared" si="17"/>
        <v>12.508723000000002</v>
      </c>
      <c r="M555" s="9">
        <v>9.6629925312326899E-6</v>
      </c>
      <c r="N555" s="9">
        <v>8.7669486469300596E-5</v>
      </c>
      <c r="O555" s="2">
        <v>4.2228028384943199</v>
      </c>
      <c r="P555" t="s">
        <v>2140</v>
      </c>
      <c r="Q555" s="10">
        <f>IF(N555&lt;='[1]statistical criteria'!$B$2,IF(O555&gt;=LOG('[1]statistical criteria'!$B$3,2),1,IF(O555&lt;=-1*LOG('[1]statistical criteria'!$B$3,2),2,"-")),"-")</f>
        <v>1</v>
      </c>
      <c r="S555" t="s">
        <v>2141</v>
      </c>
      <c r="T555">
        <v>4</v>
      </c>
      <c r="U555" t="s">
        <v>2142</v>
      </c>
    </row>
    <row r="556" spans="1:21" x14ac:dyDescent="0.35">
      <c r="A556" t="s">
        <v>2143</v>
      </c>
      <c r="B556" t="s">
        <v>2144</v>
      </c>
      <c r="C556">
        <v>249</v>
      </c>
      <c r="D556" s="5">
        <v>19.749207999999999</v>
      </c>
      <c r="E556" s="4">
        <v>0</v>
      </c>
      <c r="F556" s="4">
        <v>0</v>
      </c>
      <c r="G556" s="4">
        <v>0</v>
      </c>
      <c r="H556" s="6">
        <v>91.516839000000004</v>
      </c>
      <c r="I556" s="6">
        <v>128.926468</v>
      </c>
      <c r="J556" s="6">
        <v>63.238522000000003</v>
      </c>
      <c r="K556" s="7">
        <f t="shared" si="16"/>
        <v>4.9373019999999999</v>
      </c>
      <c r="L556" s="8">
        <f t="shared" si="17"/>
        <v>94.560609666666664</v>
      </c>
      <c r="M556" s="9">
        <v>3.39899448481822E-5</v>
      </c>
      <c r="N556">
        <v>2.6711899668011799E-4</v>
      </c>
      <c r="O556" s="2">
        <v>4.2159658851685604</v>
      </c>
      <c r="P556" t="s">
        <v>2143</v>
      </c>
      <c r="Q556" s="10">
        <f>IF(N556&lt;='[1]statistical criteria'!$B$2,IF(O556&gt;=LOG('[1]statistical criteria'!$B$3,2),1,IF(O556&lt;=-1*LOG('[1]statistical criteria'!$B$3,2),2,"-")),"-")</f>
        <v>1</v>
      </c>
      <c r="R556" t="s">
        <v>2145</v>
      </c>
    </row>
    <row r="557" spans="1:21" x14ac:dyDescent="0.35">
      <c r="A557" t="s">
        <v>326</v>
      </c>
      <c r="B557" t="s">
        <v>327</v>
      </c>
      <c r="C557">
        <v>450</v>
      </c>
      <c r="D557" s="4">
        <v>0</v>
      </c>
      <c r="E557" s="4">
        <v>0</v>
      </c>
      <c r="F557" s="4">
        <v>0</v>
      </c>
      <c r="G557" s="4">
        <v>0</v>
      </c>
      <c r="H557" s="6">
        <v>7.694699</v>
      </c>
      <c r="I557" s="6">
        <v>21.361346000000001</v>
      </c>
      <c r="J557" s="6">
        <v>7.9303970000000001</v>
      </c>
      <c r="K557" s="7">
        <f t="shared" si="16"/>
        <v>0</v>
      </c>
      <c r="L557" s="8">
        <f t="shared" si="17"/>
        <v>12.328814000000001</v>
      </c>
      <c r="M557" s="9">
        <v>4.7272484708948201E-6</v>
      </c>
      <c r="N557" s="9">
        <v>4.63708960830559E-5</v>
      </c>
      <c r="O557" s="2">
        <v>4.2101035241550804</v>
      </c>
      <c r="P557" t="s">
        <v>326</v>
      </c>
      <c r="Q557" s="10">
        <f>IF(N557&lt;='[1]statistical criteria'!$B$2,IF(O557&gt;=LOG('[1]statistical criteria'!$B$3,2),1,IF(O557&lt;=-1*LOG('[1]statistical criteria'!$B$3,2),2,"-")),"-")</f>
        <v>1</v>
      </c>
      <c r="R557" t="s">
        <v>328</v>
      </c>
      <c r="S557" t="s">
        <v>329</v>
      </c>
      <c r="T557" s="9">
        <v>3.9999999999999997E-40</v>
      </c>
      <c r="U557" t="s">
        <v>211</v>
      </c>
    </row>
    <row r="558" spans="1:21" x14ac:dyDescent="0.35">
      <c r="A558" t="s">
        <v>2146</v>
      </c>
      <c r="B558" t="s">
        <v>2147</v>
      </c>
      <c r="C558">
        <v>453</v>
      </c>
      <c r="D558" s="5">
        <v>0.28966599999999998</v>
      </c>
      <c r="E558" s="4">
        <v>0</v>
      </c>
      <c r="F558" s="4">
        <v>0</v>
      </c>
      <c r="G558" s="4">
        <v>0</v>
      </c>
      <c r="H558" s="6">
        <v>21.654287</v>
      </c>
      <c r="I558" s="6">
        <v>5.5715769999999996</v>
      </c>
      <c r="J558" s="6">
        <v>19.625643</v>
      </c>
      <c r="K558" s="7">
        <f t="shared" si="16"/>
        <v>7.2416499999999995E-2</v>
      </c>
      <c r="L558" s="8">
        <f t="shared" si="17"/>
        <v>15.617168999999999</v>
      </c>
      <c r="M558" s="9">
        <v>1.01807493518691E-5</v>
      </c>
      <c r="N558" s="9">
        <v>9.1537755807261301E-5</v>
      </c>
      <c r="O558" s="2">
        <v>4.2099920858610496</v>
      </c>
      <c r="P558" t="s">
        <v>2146</v>
      </c>
      <c r="Q558" s="10">
        <f>IF(N558&lt;='[1]statistical criteria'!$B$2,IF(O558&gt;=LOG('[1]statistical criteria'!$B$3,2),1,IF(O558&lt;=-1*LOG('[1]statistical criteria'!$B$3,2),2,"-")),"-")</f>
        <v>1</v>
      </c>
      <c r="R558" t="s">
        <v>2148</v>
      </c>
      <c r="S558" t="s">
        <v>2149</v>
      </c>
      <c r="T558" s="9">
        <v>3.0000000000000001E-86</v>
      </c>
      <c r="U558" t="s">
        <v>2150</v>
      </c>
    </row>
    <row r="559" spans="1:21" x14ac:dyDescent="0.35">
      <c r="A559" t="s">
        <v>2151</v>
      </c>
      <c r="B559" t="s">
        <v>2152</v>
      </c>
      <c r="C559">
        <v>612</v>
      </c>
      <c r="D559" s="4">
        <v>0</v>
      </c>
      <c r="E559" s="5">
        <v>1.8704240000000001</v>
      </c>
      <c r="F559" s="4">
        <v>0</v>
      </c>
      <c r="G559" s="4">
        <v>0</v>
      </c>
      <c r="H559" s="6">
        <v>20.729766999999999</v>
      </c>
      <c r="I559" s="6">
        <v>4.2216690000000003</v>
      </c>
      <c r="J559" s="6">
        <v>13.271113</v>
      </c>
      <c r="K559" s="7">
        <f t="shared" si="16"/>
        <v>0.46760600000000002</v>
      </c>
      <c r="L559" s="8">
        <f t="shared" si="17"/>
        <v>12.740849666666668</v>
      </c>
      <c r="M559" s="9">
        <v>7.0046120342026197E-6</v>
      </c>
      <c r="N559" s="9">
        <v>6.6070764317658395E-5</v>
      </c>
      <c r="O559" s="2">
        <v>4.2086483279270102</v>
      </c>
      <c r="P559" t="s">
        <v>2151</v>
      </c>
      <c r="Q559" s="10">
        <f>IF(N559&lt;='[1]statistical criteria'!$B$2,IF(O559&gt;=LOG('[1]statistical criteria'!$B$3,2),1,IF(O559&lt;=-1*LOG('[1]statistical criteria'!$B$3,2),2,"-")),"-")</f>
        <v>1</v>
      </c>
      <c r="R559" t="s">
        <v>140</v>
      </c>
    </row>
    <row r="560" spans="1:21" x14ac:dyDescent="0.35">
      <c r="A560" t="s">
        <v>2153</v>
      </c>
      <c r="B560" t="s">
        <v>2154</v>
      </c>
      <c r="C560">
        <v>774</v>
      </c>
      <c r="D560" s="5">
        <v>1.94495</v>
      </c>
      <c r="E560" s="4">
        <v>0</v>
      </c>
      <c r="F560" s="4">
        <v>0</v>
      </c>
      <c r="G560" s="4">
        <v>0</v>
      </c>
      <c r="H560" s="6">
        <v>8.7481910000000003</v>
      </c>
      <c r="I560" s="6">
        <v>12.867737</v>
      </c>
      <c r="J560" s="6">
        <v>10.178694</v>
      </c>
      <c r="K560" s="7">
        <f t="shared" si="16"/>
        <v>0.48623749999999999</v>
      </c>
      <c r="L560" s="8">
        <f t="shared" si="17"/>
        <v>10.598207333333333</v>
      </c>
      <c r="M560" s="9">
        <v>3.51256900624005E-8</v>
      </c>
      <c r="N560" s="9">
        <v>5.6310995308802298E-7</v>
      </c>
      <c r="O560" s="2">
        <v>4.2082337137029304</v>
      </c>
      <c r="P560" t="s">
        <v>2153</v>
      </c>
      <c r="Q560" s="10">
        <f>IF(N560&lt;='[1]statistical criteria'!$B$2,IF(O560&gt;=LOG('[1]statistical criteria'!$B$3,2),1,IF(O560&lt;=-1*LOG('[1]statistical criteria'!$B$3,2),2,"-")),"-")</f>
        <v>1</v>
      </c>
      <c r="R560" t="s">
        <v>980</v>
      </c>
      <c r="S560" t="s">
        <v>1671</v>
      </c>
      <c r="T560" s="9">
        <v>3.0000000000000001E-80</v>
      </c>
      <c r="U560" t="s">
        <v>982</v>
      </c>
    </row>
    <row r="561" spans="1:21" x14ac:dyDescent="0.35">
      <c r="A561" t="s">
        <v>2155</v>
      </c>
      <c r="B561" t="s">
        <v>2156</v>
      </c>
      <c r="C561">
        <v>1315</v>
      </c>
      <c r="D561" s="5">
        <v>0.518845</v>
      </c>
      <c r="E561" s="4">
        <v>0</v>
      </c>
      <c r="F561" s="4">
        <v>0</v>
      </c>
      <c r="G561" s="4">
        <v>0</v>
      </c>
      <c r="H561" s="6">
        <v>5.6186990000000003</v>
      </c>
      <c r="I561" s="6">
        <v>8.8851829999999996</v>
      </c>
      <c r="J561" s="6">
        <v>2.386199</v>
      </c>
      <c r="K561" s="7">
        <f t="shared" si="16"/>
        <v>0.12971125</v>
      </c>
      <c r="L561" s="8">
        <f t="shared" si="17"/>
        <v>5.630027000000001</v>
      </c>
      <c r="M561" s="9">
        <v>9.4169978310550598E-6</v>
      </c>
      <c r="N561" s="9">
        <v>8.5641801063310807E-5</v>
      </c>
      <c r="O561" s="2">
        <v>4.2070368341209399</v>
      </c>
      <c r="P561" t="s">
        <v>2155</v>
      </c>
      <c r="Q561" s="10">
        <f>IF(N561&lt;='[1]statistical criteria'!$B$2,IF(O561&gt;=LOG('[1]statistical criteria'!$B$3,2),1,IF(O561&lt;=-1*LOG('[1]statistical criteria'!$B$3,2),2,"-")),"-")</f>
        <v>1</v>
      </c>
      <c r="R561" t="s">
        <v>532</v>
      </c>
      <c r="S561" t="s">
        <v>533</v>
      </c>
      <c r="T561">
        <v>0</v>
      </c>
      <c r="U561" t="s">
        <v>534</v>
      </c>
    </row>
    <row r="562" spans="1:21" x14ac:dyDescent="0.35">
      <c r="A562" t="s">
        <v>2157</v>
      </c>
      <c r="B562" t="s">
        <v>2158</v>
      </c>
      <c r="C562">
        <v>981</v>
      </c>
      <c r="D562" s="4">
        <v>0</v>
      </c>
      <c r="E562" s="4">
        <v>0</v>
      </c>
      <c r="F562" s="4">
        <v>0</v>
      </c>
      <c r="G562" s="4">
        <v>0</v>
      </c>
      <c r="H562" s="6">
        <v>4.1872429999999996</v>
      </c>
      <c r="I562" s="6">
        <v>0.57948599999999995</v>
      </c>
      <c r="J562" s="6">
        <v>7.6294300000000002</v>
      </c>
      <c r="K562" s="7">
        <f t="shared" si="16"/>
        <v>0</v>
      </c>
      <c r="L562" s="8">
        <f t="shared" si="17"/>
        <v>4.132053</v>
      </c>
      <c r="M562" s="9">
        <v>1.7269115876627001E-7</v>
      </c>
      <c r="N562" s="9">
        <v>2.3524071233515498E-6</v>
      </c>
      <c r="O562" s="2">
        <v>4.2057125430001303</v>
      </c>
      <c r="P562" t="s">
        <v>2157</v>
      </c>
      <c r="Q562" s="10">
        <f>IF(N562&lt;='[1]statistical criteria'!$B$2,IF(O562&gt;=LOG('[1]statistical criteria'!$B$3,2),1,IF(O562&lt;=-1*LOG('[1]statistical criteria'!$B$3,2),2,"-")),"-")</f>
        <v>1</v>
      </c>
      <c r="R562" t="s">
        <v>1916</v>
      </c>
      <c r="S562" t="s">
        <v>1917</v>
      </c>
      <c r="T562" s="9">
        <v>9.9999999999999999E-56</v>
      </c>
      <c r="U562" t="s">
        <v>1918</v>
      </c>
    </row>
    <row r="563" spans="1:21" x14ac:dyDescent="0.35">
      <c r="A563" t="s">
        <v>2159</v>
      </c>
      <c r="B563" t="s">
        <v>2160</v>
      </c>
      <c r="C563">
        <v>1089</v>
      </c>
      <c r="D563" s="4">
        <v>0</v>
      </c>
      <c r="E563" s="4">
        <v>0</v>
      </c>
      <c r="F563" s="5">
        <v>1.4238329999999999</v>
      </c>
      <c r="G563" s="4">
        <v>0</v>
      </c>
      <c r="H563" s="6">
        <v>15.741315999999999</v>
      </c>
      <c r="I563" s="6">
        <v>7.2277760000000004</v>
      </c>
      <c r="J563" s="6">
        <v>2.5833740000000001</v>
      </c>
      <c r="K563" s="7">
        <f t="shared" si="16"/>
        <v>0.35595824999999998</v>
      </c>
      <c r="L563" s="8">
        <f t="shared" si="17"/>
        <v>8.5174886666666669</v>
      </c>
      <c r="M563" s="9">
        <v>1.7660509105318E-6</v>
      </c>
      <c r="N563" s="9">
        <v>1.9090002174052901E-5</v>
      </c>
      <c r="O563" s="2">
        <v>4.2052695195798604</v>
      </c>
      <c r="P563" t="s">
        <v>2159</v>
      </c>
      <c r="Q563" s="10">
        <f>IF(N563&lt;='[1]statistical criteria'!$B$2,IF(O563&gt;=LOG('[1]statistical criteria'!$B$3,2),1,IF(O563&lt;=-1*LOG('[1]statistical criteria'!$B$3,2),2,"-")),"-")</f>
        <v>1</v>
      </c>
      <c r="R563" t="s">
        <v>527</v>
      </c>
      <c r="S563" t="s">
        <v>528</v>
      </c>
      <c r="T563" s="9">
        <v>9.9999999999999995E-58</v>
      </c>
      <c r="U563" t="s">
        <v>529</v>
      </c>
    </row>
    <row r="564" spans="1:21" x14ac:dyDescent="0.35">
      <c r="A564" t="s">
        <v>2161</v>
      </c>
      <c r="B564" t="s">
        <v>2162</v>
      </c>
      <c r="C564">
        <v>468</v>
      </c>
      <c r="D564" s="5">
        <v>5.3123120000000004</v>
      </c>
      <c r="E564" s="4">
        <v>0</v>
      </c>
      <c r="F564" s="5">
        <v>1.2047760000000001</v>
      </c>
      <c r="G564" s="5">
        <v>1.777819</v>
      </c>
      <c r="H564" s="6">
        <v>134.95318900000001</v>
      </c>
      <c r="I564" s="6">
        <v>147.88624300000001</v>
      </c>
      <c r="J564" s="6">
        <v>125.20551</v>
      </c>
      <c r="K564" s="7">
        <f t="shared" si="16"/>
        <v>2.0737267500000001</v>
      </c>
      <c r="L564" s="8">
        <f t="shared" si="17"/>
        <v>136.01498066666667</v>
      </c>
      <c r="M564" s="9">
        <v>8.7367926963829899E-6</v>
      </c>
      <c r="N564" s="9">
        <v>8.0300007250503895E-5</v>
      </c>
      <c r="O564" s="2">
        <v>4.2036500187396904</v>
      </c>
      <c r="P564" t="s">
        <v>2161</v>
      </c>
      <c r="Q564" s="10">
        <f>IF(N564&lt;='[1]statistical criteria'!$B$2,IF(O564&gt;=LOG('[1]statistical criteria'!$B$3,2),1,IF(O564&lt;=-1*LOG('[1]statistical criteria'!$B$3,2),2,"-")),"-")</f>
        <v>1</v>
      </c>
      <c r="R564" t="s">
        <v>227</v>
      </c>
      <c r="S564" t="s">
        <v>228</v>
      </c>
      <c r="T564" s="9">
        <v>5.0000000000000004E-18</v>
      </c>
      <c r="U564" t="s">
        <v>229</v>
      </c>
    </row>
    <row r="565" spans="1:21" x14ac:dyDescent="0.35">
      <c r="A565" t="s">
        <v>2163</v>
      </c>
      <c r="B565" t="s">
        <v>2164</v>
      </c>
      <c r="C565">
        <v>597</v>
      </c>
      <c r="D565" s="5">
        <v>0.80957900000000005</v>
      </c>
      <c r="E565" s="4">
        <v>0</v>
      </c>
      <c r="F565" s="4">
        <v>0</v>
      </c>
      <c r="G565" s="5">
        <v>2.2742399999999998</v>
      </c>
      <c r="H565" s="6">
        <v>24.740971999999999</v>
      </c>
      <c r="I565" s="6">
        <v>28.852094999999998</v>
      </c>
      <c r="J565" s="6">
        <v>54.519435999999999</v>
      </c>
      <c r="K565" s="7">
        <f t="shared" si="16"/>
        <v>0.77095475000000002</v>
      </c>
      <c r="L565" s="8">
        <f t="shared" si="17"/>
        <v>36.037500999999999</v>
      </c>
      <c r="M565" s="9">
        <v>9.1641049167924397E-6</v>
      </c>
      <c r="N565" s="9">
        <v>8.3621633453157595E-5</v>
      </c>
      <c r="O565" s="2">
        <v>4.20233025612115</v>
      </c>
      <c r="P565" t="s">
        <v>2163</v>
      </c>
      <c r="Q565" s="10">
        <f>IF(N565&lt;='[1]statistical criteria'!$B$2,IF(O565&gt;=LOG('[1]statistical criteria'!$B$3,2),1,IF(O565&lt;=-1*LOG('[1]statistical criteria'!$B$3,2),2,"-")),"-")</f>
        <v>1</v>
      </c>
      <c r="R565" t="s">
        <v>2165</v>
      </c>
      <c r="S565" t="s">
        <v>2166</v>
      </c>
      <c r="T565" s="9">
        <v>3E-131</v>
      </c>
      <c r="U565" t="s">
        <v>2167</v>
      </c>
    </row>
    <row r="566" spans="1:21" x14ac:dyDescent="0.35">
      <c r="A566" t="s">
        <v>2168</v>
      </c>
      <c r="B566" t="s">
        <v>2169</v>
      </c>
      <c r="C566">
        <v>431</v>
      </c>
      <c r="D566" s="4">
        <v>0</v>
      </c>
      <c r="E566" s="4">
        <v>0</v>
      </c>
      <c r="F566" s="4">
        <v>0</v>
      </c>
      <c r="G566" s="4">
        <v>0</v>
      </c>
      <c r="H566" s="6">
        <v>17.915296999999999</v>
      </c>
      <c r="I566" s="6">
        <v>5.7800320000000003</v>
      </c>
      <c r="J566" s="6">
        <v>12.340904</v>
      </c>
      <c r="K566" s="7">
        <f t="shared" si="16"/>
        <v>0</v>
      </c>
      <c r="L566" s="8">
        <f t="shared" si="17"/>
        <v>12.012077666666668</v>
      </c>
      <c r="M566" s="9">
        <v>7.0242400797546695E-7</v>
      </c>
      <c r="N566" s="9">
        <v>8.4110675270875894E-6</v>
      </c>
      <c r="O566" s="2">
        <v>4.2015095870332102</v>
      </c>
      <c r="P566" t="s">
        <v>2168</v>
      </c>
      <c r="Q566" s="10">
        <f>IF(N566&lt;='[1]statistical criteria'!$B$2,IF(O566&gt;=LOG('[1]statistical criteria'!$B$3,2),1,IF(O566&lt;=-1*LOG('[1]statistical criteria'!$B$3,2),2,"-")),"-")</f>
        <v>1</v>
      </c>
      <c r="S566" t="s">
        <v>478</v>
      </c>
      <c r="T566">
        <v>5.6</v>
      </c>
      <c r="U566" t="s">
        <v>479</v>
      </c>
    </row>
    <row r="567" spans="1:21" x14ac:dyDescent="0.35">
      <c r="A567" t="s">
        <v>2170</v>
      </c>
      <c r="B567" t="s">
        <v>2171</v>
      </c>
      <c r="C567">
        <v>939</v>
      </c>
      <c r="D567" s="5">
        <v>1.1560600000000001</v>
      </c>
      <c r="E567" s="5">
        <v>6.040578</v>
      </c>
      <c r="F567" s="4">
        <v>0</v>
      </c>
      <c r="G567" s="4">
        <v>0</v>
      </c>
      <c r="H567" s="6">
        <v>39.044355000000003</v>
      </c>
      <c r="I567" s="6">
        <v>28.122287</v>
      </c>
      <c r="J567" s="6">
        <v>24.01014</v>
      </c>
      <c r="K567" s="7">
        <f t="shared" si="16"/>
        <v>1.7991595</v>
      </c>
      <c r="L567" s="8">
        <f t="shared" si="17"/>
        <v>30.392260666666669</v>
      </c>
      <c r="M567">
        <v>2.1523620240774499E-4</v>
      </c>
      <c r="N567">
        <v>1.3298522505907099E-3</v>
      </c>
      <c r="O567" s="2">
        <v>4.1933751899330103</v>
      </c>
      <c r="P567" t="s">
        <v>2170</v>
      </c>
      <c r="Q567" s="10">
        <f>IF(N567&lt;='[1]statistical criteria'!$B$2,IF(O567&gt;=LOG('[1]statistical criteria'!$B$3,2),1,IF(O567&lt;=-1*LOG('[1]statistical criteria'!$B$3,2),2,"-")),"-")</f>
        <v>1</v>
      </c>
    </row>
    <row r="568" spans="1:21" x14ac:dyDescent="0.35">
      <c r="A568" t="s">
        <v>92</v>
      </c>
      <c r="B568" t="s">
        <v>93</v>
      </c>
      <c r="C568">
        <v>996</v>
      </c>
      <c r="D568" s="4">
        <v>0</v>
      </c>
      <c r="E568" s="4">
        <v>0</v>
      </c>
      <c r="F568" s="5">
        <v>0.370807</v>
      </c>
      <c r="G568" s="4">
        <v>0</v>
      </c>
      <c r="H568" s="6">
        <v>9.6385819999999995</v>
      </c>
      <c r="I568" s="6">
        <v>3.7194829999999999</v>
      </c>
      <c r="J568" s="6">
        <v>4.7919840000000002</v>
      </c>
      <c r="K568" s="7">
        <f t="shared" si="16"/>
        <v>9.2701749999999999E-2</v>
      </c>
      <c r="L568" s="8">
        <f t="shared" si="17"/>
        <v>6.0500163333333328</v>
      </c>
      <c r="M568" s="9">
        <v>1.3838151211265099E-5</v>
      </c>
      <c r="N568">
        <v>1.1991804077885899E-4</v>
      </c>
      <c r="O568" s="2">
        <v>4.19088397335506</v>
      </c>
      <c r="P568" t="s">
        <v>92</v>
      </c>
      <c r="Q568" s="10">
        <f>IF(N568&lt;='[1]statistical criteria'!$B$2,IF(O568&gt;=LOG('[1]statistical criteria'!$B$3,2),1,IF(O568&lt;=-1*LOG('[1]statistical criteria'!$B$3,2),2,"-")),"-")</f>
        <v>1</v>
      </c>
      <c r="R568" t="s">
        <v>89</v>
      </c>
      <c r="S568" t="s">
        <v>90</v>
      </c>
      <c r="T568" s="9">
        <v>2.0000000000000001E-156</v>
      </c>
      <c r="U568" t="s">
        <v>91</v>
      </c>
    </row>
    <row r="569" spans="1:21" x14ac:dyDescent="0.35">
      <c r="A569" t="s">
        <v>2172</v>
      </c>
      <c r="B569" t="s">
        <v>2173</v>
      </c>
      <c r="C569">
        <v>573</v>
      </c>
      <c r="D569" s="4">
        <v>0</v>
      </c>
      <c r="E569" s="4">
        <v>0</v>
      </c>
      <c r="F569" s="5">
        <v>0.84782299999999999</v>
      </c>
      <c r="G569" s="5">
        <v>1.992667</v>
      </c>
      <c r="H569" s="6">
        <v>31.827211999999999</v>
      </c>
      <c r="I569" s="6">
        <v>55.386277999999997</v>
      </c>
      <c r="J569" s="6">
        <v>19.840951</v>
      </c>
      <c r="K569" s="7">
        <f t="shared" si="16"/>
        <v>0.71012249999999999</v>
      </c>
      <c r="L569" s="8">
        <f t="shared" si="17"/>
        <v>35.684813666666663</v>
      </c>
      <c r="M569" s="9">
        <v>8.2373121975281606E-6</v>
      </c>
      <c r="N569" s="9">
        <v>7.6280316846209597E-5</v>
      </c>
      <c r="O569" s="2">
        <v>4.1903538743531801</v>
      </c>
      <c r="P569" t="s">
        <v>2172</v>
      </c>
      <c r="Q569" s="10">
        <f>IF(N569&lt;='[1]statistical criteria'!$B$2,IF(O569&gt;=LOG('[1]statistical criteria'!$B$3,2),1,IF(O569&lt;=-1*LOG('[1]statistical criteria'!$B$3,2),2,"-")),"-")</f>
        <v>1</v>
      </c>
      <c r="R569" t="s">
        <v>419</v>
      </c>
      <c r="S569" t="s">
        <v>2174</v>
      </c>
      <c r="T569" s="9">
        <v>8.0000000000000003E-156</v>
      </c>
      <c r="U569" t="s">
        <v>421</v>
      </c>
    </row>
    <row r="570" spans="1:21" x14ac:dyDescent="0.35">
      <c r="A570" t="s">
        <v>2175</v>
      </c>
      <c r="B570" t="s">
        <v>2176</v>
      </c>
      <c r="C570">
        <v>2919</v>
      </c>
      <c r="D570" s="5">
        <v>0.35621999999999998</v>
      </c>
      <c r="E570" s="4">
        <v>0</v>
      </c>
      <c r="F570" s="4">
        <v>0</v>
      </c>
      <c r="G570" s="4">
        <v>0</v>
      </c>
      <c r="H570" s="6">
        <v>2.4945919999999999</v>
      </c>
      <c r="I570" s="6">
        <v>4.8552099999999996</v>
      </c>
      <c r="J570" s="6">
        <v>1.9226529999999999</v>
      </c>
      <c r="K570" s="7">
        <f t="shared" si="16"/>
        <v>8.9054999999999995E-2</v>
      </c>
      <c r="L570" s="8">
        <f t="shared" si="17"/>
        <v>3.090818333333333</v>
      </c>
      <c r="M570" s="9">
        <v>5.8844865161849498E-5</v>
      </c>
      <c r="N570">
        <v>4.3012013982331301E-4</v>
      </c>
      <c r="O570" s="2">
        <v>4.1891567502334501</v>
      </c>
      <c r="P570" t="s">
        <v>2175</v>
      </c>
      <c r="Q570" s="10">
        <f>IF(N570&lt;='[1]statistical criteria'!$B$2,IF(O570&gt;=LOG('[1]statistical criteria'!$B$3,2),1,IF(O570&lt;=-1*LOG('[1]statistical criteria'!$B$3,2),2,"-")),"-")</f>
        <v>1</v>
      </c>
    </row>
    <row r="571" spans="1:21" x14ac:dyDescent="0.35">
      <c r="A571" t="s">
        <v>2177</v>
      </c>
      <c r="B571" t="s">
        <v>2178</v>
      </c>
      <c r="C571">
        <v>891</v>
      </c>
      <c r="D571" s="5">
        <v>0.93004200000000004</v>
      </c>
      <c r="E571" s="4">
        <v>0</v>
      </c>
      <c r="F571" s="5">
        <v>0.302485</v>
      </c>
      <c r="G571" s="4">
        <v>0</v>
      </c>
      <c r="H571" s="6">
        <v>11.685969999999999</v>
      </c>
      <c r="I571" s="6">
        <v>20.339652999999998</v>
      </c>
      <c r="J571" s="6">
        <v>12.668589000000001</v>
      </c>
      <c r="K571" s="7">
        <f t="shared" si="16"/>
        <v>0.30813175000000004</v>
      </c>
      <c r="L571" s="8">
        <f t="shared" si="17"/>
        <v>14.898070666666664</v>
      </c>
      <c r="M571" s="9">
        <v>7.7618013791861202E-6</v>
      </c>
      <c r="N571" s="9">
        <v>7.2299109273574002E-5</v>
      </c>
      <c r="O571" s="2">
        <v>4.1850869027567299</v>
      </c>
      <c r="P571" t="s">
        <v>2177</v>
      </c>
      <c r="Q571" s="10">
        <f>IF(N571&lt;='[1]statistical criteria'!$B$2,IF(O571&gt;=LOG('[1]statistical criteria'!$B$3,2),1,IF(O571&lt;=-1*LOG('[1]statistical criteria'!$B$3,2),2,"-")),"-")</f>
        <v>1</v>
      </c>
      <c r="S571" t="s">
        <v>866</v>
      </c>
      <c r="T571" s="9">
        <v>3.9999999999999997E-39</v>
      </c>
      <c r="U571" t="s">
        <v>61</v>
      </c>
    </row>
    <row r="572" spans="1:21" x14ac:dyDescent="0.35">
      <c r="A572" t="s">
        <v>2179</v>
      </c>
      <c r="B572" t="s">
        <v>2180</v>
      </c>
      <c r="C572">
        <v>1403</v>
      </c>
      <c r="D572" s="5">
        <v>1.0096160000000001</v>
      </c>
      <c r="E572" s="4">
        <v>0</v>
      </c>
      <c r="F572" s="4">
        <v>0</v>
      </c>
      <c r="G572" s="4">
        <v>0</v>
      </c>
      <c r="H572" s="6">
        <v>2.9088099999999999</v>
      </c>
      <c r="I572" s="6">
        <v>9.5029000000000003</v>
      </c>
      <c r="J572" s="6">
        <v>6.3290470000000001</v>
      </c>
      <c r="K572" s="7">
        <f t="shared" si="16"/>
        <v>0.25240400000000002</v>
      </c>
      <c r="L572" s="8">
        <f t="shared" si="17"/>
        <v>6.2469189999999992</v>
      </c>
      <c r="M572" s="9">
        <v>7.7501768394498205E-6</v>
      </c>
      <c r="N572" s="9">
        <v>7.2226182788800205E-5</v>
      </c>
      <c r="O572" s="2">
        <v>4.1847889219359997</v>
      </c>
      <c r="P572" t="s">
        <v>2179</v>
      </c>
      <c r="Q572" s="10">
        <f>IF(N572&lt;='[1]statistical criteria'!$B$2,IF(O572&gt;=LOG('[1]statistical criteria'!$B$3,2),1,IF(O572&lt;=-1*LOG('[1]statistical criteria'!$B$3,2),2,"-")),"-")</f>
        <v>1</v>
      </c>
      <c r="R572" t="s">
        <v>2181</v>
      </c>
      <c r="S572" t="s">
        <v>2182</v>
      </c>
      <c r="T572" s="9">
        <v>4.9999999999999996E-40</v>
      </c>
      <c r="U572" t="s">
        <v>2183</v>
      </c>
    </row>
    <row r="573" spans="1:21" x14ac:dyDescent="0.35">
      <c r="A573" t="s">
        <v>2184</v>
      </c>
      <c r="B573" t="s">
        <v>2185</v>
      </c>
      <c r="C573">
        <v>1964</v>
      </c>
      <c r="D573" s="5">
        <v>2.6688320000000001</v>
      </c>
      <c r="E573" s="4">
        <v>0</v>
      </c>
      <c r="F573" s="5">
        <v>4.6277350000000004</v>
      </c>
      <c r="G573" s="5">
        <v>0.54616600000000004</v>
      </c>
      <c r="H573" s="6">
        <v>51.637045000000001</v>
      </c>
      <c r="I573" s="6">
        <v>63.590234000000002</v>
      </c>
      <c r="J573" s="6">
        <v>32.788314999999997</v>
      </c>
      <c r="K573" s="7">
        <f t="shared" si="16"/>
        <v>1.9606832500000002</v>
      </c>
      <c r="L573" s="8">
        <f t="shared" si="17"/>
        <v>49.338531333333343</v>
      </c>
      <c r="M573" s="9">
        <v>4.42680913483422E-7</v>
      </c>
      <c r="N573" s="9">
        <v>5.5422485418352201E-6</v>
      </c>
      <c r="O573" s="2">
        <v>4.1838323828959902</v>
      </c>
      <c r="P573" t="s">
        <v>2184</v>
      </c>
      <c r="Q573" s="10">
        <f>IF(N573&lt;='[1]statistical criteria'!$B$2,IF(O573&gt;=LOG('[1]statistical criteria'!$B$3,2),1,IF(O573&lt;=-1*LOG('[1]statistical criteria'!$B$3,2),2,"-")),"-")</f>
        <v>1</v>
      </c>
      <c r="R573" t="s">
        <v>580</v>
      </c>
      <c r="S573" t="s">
        <v>581</v>
      </c>
      <c r="T573">
        <v>0</v>
      </c>
      <c r="U573" t="s">
        <v>582</v>
      </c>
    </row>
    <row r="574" spans="1:21" x14ac:dyDescent="0.35">
      <c r="A574" t="s">
        <v>2186</v>
      </c>
      <c r="B574" t="s">
        <v>2187</v>
      </c>
      <c r="C574">
        <v>684</v>
      </c>
      <c r="D574" s="4">
        <v>0</v>
      </c>
      <c r="E574" s="4">
        <v>0</v>
      </c>
      <c r="F574" s="4">
        <v>0</v>
      </c>
      <c r="G574" s="5">
        <v>2.5107200000000001</v>
      </c>
      <c r="H574" s="6">
        <v>11.604965999999999</v>
      </c>
      <c r="I574" s="6">
        <v>16.526668000000001</v>
      </c>
      <c r="J574" s="6">
        <v>15.30701</v>
      </c>
      <c r="K574" s="7">
        <f t="shared" si="16"/>
        <v>0.62768000000000002</v>
      </c>
      <c r="L574" s="8">
        <f t="shared" si="17"/>
        <v>14.479547999999999</v>
      </c>
      <c r="M574" s="9">
        <v>8.7291304027898006E-6</v>
      </c>
      <c r="N574" s="9">
        <v>8.0268350599222002E-5</v>
      </c>
      <c r="O574" s="2">
        <v>4.1828309888298998</v>
      </c>
      <c r="P574" t="s">
        <v>2186</v>
      </c>
      <c r="Q574" s="10">
        <f>IF(N574&lt;='[1]statistical criteria'!$B$2,IF(O574&gt;=LOG('[1]statistical criteria'!$B$3,2),1,IF(O574&lt;=-1*LOG('[1]statistical criteria'!$B$3,2),2,"-")),"-")</f>
        <v>1</v>
      </c>
    </row>
    <row r="575" spans="1:21" x14ac:dyDescent="0.35">
      <c r="A575" t="s">
        <v>2188</v>
      </c>
      <c r="B575" t="s">
        <v>2189</v>
      </c>
      <c r="C575">
        <v>1407</v>
      </c>
      <c r="D575" s="4">
        <v>0</v>
      </c>
      <c r="E575" s="4">
        <v>0</v>
      </c>
      <c r="F575" s="4">
        <v>0</v>
      </c>
      <c r="G575" s="5">
        <v>1.5271760000000001</v>
      </c>
      <c r="H575" s="6">
        <v>7.5078389999999997</v>
      </c>
      <c r="I575" s="6">
        <v>3.6591200000000002</v>
      </c>
      <c r="J575" s="6">
        <v>6.36008</v>
      </c>
      <c r="K575" s="7">
        <f t="shared" si="16"/>
        <v>0.38179400000000002</v>
      </c>
      <c r="L575" s="8">
        <f t="shared" si="17"/>
        <v>5.8423463333333343</v>
      </c>
      <c r="M575" s="9">
        <v>9.3444700966561304E-6</v>
      </c>
      <c r="N575" s="9">
        <v>8.5083859301132107E-5</v>
      </c>
      <c r="O575" s="2">
        <v>4.1826022770934301</v>
      </c>
      <c r="P575" t="s">
        <v>2188</v>
      </c>
      <c r="Q575" s="10">
        <f>IF(N575&lt;='[1]statistical criteria'!$B$2,IF(O575&gt;=LOG('[1]statistical criteria'!$B$3,2),1,IF(O575&lt;=-1*LOG('[1]statistical criteria'!$B$3,2),2,"-")),"-")</f>
        <v>1</v>
      </c>
      <c r="R575" t="s">
        <v>1951</v>
      </c>
      <c r="S575" t="s">
        <v>2190</v>
      </c>
      <c r="T575">
        <v>0</v>
      </c>
      <c r="U575" t="s">
        <v>2191</v>
      </c>
    </row>
    <row r="576" spans="1:21" x14ac:dyDescent="0.35">
      <c r="A576" t="s">
        <v>2192</v>
      </c>
      <c r="B576" t="s">
        <v>2193</v>
      </c>
      <c r="C576">
        <v>423</v>
      </c>
      <c r="D576" s="4">
        <v>0</v>
      </c>
      <c r="E576" s="4">
        <v>0</v>
      </c>
      <c r="F576" s="4">
        <v>0</v>
      </c>
      <c r="G576" s="4">
        <v>0</v>
      </c>
      <c r="H576" s="6">
        <v>17.250924000000001</v>
      </c>
      <c r="I576" s="6">
        <v>13.211501</v>
      </c>
      <c r="J576" s="6">
        <v>5.3127209999999998</v>
      </c>
      <c r="K576" s="7">
        <f t="shared" si="16"/>
        <v>0</v>
      </c>
      <c r="L576" s="8">
        <f t="shared" si="17"/>
        <v>11.925048666666669</v>
      </c>
      <c r="M576" s="9">
        <v>3.3142144732185898E-6</v>
      </c>
      <c r="N576" s="9">
        <v>3.3574395222437901E-5</v>
      </c>
      <c r="O576" s="2">
        <v>4.1809878376303402</v>
      </c>
      <c r="P576" t="s">
        <v>2192</v>
      </c>
      <c r="Q576" s="10">
        <f>IF(N576&lt;='[1]statistical criteria'!$B$2,IF(O576&gt;=LOG('[1]statistical criteria'!$B$3,2),1,IF(O576&lt;=-1*LOG('[1]statistical criteria'!$B$3,2),2,"-")),"-")</f>
        <v>1</v>
      </c>
    </row>
    <row r="577" spans="1:21" x14ac:dyDescent="0.35">
      <c r="A577" t="s">
        <v>2194</v>
      </c>
      <c r="B577" t="s">
        <v>2195</v>
      </c>
      <c r="C577">
        <v>669</v>
      </c>
      <c r="D577" s="5">
        <v>1.126841</v>
      </c>
      <c r="E577" s="4">
        <v>0</v>
      </c>
      <c r="F577" s="4">
        <v>0</v>
      </c>
      <c r="G577" s="4">
        <v>0</v>
      </c>
      <c r="H577" s="6">
        <v>2.5440239999999998</v>
      </c>
      <c r="I577" s="6">
        <v>29.591515000000001</v>
      </c>
      <c r="J577" s="6">
        <v>27.918001</v>
      </c>
      <c r="K577" s="7">
        <f t="shared" si="16"/>
        <v>0.28171025</v>
      </c>
      <c r="L577" s="8">
        <f t="shared" si="17"/>
        <v>20.017846666666667</v>
      </c>
      <c r="M577" s="9">
        <v>9.1860289036877604E-6</v>
      </c>
      <c r="N577" s="9">
        <v>8.3781514515781505E-5</v>
      </c>
      <c r="O577" s="2">
        <v>4.17901055030657</v>
      </c>
      <c r="P577" t="s">
        <v>2194</v>
      </c>
      <c r="Q577" s="10">
        <f>IF(N577&lt;='[1]statistical criteria'!$B$2,IF(O577&gt;=LOG('[1]statistical criteria'!$B$3,2),1,IF(O577&lt;=-1*LOG('[1]statistical criteria'!$B$3,2),2,"-")),"-")</f>
        <v>1</v>
      </c>
      <c r="R577" t="s">
        <v>2196</v>
      </c>
      <c r="S577" t="s">
        <v>2197</v>
      </c>
      <c r="T577" s="9">
        <v>6.9999999999999997E-124</v>
      </c>
      <c r="U577" t="s">
        <v>2198</v>
      </c>
    </row>
    <row r="578" spans="1:21" x14ac:dyDescent="0.35">
      <c r="A578" t="s">
        <v>2199</v>
      </c>
      <c r="B578" t="s">
        <v>2200</v>
      </c>
      <c r="C578">
        <v>444</v>
      </c>
      <c r="D578" s="5">
        <v>0.38422499999999998</v>
      </c>
      <c r="E578" s="4">
        <v>0</v>
      </c>
      <c r="F578" s="5">
        <v>2.778267</v>
      </c>
      <c r="G578" s="4">
        <v>0</v>
      </c>
      <c r="H578" s="6">
        <v>23.070896999999999</v>
      </c>
      <c r="I578" s="6">
        <v>43.161191000000002</v>
      </c>
      <c r="J578" s="6">
        <v>28.044642</v>
      </c>
      <c r="K578" s="7">
        <f t="shared" si="16"/>
        <v>0.79062299999999996</v>
      </c>
      <c r="L578" s="8">
        <f t="shared" si="17"/>
        <v>31.425576666666668</v>
      </c>
      <c r="M578" s="9">
        <v>1.07404130575772E-5</v>
      </c>
      <c r="N578" s="9">
        <v>9.5822813167226593E-5</v>
      </c>
      <c r="O578" s="2">
        <v>4.1766494609426701</v>
      </c>
      <c r="P578" t="s">
        <v>2199</v>
      </c>
      <c r="Q578" s="10">
        <f>IF(N578&lt;='[1]statistical criteria'!$B$2,IF(O578&gt;=LOG('[1]statistical criteria'!$B$3,2),1,IF(O578&lt;=-1*LOG('[1]statistical criteria'!$B$3,2),2,"-")),"-")</f>
        <v>1</v>
      </c>
    </row>
    <row r="579" spans="1:21" x14ac:dyDescent="0.35">
      <c r="A579" t="s">
        <v>2201</v>
      </c>
      <c r="B579" t="s">
        <v>2202</v>
      </c>
      <c r="C579">
        <v>321</v>
      </c>
      <c r="D579" s="4">
        <v>0</v>
      </c>
      <c r="E579" s="4">
        <v>0</v>
      </c>
      <c r="F579" s="4">
        <v>0</v>
      </c>
      <c r="G579" s="4">
        <v>0</v>
      </c>
      <c r="H579" s="6">
        <v>56.154732000000003</v>
      </c>
      <c r="I579" s="6">
        <v>9.1287800000000008</v>
      </c>
      <c r="J579" s="6">
        <v>9.9009809999999998</v>
      </c>
      <c r="K579" s="7">
        <f t="shared" ref="K579:K642" si="18">AVERAGE(D579:G579)</f>
        <v>0</v>
      </c>
      <c r="L579" s="8">
        <f t="shared" ref="L579:L642" si="19">AVERAGE(H579:J579)</f>
        <v>25.061497666666668</v>
      </c>
      <c r="M579" s="9">
        <v>2.8795027029284599E-8</v>
      </c>
      <c r="N579" s="9">
        <v>4.6972204048509999E-7</v>
      </c>
      <c r="O579" s="2">
        <v>4.1762470575408503</v>
      </c>
      <c r="P579" t="s">
        <v>2201</v>
      </c>
      <c r="Q579" s="10">
        <f>IF(N579&lt;='[1]statistical criteria'!$B$2,IF(O579&gt;=LOG('[1]statistical criteria'!$B$3,2),1,IF(O579&lt;=-1*LOG('[1]statistical criteria'!$B$3,2),2,"-")),"-")</f>
        <v>1</v>
      </c>
      <c r="R579" t="s">
        <v>2203</v>
      </c>
      <c r="S579" t="s">
        <v>2204</v>
      </c>
      <c r="T579" s="9">
        <v>6.9999999999999999E-41</v>
      </c>
      <c r="U579" t="s">
        <v>2205</v>
      </c>
    </row>
    <row r="580" spans="1:21" x14ac:dyDescent="0.35">
      <c r="A580" t="s">
        <v>2206</v>
      </c>
      <c r="B580" t="s">
        <v>2207</v>
      </c>
      <c r="C580">
        <v>1554</v>
      </c>
      <c r="D580" s="4">
        <v>0</v>
      </c>
      <c r="E580" s="4">
        <v>0</v>
      </c>
      <c r="F580" s="4">
        <v>0</v>
      </c>
      <c r="G580" s="5">
        <v>0.436195</v>
      </c>
      <c r="H580" s="6">
        <v>3.5116299999999998</v>
      </c>
      <c r="I580" s="6">
        <v>5.1320600000000001</v>
      </c>
      <c r="J580" s="6">
        <v>2.3098670000000001</v>
      </c>
      <c r="K580" s="7">
        <f t="shared" si="18"/>
        <v>0.10904875</v>
      </c>
      <c r="L580" s="8">
        <f t="shared" si="19"/>
        <v>3.6511856666666667</v>
      </c>
      <c r="M580" s="9">
        <v>1.03769463725934E-5</v>
      </c>
      <c r="N580" s="9">
        <v>9.3103861136469796E-5</v>
      </c>
      <c r="O580" s="2">
        <v>4.1747661415127597</v>
      </c>
      <c r="P580" t="s">
        <v>2206</v>
      </c>
      <c r="Q580" s="10">
        <f>IF(N580&lt;='[1]statistical criteria'!$B$2,IF(O580&gt;=LOG('[1]statistical criteria'!$B$3,2),1,IF(O580&lt;=-1*LOG('[1]statistical criteria'!$B$3,2),2,"-")),"-")</f>
        <v>1</v>
      </c>
      <c r="R580" t="s">
        <v>2208</v>
      </c>
      <c r="S580" t="s">
        <v>2209</v>
      </c>
      <c r="T580">
        <v>0</v>
      </c>
      <c r="U580" t="s">
        <v>2210</v>
      </c>
    </row>
    <row r="581" spans="1:21" x14ac:dyDescent="0.35">
      <c r="A581" t="s">
        <v>2211</v>
      </c>
      <c r="B581" t="s">
        <v>2212</v>
      </c>
      <c r="C581">
        <v>492</v>
      </c>
      <c r="D581" s="4">
        <v>0</v>
      </c>
      <c r="E581" s="4">
        <v>0</v>
      </c>
      <c r="F581" s="4">
        <v>0</v>
      </c>
      <c r="G581" s="5">
        <v>2.6678630000000001</v>
      </c>
      <c r="H581" s="6">
        <v>35.811138</v>
      </c>
      <c r="I581" s="6">
        <v>18.896574999999999</v>
      </c>
      <c r="J581" s="6">
        <v>19.032952999999999</v>
      </c>
      <c r="K581" s="7">
        <f t="shared" si="18"/>
        <v>0.66696575000000002</v>
      </c>
      <c r="L581" s="8">
        <f t="shared" si="19"/>
        <v>24.580222000000003</v>
      </c>
      <c r="M581" s="9">
        <v>7.5826954325598801E-6</v>
      </c>
      <c r="N581" s="9">
        <v>7.0804069716199402E-5</v>
      </c>
      <c r="O581" s="2">
        <v>4.1730906141376698</v>
      </c>
      <c r="P581" t="s">
        <v>2211</v>
      </c>
      <c r="Q581" s="10">
        <f>IF(N581&lt;='[1]statistical criteria'!$B$2,IF(O581&gt;=LOG('[1]statistical criteria'!$B$3,2),1,IF(O581&lt;=-1*LOG('[1]statistical criteria'!$B$3,2),2,"-")),"-")</f>
        <v>1</v>
      </c>
      <c r="R581" t="s">
        <v>1972</v>
      </c>
      <c r="S581" t="s">
        <v>2213</v>
      </c>
      <c r="T581" s="9">
        <v>2.0000000000000001E-83</v>
      </c>
      <c r="U581" t="s">
        <v>1974</v>
      </c>
    </row>
    <row r="582" spans="1:21" x14ac:dyDescent="0.35">
      <c r="A582" t="s">
        <v>2214</v>
      </c>
      <c r="B582" t="s">
        <v>2215</v>
      </c>
      <c r="C582">
        <v>1959</v>
      </c>
      <c r="D582" s="5">
        <v>0.61525600000000003</v>
      </c>
      <c r="E582" s="5">
        <v>1.666391</v>
      </c>
      <c r="F582" s="4">
        <v>0</v>
      </c>
      <c r="G582" s="4">
        <v>0</v>
      </c>
      <c r="H582" s="6">
        <v>16.051665</v>
      </c>
      <c r="I582" s="6">
        <v>4.2891830000000004</v>
      </c>
      <c r="J582" s="6">
        <v>22.133953999999999</v>
      </c>
      <c r="K582" s="7">
        <f t="shared" si="18"/>
        <v>0.57041175</v>
      </c>
      <c r="L582" s="8">
        <f t="shared" si="19"/>
        <v>14.158267333333333</v>
      </c>
      <c r="M582" s="9">
        <v>1.1376170284807099E-5</v>
      </c>
      <c r="N582">
        <v>1.0073919056299601E-4</v>
      </c>
      <c r="O582" s="2">
        <v>4.1716283884065799</v>
      </c>
      <c r="P582" t="s">
        <v>2214</v>
      </c>
      <c r="Q582" s="10">
        <f>IF(N582&lt;='[1]statistical criteria'!$B$2,IF(O582&gt;=LOG('[1]statistical criteria'!$B$3,2),1,IF(O582&lt;=-1*LOG('[1]statistical criteria'!$B$3,2),2,"-")),"-")</f>
        <v>1</v>
      </c>
      <c r="R582" t="s">
        <v>2216</v>
      </c>
      <c r="S582" t="s">
        <v>2217</v>
      </c>
      <c r="T582" s="9">
        <v>5.9999999999999997E-7</v>
      </c>
      <c r="U582" t="s">
        <v>970</v>
      </c>
    </row>
    <row r="583" spans="1:21" x14ac:dyDescent="0.35">
      <c r="A583" t="s">
        <v>2218</v>
      </c>
      <c r="B583" t="s">
        <v>2219</v>
      </c>
      <c r="C583">
        <v>1200</v>
      </c>
      <c r="D583" s="4">
        <v>0</v>
      </c>
      <c r="E583" s="4">
        <v>0</v>
      </c>
      <c r="F583" s="4">
        <v>0</v>
      </c>
      <c r="G583" s="5">
        <v>0.88609499999999997</v>
      </c>
      <c r="H583" s="6">
        <v>3.344357</v>
      </c>
      <c r="I583" s="6">
        <v>11.830024</v>
      </c>
      <c r="J583" s="6">
        <v>7.6939349999999997</v>
      </c>
      <c r="K583" s="7">
        <f t="shared" si="18"/>
        <v>0.22152374999999999</v>
      </c>
      <c r="L583" s="8">
        <f t="shared" si="19"/>
        <v>7.6227720000000003</v>
      </c>
      <c r="M583" s="9">
        <v>1.1838917494787101E-5</v>
      </c>
      <c r="N583">
        <v>1.04200900185723E-4</v>
      </c>
      <c r="O583" s="2">
        <v>4.1692602209655298</v>
      </c>
      <c r="P583" t="s">
        <v>2218</v>
      </c>
      <c r="Q583" s="10">
        <f>IF(N583&lt;='[1]statistical criteria'!$B$2,IF(O583&gt;=LOG('[1]statistical criteria'!$B$3,2),1,IF(O583&lt;=-1*LOG('[1]statistical criteria'!$B$3,2),2,"-")),"-")</f>
        <v>1</v>
      </c>
      <c r="R583" t="s">
        <v>2220</v>
      </c>
      <c r="S583" t="s">
        <v>2221</v>
      </c>
      <c r="T583" s="9">
        <v>2.0000000000000001E-128</v>
      </c>
      <c r="U583" t="s">
        <v>2222</v>
      </c>
    </row>
    <row r="584" spans="1:21" x14ac:dyDescent="0.35">
      <c r="A584" t="s">
        <v>2223</v>
      </c>
      <c r="B584" t="s">
        <v>2224</v>
      </c>
      <c r="C584">
        <v>609</v>
      </c>
      <c r="D584" s="5">
        <v>1.395394</v>
      </c>
      <c r="E584" s="5">
        <v>0.296933</v>
      </c>
      <c r="F584" s="4">
        <v>0</v>
      </c>
      <c r="G584" s="4">
        <v>0</v>
      </c>
      <c r="H584" s="6">
        <v>14.974057999999999</v>
      </c>
      <c r="I584" s="6">
        <v>35.873443000000002</v>
      </c>
      <c r="J584" s="6">
        <v>23.780640999999999</v>
      </c>
      <c r="K584" s="7">
        <f t="shared" si="18"/>
        <v>0.42308175000000003</v>
      </c>
      <c r="L584" s="8">
        <f t="shared" si="19"/>
        <v>24.876047333333332</v>
      </c>
      <c r="M584" s="9">
        <v>1.3617361143852E-5</v>
      </c>
      <c r="N584">
        <v>1.1813922159448599E-4</v>
      </c>
      <c r="O584" s="2">
        <v>4.16745743125208</v>
      </c>
      <c r="P584" t="s">
        <v>2223</v>
      </c>
      <c r="Q584" s="10">
        <f>IF(N584&lt;='[1]statistical criteria'!$B$2,IF(O584&gt;=LOG('[1]statistical criteria'!$B$3,2),1,IF(O584&lt;=-1*LOG('[1]statistical criteria'!$B$3,2),2,"-")),"-")</f>
        <v>1</v>
      </c>
      <c r="R584" t="s">
        <v>2225</v>
      </c>
      <c r="S584" t="s">
        <v>2226</v>
      </c>
      <c r="T584" s="9">
        <v>5.9999999999999997E-13</v>
      </c>
      <c r="U584" t="s">
        <v>2227</v>
      </c>
    </row>
    <row r="585" spans="1:21" x14ac:dyDescent="0.35">
      <c r="A585" t="s">
        <v>2228</v>
      </c>
      <c r="B585" t="s">
        <v>2229</v>
      </c>
      <c r="C585">
        <v>1599</v>
      </c>
      <c r="D585" s="4">
        <v>0</v>
      </c>
      <c r="E585" s="5">
        <v>2.5484849999999999</v>
      </c>
      <c r="F585" s="4">
        <v>0</v>
      </c>
      <c r="G585" s="5">
        <v>2.1014719999999998</v>
      </c>
      <c r="H585" s="6">
        <v>24.222422000000002</v>
      </c>
      <c r="I585" s="6">
        <v>5.9528020000000001</v>
      </c>
      <c r="J585" s="6">
        <v>29.581785</v>
      </c>
      <c r="K585" s="7">
        <f t="shared" si="18"/>
        <v>1.1624892499999999</v>
      </c>
      <c r="L585" s="8">
        <f t="shared" si="19"/>
        <v>19.919003</v>
      </c>
      <c r="M585" s="9">
        <v>7.7992302291418197E-5</v>
      </c>
      <c r="N585">
        <v>5.5010878895688897E-4</v>
      </c>
      <c r="O585" s="2">
        <v>4.1660157119871704</v>
      </c>
      <c r="P585" t="s">
        <v>2228</v>
      </c>
      <c r="Q585" s="10">
        <f>IF(N585&lt;='[1]statistical criteria'!$B$2,IF(O585&gt;=LOG('[1]statistical criteria'!$B$3,2),1,IF(O585&lt;=-1*LOG('[1]statistical criteria'!$B$3,2),2,"-")),"-")</f>
        <v>1</v>
      </c>
      <c r="R585" t="s">
        <v>2230</v>
      </c>
      <c r="S585" t="s">
        <v>2231</v>
      </c>
      <c r="T585" s="9">
        <v>4.0000000000000003E-158</v>
      </c>
      <c r="U585" t="s">
        <v>153</v>
      </c>
    </row>
    <row r="586" spans="1:21" x14ac:dyDescent="0.35">
      <c r="A586" t="s">
        <v>2232</v>
      </c>
      <c r="B586" t="s">
        <v>2233</v>
      </c>
      <c r="C586">
        <v>1785</v>
      </c>
      <c r="D586" s="5">
        <v>1.481536</v>
      </c>
      <c r="E586" s="4">
        <v>0</v>
      </c>
      <c r="F586" s="5">
        <v>1.0144569999999999</v>
      </c>
      <c r="G586" s="4">
        <v>0</v>
      </c>
      <c r="H586" s="6">
        <v>9.2834059999999994</v>
      </c>
      <c r="I586" s="6">
        <v>12.356064</v>
      </c>
      <c r="J586" s="6">
        <v>14.889174000000001</v>
      </c>
      <c r="K586" s="7">
        <f t="shared" si="18"/>
        <v>0.62399824999999998</v>
      </c>
      <c r="L586" s="8">
        <f t="shared" si="19"/>
        <v>12.176214666666667</v>
      </c>
      <c r="M586">
        <v>1.05468328265764E-4</v>
      </c>
      <c r="N586">
        <v>7.13565171625421E-4</v>
      </c>
      <c r="O586" s="2">
        <v>4.1631815247284001</v>
      </c>
      <c r="P586" t="s">
        <v>2232</v>
      </c>
      <c r="Q586" s="10">
        <f>IF(N586&lt;='[1]statistical criteria'!$B$2,IF(O586&gt;=LOG('[1]statistical criteria'!$B$3,2),1,IF(O586&lt;=-1*LOG('[1]statistical criteria'!$B$3,2),2,"-")),"-")</f>
        <v>1</v>
      </c>
      <c r="R586" t="s">
        <v>2234</v>
      </c>
    </row>
    <row r="587" spans="1:21" x14ac:dyDescent="0.35">
      <c r="A587" t="s">
        <v>2235</v>
      </c>
      <c r="B587" t="s">
        <v>2236</v>
      </c>
      <c r="C587">
        <v>921</v>
      </c>
      <c r="D587" s="4">
        <v>0</v>
      </c>
      <c r="E587" s="4">
        <v>0</v>
      </c>
      <c r="F587" s="4">
        <v>0</v>
      </c>
      <c r="G587" s="4">
        <v>0</v>
      </c>
      <c r="H587" s="6">
        <v>2.1460330000000001</v>
      </c>
      <c r="I587" s="6">
        <v>2.8433630000000001</v>
      </c>
      <c r="J587" s="6">
        <v>3.80287</v>
      </c>
      <c r="K587" s="7">
        <f t="shared" si="18"/>
        <v>0</v>
      </c>
      <c r="L587" s="8">
        <f t="shared" si="19"/>
        <v>2.9307553333333334</v>
      </c>
      <c r="M587" s="9">
        <v>7.5495902254216597E-7</v>
      </c>
      <c r="N587" s="9">
        <v>8.9961616775062099E-6</v>
      </c>
      <c r="O587" s="2">
        <v>4.1598293512475504</v>
      </c>
      <c r="P587" t="s">
        <v>2235</v>
      </c>
      <c r="Q587" s="10">
        <f>IF(N587&lt;='[1]statistical criteria'!$B$2,IF(O587&gt;=LOG('[1]statistical criteria'!$B$3,2),1,IF(O587&lt;=-1*LOG('[1]statistical criteria'!$B$3,2),2,"-")),"-")</f>
        <v>1</v>
      </c>
      <c r="R587" t="s">
        <v>64</v>
      </c>
    </row>
    <row r="588" spans="1:21" x14ac:dyDescent="0.35">
      <c r="A588" t="s">
        <v>2237</v>
      </c>
      <c r="B588" t="s">
        <v>2238</v>
      </c>
      <c r="C588">
        <v>543</v>
      </c>
      <c r="D588" s="4">
        <v>0</v>
      </c>
      <c r="E588" s="4">
        <v>0</v>
      </c>
      <c r="F588" s="4">
        <v>0</v>
      </c>
      <c r="G588" s="4">
        <v>0</v>
      </c>
      <c r="H588" s="6">
        <v>3.5874350000000002</v>
      </c>
      <c r="I588" s="6">
        <v>1.733136</v>
      </c>
      <c r="J588" s="6">
        <v>22.823905</v>
      </c>
      <c r="K588" s="7">
        <f t="shared" si="18"/>
        <v>0</v>
      </c>
      <c r="L588" s="8">
        <f t="shared" si="19"/>
        <v>9.3814919999999997</v>
      </c>
      <c r="M588" s="9">
        <v>3.7475091247839202E-8</v>
      </c>
      <c r="N588" s="9">
        <v>5.9553318283622495E-7</v>
      </c>
      <c r="O588" s="2">
        <v>4.1581309570157403</v>
      </c>
      <c r="P588" t="s">
        <v>2237</v>
      </c>
      <c r="Q588" s="10">
        <f>IF(N588&lt;='[1]statistical criteria'!$B$2,IF(O588&gt;=LOG('[1]statistical criteria'!$B$3,2),1,IF(O588&lt;=-1*LOG('[1]statistical criteria'!$B$3,2),2,"-")),"-")</f>
        <v>1</v>
      </c>
      <c r="R588" t="s">
        <v>2239</v>
      </c>
    </row>
    <row r="589" spans="1:21" x14ac:dyDescent="0.35">
      <c r="A589" t="s">
        <v>2240</v>
      </c>
      <c r="B589" t="s">
        <v>2241</v>
      </c>
      <c r="C589">
        <v>663</v>
      </c>
      <c r="D589" s="5">
        <v>3.4252039999999999</v>
      </c>
      <c r="E589" s="5">
        <v>3.0477099999999999</v>
      </c>
      <c r="F589" s="5">
        <v>13.55043</v>
      </c>
      <c r="G589" s="5">
        <v>6.7034690000000001</v>
      </c>
      <c r="H589" s="6">
        <v>1415.269119</v>
      </c>
      <c r="I589" s="6">
        <v>250.386413</v>
      </c>
      <c r="J589" s="6">
        <v>1042.334366</v>
      </c>
      <c r="K589" s="7">
        <f t="shared" si="18"/>
        <v>6.68170325</v>
      </c>
      <c r="L589" s="8">
        <f t="shared" si="19"/>
        <v>902.66329933333327</v>
      </c>
      <c r="M589" s="9">
        <v>1.77053976205384E-9</v>
      </c>
      <c r="N589" s="9">
        <v>3.6583465441785701E-8</v>
      </c>
      <c r="O589" s="2">
        <v>4.1572665169514504</v>
      </c>
      <c r="P589" t="s">
        <v>2240</v>
      </c>
      <c r="Q589" s="10">
        <f>IF(N589&lt;='[1]statistical criteria'!$B$2,IF(O589&gt;=LOG('[1]statistical criteria'!$B$3,2),1,IF(O589&lt;=-1*LOG('[1]statistical criteria'!$B$3,2),2,"-")),"-")</f>
        <v>1</v>
      </c>
      <c r="R589" t="s">
        <v>2242</v>
      </c>
      <c r="S589" t="s">
        <v>1041</v>
      </c>
      <c r="T589" s="9">
        <v>9.9999999999999993E-103</v>
      </c>
      <c r="U589" t="s">
        <v>1042</v>
      </c>
    </row>
    <row r="590" spans="1:21" x14ac:dyDescent="0.35">
      <c r="A590" t="s">
        <v>2243</v>
      </c>
      <c r="B590" t="s">
        <v>2244</v>
      </c>
      <c r="C590">
        <v>1104</v>
      </c>
      <c r="D590" s="4">
        <v>0</v>
      </c>
      <c r="E590" s="4">
        <v>0</v>
      </c>
      <c r="F590" s="5">
        <v>0.76791600000000004</v>
      </c>
      <c r="G590" s="4">
        <v>0</v>
      </c>
      <c r="H590" s="6">
        <v>3.5429240000000002</v>
      </c>
      <c r="I590" s="6">
        <v>5.6388720000000001</v>
      </c>
      <c r="J590" s="6">
        <v>8.4439209999999996</v>
      </c>
      <c r="K590" s="7">
        <f t="shared" si="18"/>
        <v>0.19197900000000001</v>
      </c>
      <c r="L590" s="8">
        <f t="shared" si="19"/>
        <v>5.8752390000000005</v>
      </c>
      <c r="M590" s="9">
        <v>6.2678647524555299E-6</v>
      </c>
      <c r="N590" s="9">
        <v>5.9743283866380597E-5</v>
      </c>
      <c r="O590" s="2">
        <v>4.1566864258198999</v>
      </c>
      <c r="P590" t="s">
        <v>2243</v>
      </c>
      <c r="Q590" s="10">
        <f>IF(N590&lt;='[1]statistical criteria'!$B$2,IF(O590&gt;=LOG('[1]statistical criteria'!$B$3,2),1,IF(O590&lt;=-1*LOG('[1]statistical criteria'!$B$3,2),2,"-")),"-")</f>
        <v>1</v>
      </c>
      <c r="R590" t="s">
        <v>2245</v>
      </c>
      <c r="S590" t="s">
        <v>2246</v>
      </c>
      <c r="T590" s="9">
        <v>2.0000000000000001E-172</v>
      </c>
      <c r="U590" t="s">
        <v>2247</v>
      </c>
    </row>
    <row r="591" spans="1:21" x14ac:dyDescent="0.35">
      <c r="A591" t="s">
        <v>2248</v>
      </c>
      <c r="B591" t="s">
        <v>2249</v>
      </c>
      <c r="C591">
        <v>2817</v>
      </c>
      <c r="D591" s="5">
        <v>0.51870300000000003</v>
      </c>
      <c r="E591" s="4">
        <v>0</v>
      </c>
      <c r="F591" s="4">
        <v>0</v>
      </c>
      <c r="G591" s="4">
        <v>0</v>
      </c>
      <c r="H591" s="6">
        <v>3.821834</v>
      </c>
      <c r="I591" s="6">
        <v>1.392547</v>
      </c>
      <c r="J591" s="6">
        <v>9.5153639999999999</v>
      </c>
      <c r="K591" s="7">
        <f t="shared" si="18"/>
        <v>0.12967575000000001</v>
      </c>
      <c r="L591" s="8">
        <f t="shared" si="19"/>
        <v>4.9099149999999998</v>
      </c>
      <c r="M591" s="9">
        <v>1.5586633923786598E-5</v>
      </c>
      <c r="N591">
        <v>1.33639848420662E-4</v>
      </c>
      <c r="O591" s="2">
        <v>4.1544689983400396</v>
      </c>
      <c r="P591" t="s">
        <v>2248</v>
      </c>
      <c r="Q591" s="10">
        <f>IF(N591&lt;='[1]statistical criteria'!$B$2,IF(O591&gt;=LOG('[1]statistical criteria'!$B$3,2),1,IF(O591&lt;=-1*LOG('[1]statistical criteria'!$B$3,2),2,"-")),"-")</f>
        <v>1</v>
      </c>
      <c r="R591" t="s">
        <v>2250</v>
      </c>
      <c r="S591" t="s">
        <v>2251</v>
      </c>
      <c r="T591">
        <v>0</v>
      </c>
      <c r="U591" t="s">
        <v>2252</v>
      </c>
    </row>
    <row r="592" spans="1:21" x14ac:dyDescent="0.35">
      <c r="A592" t="s">
        <v>2253</v>
      </c>
      <c r="B592" t="s">
        <v>2055</v>
      </c>
      <c r="C592">
        <v>543</v>
      </c>
      <c r="D592" s="5">
        <v>0.27854200000000001</v>
      </c>
      <c r="E592" s="4">
        <v>0</v>
      </c>
      <c r="F592" s="5">
        <v>1.9641740000000001</v>
      </c>
      <c r="G592" s="4">
        <v>0</v>
      </c>
      <c r="H592" s="6">
        <v>11.195975000000001</v>
      </c>
      <c r="I592" s="6">
        <v>30.158435000000001</v>
      </c>
      <c r="J592" s="6">
        <v>21.862818000000001</v>
      </c>
      <c r="K592" s="7">
        <f t="shared" si="18"/>
        <v>0.56067900000000004</v>
      </c>
      <c r="L592" s="8">
        <f t="shared" si="19"/>
        <v>21.072409333333336</v>
      </c>
      <c r="M592" s="9">
        <v>1.2426365508373601E-5</v>
      </c>
      <c r="N592">
        <v>1.08873727267196E-4</v>
      </c>
      <c r="O592" s="2">
        <v>4.1538196291348504</v>
      </c>
      <c r="P592" t="s">
        <v>2253</v>
      </c>
      <c r="Q592" s="10">
        <f>IF(N592&lt;='[1]statistical criteria'!$B$2,IF(O592&gt;=LOG('[1]statistical criteria'!$B$3,2),1,IF(O592&lt;=-1*LOG('[1]statistical criteria'!$B$3,2),2,"-")),"-")</f>
        <v>1</v>
      </c>
    </row>
    <row r="593" spans="1:21" x14ac:dyDescent="0.35">
      <c r="A593" t="s">
        <v>2254</v>
      </c>
      <c r="B593" t="s">
        <v>2255</v>
      </c>
      <c r="C593">
        <v>396</v>
      </c>
      <c r="D593" s="4">
        <v>0</v>
      </c>
      <c r="E593" s="4">
        <v>0</v>
      </c>
      <c r="F593" s="5">
        <v>7.7766919999999997</v>
      </c>
      <c r="G593" s="4">
        <v>0</v>
      </c>
      <c r="H593" s="6">
        <v>28.553999999999998</v>
      </c>
      <c r="I593" s="6">
        <v>25.857154999999999</v>
      </c>
      <c r="J593" s="6">
        <v>34.212812999999997</v>
      </c>
      <c r="K593" s="7">
        <f t="shared" si="18"/>
        <v>1.9441729999999999</v>
      </c>
      <c r="L593" s="8">
        <f t="shared" si="19"/>
        <v>29.541322666666662</v>
      </c>
      <c r="M593" s="9">
        <v>1.04749068035184E-5</v>
      </c>
      <c r="N593" s="9">
        <v>9.3827948444789701E-5</v>
      </c>
      <c r="O593" s="2">
        <v>4.1494293608676998</v>
      </c>
      <c r="P593" t="s">
        <v>2254</v>
      </c>
      <c r="Q593" s="10">
        <f>IF(N593&lt;='[1]statistical criteria'!$B$2,IF(O593&gt;=LOG('[1]statistical criteria'!$B$3,2),1,IF(O593&lt;=-1*LOG('[1]statistical criteria'!$B$3,2),2,"-")),"-")</f>
        <v>1</v>
      </c>
      <c r="R593" t="s">
        <v>2256</v>
      </c>
      <c r="S593" t="s">
        <v>2257</v>
      </c>
      <c r="T593" s="9">
        <v>3E-34</v>
      </c>
      <c r="U593" t="s">
        <v>61</v>
      </c>
    </row>
    <row r="594" spans="1:21" x14ac:dyDescent="0.35">
      <c r="A594" t="s">
        <v>2258</v>
      </c>
      <c r="B594" t="s">
        <v>2259</v>
      </c>
      <c r="C594">
        <v>899</v>
      </c>
      <c r="D594" s="4">
        <v>0</v>
      </c>
      <c r="E594" s="4">
        <v>0</v>
      </c>
      <c r="F594" s="4">
        <v>0</v>
      </c>
      <c r="G594" s="5">
        <v>0.87574600000000002</v>
      </c>
      <c r="H594" s="6">
        <v>6.5885590000000001</v>
      </c>
      <c r="I594" s="6">
        <v>15.173629999999999</v>
      </c>
      <c r="J594" s="6">
        <v>6.1019009999999998</v>
      </c>
      <c r="K594" s="7">
        <f t="shared" si="18"/>
        <v>0.21893650000000001</v>
      </c>
      <c r="L594" s="8">
        <f t="shared" si="19"/>
        <v>9.2880299999999991</v>
      </c>
      <c r="M594" s="9">
        <v>4.1713343220827797E-6</v>
      </c>
      <c r="N594" s="9">
        <v>4.1365550885479501E-5</v>
      </c>
      <c r="O594" s="2">
        <v>4.1479927730219899</v>
      </c>
      <c r="P594" t="s">
        <v>2258</v>
      </c>
      <c r="Q594" s="10">
        <f>IF(N594&lt;='[1]statistical criteria'!$B$2,IF(O594&gt;=LOG('[1]statistical criteria'!$B$3,2),1,IF(O594&lt;=-1*LOG('[1]statistical criteria'!$B$3,2),2,"-")),"-")</f>
        <v>1</v>
      </c>
      <c r="R594" t="s">
        <v>2260</v>
      </c>
      <c r="S594" t="s">
        <v>2261</v>
      </c>
      <c r="T594" s="9">
        <v>3.0000000000000001E-112</v>
      </c>
      <c r="U594" t="s">
        <v>2262</v>
      </c>
    </row>
    <row r="595" spans="1:21" x14ac:dyDescent="0.35">
      <c r="A595" t="s">
        <v>2263</v>
      </c>
      <c r="B595" t="s">
        <v>2264</v>
      </c>
      <c r="C595">
        <v>1659</v>
      </c>
      <c r="D595" s="4">
        <v>0</v>
      </c>
      <c r="E595" s="4">
        <v>0</v>
      </c>
      <c r="F595" s="4">
        <v>0</v>
      </c>
      <c r="G595" s="4">
        <v>0</v>
      </c>
      <c r="H595" s="6">
        <v>2.4384839999999999</v>
      </c>
      <c r="I595" s="6">
        <v>1.4020699999999999</v>
      </c>
      <c r="J595" s="6">
        <v>6.5014000000000003</v>
      </c>
      <c r="K595" s="7">
        <f t="shared" si="18"/>
        <v>0</v>
      </c>
      <c r="L595" s="8">
        <f t="shared" si="19"/>
        <v>3.4473180000000005</v>
      </c>
      <c r="M595" s="9">
        <v>2.22475480664206E-7</v>
      </c>
      <c r="N595" s="9">
        <v>2.96270706580815E-6</v>
      </c>
      <c r="O595" s="2">
        <v>4.14788612624909</v>
      </c>
      <c r="P595" t="s">
        <v>2263</v>
      </c>
      <c r="Q595" s="10">
        <f>IF(N595&lt;='[1]statistical criteria'!$B$2,IF(O595&gt;=LOG('[1]statistical criteria'!$B$3,2),1,IF(O595&lt;=-1*LOG('[1]statistical criteria'!$B$3,2),2,"-")),"-")</f>
        <v>1</v>
      </c>
      <c r="R595" t="s">
        <v>1228</v>
      </c>
      <c r="S595" t="s">
        <v>2265</v>
      </c>
      <c r="T595">
        <v>0</v>
      </c>
      <c r="U595" t="s">
        <v>393</v>
      </c>
    </row>
    <row r="596" spans="1:21" x14ac:dyDescent="0.35">
      <c r="A596" t="s">
        <v>2266</v>
      </c>
      <c r="B596" t="s">
        <v>2267</v>
      </c>
      <c r="C596">
        <v>669</v>
      </c>
      <c r="D596" s="5">
        <v>3.506148</v>
      </c>
      <c r="E596" s="5">
        <v>6.0629790000000003</v>
      </c>
      <c r="F596" s="4">
        <v>0</v>
      </c>
      <c r="G596" s="5">
        <v>0.37506299999999998</v>
      </c>
      <c r="H596" s="6">
        <v>77.859153000000006</v>
      </c>
      <c r="I596" s="6">
        <v>80.449447000000006</v>
      </c>
      <c r="J596" s="6">
        <v>65.041400999999993</v>
      </c>
      <c r="K596" s="7">
        <f t="shared" si="18"/>
        <v>2.4860475000000002</v>
      </c>
      <c r="L596" s="8">
        <f t="shared" si="19"/>
        <v>74.450000333333335</v>
      </c>
      <c r="M596" s="9">
        <v>1.97907059288326E-8</v>
      </c>
      <c r="N596" s="9">
        <v>3.3453729319702003E-7</v>
      </c>
      <c r="O596" s="2">
        <v>4.1470145360590802</v>
      </c>
      <c r="P596" t="s">
        <v>2266</v>
      </c>
      <c r="Q596" s="10">
        <f>IF(N596&lt;='[1]statistical criteria'!$B$2,IF(O596&gt;=LOG('[1]statistical criteria'!$B$3,2),1,IF(O596&lt;=-1*LOG('[1]statistical criteria'!$B$3,2),2,"-")),"-")</f>
        <v>1</v>
      </c>
      <c r="R596" t="s">
        <v>2017</v>
      </c>
      <c r="S596" t="s">
        <v>2268</v>
      </c>
      <c r="T596" s="9">
        <v>9.9999999999999995E-58</v>
      </c>
      <c r="U596" t="s">
        <v>2019</v>
      </c>
    </row>
    <row r="597" spans="1:21" x14ac:dyDescent="0.35">
      <c r="A597" t="s">
        <v>2269</v>
      </c>
      <c r="B597" t="s">
        <v>2270</v>
      </c>
      <c r="C597">
        <v>1315</v>
      </c>
      <c r="D597" s="4">
        <v>0</v>
      </c>
      <c r="E597" s="4">
        <v>0</v>
      </c>
      <c r="F597" s="5">
        <v>0.44441799999999998</v>
      </c>
      <c r="G597" s="4">
        <v>0</v>
      </c>
      <c r="H597" s="6">
        <v>5.977214</v>
      </c>
      <c r="I597" s="6">
        <v>6.1733960000000003</v>
      </c>
      <c r="J597" s="6">
        <v>3.6378819999999998</v>
      </c>
      <c r="K597" s="7">
        <f t="shared" si="18"/>
        <v>0.11110449999999999</v>
      </c>
      <c r="L597" s="8">
        <f t="shared" si="19"/>
        <v>5.2628306666666669</v>
      </c>
      <c r="M597" s="9">
        <v>3.6991858694378E-6</v>
      </c>
      <c r="N597" s="9">
        <v>3.7079540213537703E-5</v>
      </c>
      <c r="O597" s="2">
        <v>4.1466883177664897</v>
      </c>
      <c r="P597" t="s">
        <v>2269</v>
      </c>
      <c r="Q597" s="10">
        <f>IF(N597&lt;='[1]statistical criteria'!$B$2,IF(O597&gt;=LOG('[1]statistical criteria'!$B$3,2),1,IF(O597&lt;=-1*LOG('[1]statistical criteria'!$B$3,2),2,"-")),"-")</f>
        <v>1</v>
      </c>
      <c r="R597" t="s">
        <v>2271</v>
      </c>
      <c r="S597" t="s">
        <v>2272</v>
      </c>
      <c r="T597" s="9">
        <v>3.9999999999999997E-40</v>
      </c>
      <c r="U597" t="s">
        <v>2273</v>
      </c>
    </row>
    <row r="598" spans="1:21" x14ac:dyDescent="0.35">
      <c r="A598" t="s">
        <v>2274</v>
      </c>
      <c r="B598" t="s">
        <v>2275</v>
      </c>
      <c r="C598">
        <v>735</v>
      </c>
      <c r="D598" s="4">
        <v>0</v>
      </c>
      <c r="E598" s="4">
        <v>0</v>
      </c>
      <c r="F598" s="5">
        <v>1.654428</v>
      </c>
      <c r="G598" s="5">
        <v>5.948086</v>
      </c>
      <c r="H598" s="6">
        <v>36.506813000000001</v>
      </c>
      <c r="I598" s="6">
        <v>41.713844999999999</v>
      </c>
      <c r="J598" s="6">
        <v>46.383487000000002</v>
      </c>
      <c r="K598" s="7">
        <f t="shared" si="18"/>
        <v>1.9006285000000001</v>
      </c>
      <c r="L598" s="8">
        <f t="shared" si="19"/>
        <v>41.534714999999998</v>
      </c>
      <c r="M598" s="9">
        <v>3.8670176228793803E-7</v>
      </c>
      <c r="N598" s="9">
        <v>4.9008857317936402E-6</v>
      </c>
      <c r="O598" s="2">
        <v>4.1464125119394204</v>
      </c>
      <c r="P598" t="s">
        <v>2274</v>
      </c>
      <c r="Q598" s="10">
        <f>IF(N598&lt;='[1]statistical criteria'!$B$2,IF(O598&gt;=LOG('[1]statistical criteria'!$B$3,2),1,IF(O598&lt;=-1*LOG('[1]statistical criteria'!$B$3,2),2,"-")),"-")</f>
        <v>1</v>
      </c>
      <c r="S598" t="s">
        <v>1434</v>
      </c>
      <c r="T598" s="9">
        <v>3.9999999999999998E-82</v>
      </c>
      <c r="U598" t="s">
        <v>61</v>
      </c>
    </row>
    <row r="599" spans="1:21" x14ac:dyDescent="0.35">
      <c r="A599" t="s">
        <v>2276</v>
      </c>
      <c r="B599" t="s">
        <v>2277</v>
      </c>
      <c r="C599">
        <v>1506</v>
      </c>
      <c r="D599" s="4">
        <v>0</v>
      </c>
      <c r="E599" s="4">
        <v>0</v>
      </c>
      <c r="F599" s="5">
        <v>1.907141</v>
      </c>
      <c r="G599" s="4">
        <v>0</v>
      </c>
      <c r="H599" s="6">
        <v>4.0939110000000003</v>
      </c>
      <c r="I599" s="6">
        <v>9.7119149999999994</v>
      </c>
      <c r="J599" s="6">
        <v>4.7463810000000004</v>
      </c>
      <c r="K599" s="7">
        <f t="shared" si="18"/>
        <v>0.47678524999999999</v>
      </c>
      <c r="L599" s="8">
        <f t="shared" si="19"/>
        <v>6.184069</v>
      </c>
      <c r="M599" s="9">
        <v>9.9986866480549794E-8</v>
      </c>
      <c r="N599" s="9">
        <v>1.43820866902862E-6</v>
      </c>
      <c r="O599" s="2">
        <v>4.1447342683009598</v>
      </c>
      <c r="P599" t="s">
        <v>2276</v>
      </c>
      <c r="Q599" s="10">
        <f>IF(N599&lt;='[1]statistical criteria'!$B$2,IF(O599&gt;=LOG('[1]statistical criteria'!$B$3,2),1,IF(O599&lt;=-1*LOG('[1]statistical criteria'!$B$3,2),2,"-")),"-")</f>
        <v>1</v>
      </c>
      <c r="R599" t="s">
        <v>2278</v>
      </c>
      <c r="S599" t="s">
        <v>2279</v>
      </c>
      <c r="T599">
        <v>0</v>
      </c>
      <c r="U599" t="s">
        <v>2280</v>
      </c>
    </row>
    <row r="600" spans="1:21" x14ac:dyDescent="0.35">
      <c r="A600" t="s">
        <v>2281</v>
      </c>
      <c r="B600" t="s">
        <v>1077</v>
      </c>
      <c r="C600">
        <v>1179</v>
      </c>
      <c r="D600" s="5">
        <v>0.97140099999999996</v>
      </c>
      <c r="E600" s="4">
        <v>0</v>
      </c>
      <c r="F600" s="4">
        <v>0</v>
      </c>
      <c r="G600" s="4">
        <v>0</v>
      </c>
      <c r="H600" s="6">
        <v>8.0752819999999996</v>
      </c>
      <c r="I600" s="6">
        <v>8.2715259999999997</v>
      </c>
      <c r="J600" s="6">
        <v>3.393716</v>
      </c>
      <c r="K600" s="7">
        <f t="shared" si="18"/>
        <v>0.24285024999999999</v>
      </c>
      <c r="L600" s="8">
        <f t="shared" si="19"/>
        <v>6.5801746666666672</v>
      </c>
      <c r="M600" s="9">
        <v>1.1543390078016499E-5</v>
      </c>
      <c r="N600">
        <v>1.0193654451207599E-4</v>
      </c>
      <c r="O600" s="2">
        <v>4.1407670961832403</v>
      </c>
      <c r="P600" t="s">
        <v>2281</v>
      </c>
      <c r="Q600" s="10">
        <f>IF(N600&lt;='[1]statistical criteria'!$B$2,IF(O600&gt;=LOG('[1]statistical criteria'!$B$3,2),1,IF(O600&lt;=-1*LOG('[1]statistical criteria'!$B$3,2),2,"-")),"-")</f>
        <v>1</v>
      </c>
      <c r="R600" t="s">
        <v>177</v>
      </c>
      <c r="S600" t="s">
        <v>178</v>
      </c>
      <c r="T600" s="9">
        <v>2E-116</v>
      </c>
      <c r="U600" t="s">
        <v>179</v>
      </c>
    </row>
    <row r="601" spans="1:21" x14ac:dyDescent="0.35">
      <c r="A601" t="s">
        <v>2282</v>
      </c>
      <c r="B601" t="s">
        <v>2283</v>
      </c>
      <c r="C601">
        <v>1027</v>
      </c>
      <c r="D601" s="5">
        <v>10.011521999999999</v>
      </c>
      <c r="E601" s="5">
        <v>3.122465</v>
      </c>
      <c r="F601" s="4">
        <v>0</v>
      </c>
      <c r="G601" s="5">
        <v>5.7582610000000001</v>
      </c>
      <c r="H601" s="6">
        <v>222.67300399999999</v>
      </c>
      <c r="I601" s="6">
        <v>39.795851999999996</v>
      </c>
      <c r="J601" s="6">
        <v>236.99243100000001</v>
      </c>
      <c r="K601" s="7">
        <f t="shared" si="18"/>
        <v>4.7230619999999996</v>
      </c>
      <c r="L601" s="8">
        <f t="shared" si="19"/>
        <v>166.48709566666665</v>
      </c>
      <c r="M601" s="9">
        <v>6.2276569577381406E-5</v>
      </c>
      <c r="N601">
        <v>4.5188884355634799E-4</v>
      </c>
      <c r="O601" s="2">
        <v>4.1406166539929501</v>
      </c>
      <c r="P601" t="s">
        <v>2282</v>
      </c>
      <c r="Q601" s="10">
        <f>IF(N601&lt;='[1]statistical criteria'!$B$2,IF(O601&gt;=LOG('[1]statistical criteria'!$B$3,2),1,IF(O601&lt;=-1*LOG('[1]statistical criteria'!$B$3,2),2,"-")),"-")</f>
        <v>1</v>
      </c>
      <c r="R601" t="s">
        <v>2284</v>
      </c>
      <c r="S601" t="s">
        <v>2285</v>
      </c>
      <c r="T601" s="9">
        <v>2E-132</v>
      </c>
      <c r="U601" t="s">
        <v>2286</v>
      </c>
    </row>
    <row r="602" spans="1:21" x14ac:dyDescent="0.35">
      <c r="A602" t="s">
        <v>2287</v>
      </c>
      <c r="B602" t="s">
        <v>2288</v>
      </c>
      <c r="C602">
        <v>1908</v>
      </c>
      <c r="D602" s="4">
        <v>0</v>
      </c>
      <c r="E602" s="5">
        <v>4.0475640000000004</v>
      </c>
      <c r="F602" s="4">
        <v>0</v>
      </c>
      <c r="G602" s="4">
        <v>0</v>
      </c>
      <c r="H602" s="6">
        <v>7.57308</v>
      </c>
      <c r="I602" s="6">
        <v>4.6462349999999999</v>
      </c>
      <c r="J602" s="6">
        <v>7.0204579999999996</v>
      </c>
      <c r="K602" s="7">
        <f t="shared" si="18"/>
        <v>1.0118910000000001</v>
      </c>
      <c r="L602" s="8">
        <f t="shared" si="19"/>
        <v>6.4132576666666665</v>
      </c>
      <c r="M602" s="9">
        <v>1.6088652668540401E-5</v>
      </c>
      <c r="N602">
        <v>1.37448736378148E-4</v>
      </c>
      <c r="O602" s="2">
        <v>4.1391406932605799</v>
      </c>
      <c r="P602" t="s">
        <v>2287</v>
      </c>
      <c r="Q602" s="10">
        <f>IF(N602&lt;='[1]statistical criteria'!$B$2,IF(O602&gt;=LOG('[1]statistical criteria'!$B$3,2),1,IF(O602&lt;=-1*LOG('[1]statistical criteria'!$B$3,2),2,"-")),"-")</f>
        <v>1</v>
      </c>
      <c r="R602" t="s">
        <v>2131</v>
      </c>
    </row>
    <row r="603" spans="1:21" x14ac:dyDescent="0.35">
      <c r="A603" t="s">
        <v>2289</v>
      </c>
      <c r="B603" t="s">
        <v>2290</v>
      </c>
      <c r="C603">
        <v>954</v>
      </c>
      <c r="D603" s="5">
        <v>0.22712499999999999</v>
      </c>
      <c r="E603" s="4">
        <v>0</v>
      </c>
      <c r="F603" s="5">
        <v>0.99486600000000003</v>
      </c>
      <c r="G603" s="5">
        <v>0.45663399999999998</v>
      </c>
      <c r="H603" s="6">
        <v>36.054412999999997</v>
      </c>
      <c r="I603" s="6">
        <v>23.828778</v>
      </c>
      <c r="J603" s="6">
        <v>28.973970000000001</v>
      </c>
      <c r="K603" s="7">
        <f t="shared" si="18"/>
        <v>0.41965625000000001</v>
      </c>
      <c r="L603" s="8">
        <f t="shared" si="19"/>
        <v>29.619053666666662</v>
      </c>
      <c r="M603" s="9">
        <v>3.5389593597328698E-6</v>
      </c>
      <c r="N603" s="9">
        <v>3.5538995575575997E-5</v>
      </c>
      <c r="O603" s="2">
        <v>4.1385690204187897</v>
      </c>
      <c r="P603" t="s">
        <v>2289</v>
      </c>
      <c r="Q603" s="10">
        <f>IF(N603&lt;='[1]statistical criteria'!$B$2,IF(O603&gt;=LOG('[1]statistical criteria'!$B$3,2),1,IF(O603&lt;=-1*LOG('[1]statistical criteria'!$B$3,2),2,"-")),"-")</f>
        <v>1</v>
      </c>
    </row>
    <row r="604" spans="1:21" x14ac:dyDescent="0.35">
      <c r="A604" t="s">
        <v>2291</v>
      </c>
      <c r="B604" t="s">
        <v>2292</v>
      </c>
      <c r="C604">
        <v>1533</v>
      </c>
      <c r="D604" s="5">
        <v>2.8089</v>
      </c>
      <c r="E604" s="4">
        <v>0</v>
      </c>
      <c r="F604" s="4">
        <v>0</v>
      </c>
      <c r="G604" s="4">
        <v>0</v>
      </c>
      <c r="H604" s="6">
        <v>3.6530710000000002</v>
      </c>
      <c r="I604" s="6">
        <v>5.6188269999999996</v>
      </c>
      <c r="J604" s="6">
        <v>9.2041559999999993</v>
      </c>
      <c r="K604" s="7">
        <f t="shared" si="18"/>
        <v>0.70222499999999999</v>
      </c>
      <c r="L604" s="8">
        <f t="shared" si="19"/>
        <v>6.1586846666666659</v>
      </c>
      <c r="M604" s="9">
        <v>2.3585880593656101E-6</v>
      </c>
      <c r="N604" s="9">
        <v>2.47635480108842E-5</v>
      </c>
      <c r="O604" s="2">
        <v>4.1375176930007198</v>
      </c>
      <c r="P604" t="s">
        <v>2291</v>
      </c>
      <c r="Q604" s="10">
        <f>IF(N604&lt;='[1]statistical criteria'!$B$2,IF(O604&gt;=LOG('[1]statistical criteria'!$B$3,2),1,IF(O604&lt;=-1*LOG('[1]statistical criteria'!$B$3,2),2,"-")),"-")</f>
        <v>1</v>
      </c>
      <c r="R604" t="s">
        <v>2293</v>
      </c>
      <c r="S604" t="s">
        <v>2294</v>
      </c>
      <c r="T604">
        <v>0</v>
      </c>
      <c r="U604" t="s">
        <v>2295</v>
      </c>
    </row>
    <row r="605" spans="1:21" x14ac:dyDescent="0.35">
      <c r="A605" t="s">
        <v>2296</v>
      </c>
      <c r="B605" t="s">
        <v>2297</v>
      </c>
      <c r="C605">
        <v>2139</v>
      </c>
      <c r="D605" s="4">
        <v>0</v>
      </c>
      <c r="E605" s="5">
        <v>0.94299699999999997</v>
      </c>
      <c r="F605" s="4">
        <v>0</v>
      </c>
      <c r="G605" s="4">
        <v>0</v>
      </c>
      <c r="H605" s="6">
        <v>4.4064360000000002</v>
      </c>
      <c r="I605" s="6">
        <v>3.9686889999999999</v>
      </c>
      <c r="J605" s="6">
        <v>6.1205679999999996</v>
      </c>
      <c r="K605" s="7">
        <f t="shared" si="18"/>
        <v>0.23574924999999999</v>
      </c>
      <c r="L605" s="8">
        <f t="shared" si="19"/>
        <v>4.8318976666666664</v>
      </c>
      <c r="M605" s="9">
        <v>1.22690696284358E-5</v>
      </c>
      <c r="N605">
        <v>1.07596263262328E-4</v>
      </c>
      <c r="O605" s="2">
        <v>4.13643601633669</v>
      </c>
      <c r="P605" t="s">
        <v>2296</v>
      </c>
      <c r="Q605" s="10">
        <f>IF(N605&lt;='[1]statistical criteria'!$B$2,IF(O605&gt;=LOG('[1]statistical criteria'!$B$3,2),1,IF(O605&lt;=-1*LOG('[1]statistical criteria'!$B$3,2),2,"-")),"-")</f>
        <v>1</v>
      </c>
      <c r="S605" t="s">
        <v>2298</v>
      </c>
      <c r="T605" s="9">
        <v>8.0000000000000005E-9</v>
      </c>
      <c r="U605" t="s">
        <v>2299</v>
      </c>
    </row>
    <row r="606" spans="1:21" x14ac:dyDescent="0.35">
      <c r="A606" t="s">
        <v>2300</v>
      </c>
      <c r="B606" t="s">
        <v>2301</v>
      </c>
      <c r="C606">
        <v>510</v>
      </c>
      <c r="D606" s="5">
        <v>3.3373569999999999</v>
      </c>
      <c r="E606" s="4">
        <v>0</v>
      </c>
      <c r="F606" s="5">
        <v>1.9676020000000001</v>
      </c>
      <c r="G606" s="4">
        <v>0</v>
      </c>
      <c r="H606" s="6">
        <v>83.492383000000004</v>
      </c>
      <c r="I606" s="6">
        <v>12.693708000000001</v>
      </c>
      <c r="J606" s="6">
        <v>80.383291</v>
      </c>
      <c r="K606" s="7">
        <f t="shared" si="18"/>
        <v>1.3262397500000001</v>
      </c>
      <c r="L606" s="8">
        <f t="shared" si="19"/>
        <v>58.856460666666671</v>
      </c>
      <c r="M606">
        <v>2.7309056000213801E-4</v>
      </c>
      <c r="N606">
        <v>1.63219640604293E-3</v>
      </c>
      <c r="O606" s="2">
        <v>4.1363410491613299</v>
      </c>
      <c r="P606" t="s">
        <v>2300</v>
      </c>
      <c r="Q606" s="10">
        <f>IF(N606&lt;='[1]statistical criteria'!$B$2,IF(O606&gt;=LOG('[1]statistical criteria'!$B$3,2),1,IF(O606&lt;=-1*LOG('[1]statistical criteria'!$B$3,2),2,"-")),"-")</f>
        <v>1</v>
      </c>
      <c r="S606" t="s">
        <v>2302</v>
      </c>
      <c r="T606">
        <v>4.1000000000000002E-2</v>
      </c>
      <c r="U606" t="s">
        <v>907</v>
      </c>
    </row>
    <row r="607" spans="1:21" x14ac:dyDescent="0.35">
      <c r="A607" t="s">
        <v>239</v>
      </c>
      <c r="B607" t="s">
        <v>240</v>
      </c>
      <c r="C607">
        <v>1176</v>
      </c>
      <c r="D607" s="5">
        <v>0.13733500000000001</v>
      </c>
      <c r="E607" s="4">
        <v>0</v>
      </c>
      <c r="F607" s="4">
        <v>0</v>
      </c>
      <c r="G607" s="4">
        <v>0</v>
      </c>
      <c r="H607" s="6">
        <v>1.870382</v>
      </c>
      <c r="I607" s="6">
        <v>6.1365540000000003</v>
      </c>
      <c r="J607" s="6">
        <v>5.6566520000000002</v>
      </c>
      <c r="K607" s="7">
        <f t="shared" si="18"/>
        <v>3.4333750000000003E-2</v>
      </c>
      <c r="L607" s="8">
        <f t="shared" si="19"/>
        <v>4.5545293333333339</v>
      </c>
      <c r="M607" s="9">
        <v>2.45663933690132E-6</v>
      </c>
      <c r="N607" s="9">
        <v>2.5686728890786901E-5</v>
      </c>
      <c r="O607" s="2">
        <v>4.1344902113099797</v>
      </c>
      <c r="P607" t="s">
        <v>239</v>
      </c>
      <c r="Q607" s="10">
        <f>IF(N607&lt;='[1]statistical criteria'!$B$2,IF(O607&gt;=LOG('[1]statistical criteria'!$B$3,2),1,IF(O607&lt;=-1*LOG('[1]statistical criteria'!$B$3,2),2,"-")),"-")</f>
        <v>1</v>
      </c>
      <c r="R607" t="s">
        <v>236</v>
      </c>
      <c r="S607" t="s">
        <v>237</v>
      </c>
      <c r="T607">
        <v>2E-3</v>
      </c>
      <c r="U607" t="s">
        <v>238</v>
      </c>
    </row>
    <row r="608" spans="1:21" x14ac:dyDescent="0.35">
      <c r="A608" t="s">
        <v>2303</v>
      </c>
      <c r="B608" t="s">
        <v>2304</v>
      </c>
      <c r="C608">
        <v>2031</v>
      </c>
      <c r="D608" s="4">
        <v>0</v>
      </c>
      <c r="E608" s="4">
        <v>0</v>
      </c>
      <c r="F608" s="4">
        <v>0</v>
      </c>
      <c r="G608" s="4">
        <v>0</v>
      </c>
      <c r="H608" s="6">
        <v>0.57643999999999995</v>
      </c>
      <c r="I608" s="6">
        <v>4.9592939999999999</v>
      </c>
      <c r="J608" s="6">
        <v>2.2779440000000002</v>
      </c>
      <c r="K608" s="7">
        <f t="shared" si="18"/>
        <v>0</v>
      </c>
      <c r="L608" s="8">
        <f t="shared" si="19"/>
        <v>2.604559333333333</v>
      </c>
      <c r="M608" s="9">
        <v>6.5121144462283594E-8</v>
      </c>
      <c r="N608" s="9">
        <v>9.8392646218122892E-7</v>
      </c>
      <c r="O608" s="2">
        <v>4.1317480093174703</v>
      </c>
      <c r="P608" t="s">
        <v>2303</v>
      </c>
      <c r="Q608" s="10">
        <f>IF(N608&lt;='[1]statistical criteria'!$B$2,IF(O608&gt;=LOG('[1]statistical criteria'!$B$3,2),1,IF(O608&lt;=-1*LOG('[1]statistical criteria'!$B$3,2),2,"-")),"-")</f>
        <v>1</v>
      </c>
      <c r="R608" t="s">
        <v>2305</v>
      </c>
      <c r="S608" t="s">
        <v>2306</v>
      </c>
      <c r="T608" s="9">
        <v>6E-103</v>
      </c>
      <c r="U608" t="s">
        <v>2307</v>
      </c>
    </row>
    <row r="609" spans="1:21" x14ac:dyDescent="0.35">
      <c r="A609" t="s">
        <v>2308</v>
      </c>
      <c r="B609" t="s">
        <v>2309</v>
      </c>
      <c r="C609">
        <v>333</v>
      </c>
      <c r="D609" s="5">
        <v>4.1331819999999997</v>
      </c>
      <c r="E609" s="5">
        <v>13.716354000000001</v>
      </c>
      <c r="F609" s="5">
        <v>1.1527240000000001</v>
      </c>
      <c r="G609" s="4">
        <v>0</v>
      </c>
      <c r="H609" s="6">
        <v>152.21213599999999</v>
      </c>
      <c r="I609" s="6">
        <v>264.28246300000001</v>
      </c>
      <c r="J609" s="6">
        <v>117.856666</v>
      </c>
      <c r="K609" s="7">
        <f t="shared" si="18"/>
        <v>4.7505649999999999</v>
      </c>
      <c r="L609" s="8">
        <f t="shared" si="19"/>
        <v>178.11708833333333</v>
      </c>
      <c r="M609" s="9">
        <v>2.02397631940106E-5</v>
      </c>
      <c r="N609">
        <v>1.6819331597468199E-4</v>
      </c>
      <c r="O609" s="2">
        <v>4.12994325679532</v>
      </c>
      <c r="P609" t="s">
        <v>2308</v>
      </c>
      <c r="Q609" s="10">
        <f>IF(N609&lt;='[1]statistical criteria'!$B$2,IF(O609&gt;=LOG('[1]statistical criteria'!$B$3,2),1,IF(O609&lt;=-1*LOG('[1]statistical criteria'!$B$3,2),2,"-")),"-")</f>
        <v>1</v>
      </c>
      <c r="S609" t="s">
        <v>133</v>
      </c>
      <c r="T609" t="s">
        <v>133</v>
      </c>
      <c r="U609" t="s">
        <v>134</v>
      </c>
    </row>
    <row r="610" spans="1:21" x14ac:dyDescent="0.35">
      <c r="A610" t="s">
        <v>2310</v>
      </c>
      <c r="B610" t="s">
        <v>2311</v>
      </c>
      <c r="C610">
        <v>990</v>
      </c>
      <c r="D610" s="5">
        <v>0.54492399999999996</v>
      </c>
      <c r="E610" s="4">
        <v>0</v>
      </c>
      <c r="F610" s="4">
        <v>0</v>
      </c>
      <c r="G610" s="4">
        <v>0</v>
      </c>
      <c r="H610" s="6">
        <v>7.7862640000000001</v>
      </c>
      <c r="I610" s="6">
        <v>5.1657000000000002</v>
      </c>
      <c r="J610" s="6">
        <v>7.0049279999999996</v>
      </c>
      <c r="K610" s="7">
        <f t="shared" si="18"/>
        <v>0.13623099999999999</v>
      </c>
      <c r="L610" s="8">
        <f t="shared" si="19"/>
        <v>6.6522973333333333</v>
      </c>
      <c r="M610" s="9">
        <v>1.06841349320319E-6</v>
      </c>
      <c r="N610" s="9">
        <v>1.22040268761445E-5</v>
      </c>
      <c r="O610" s="2">
        <v>4.1290948823079203</v>
      </c>
      <c r="P610" t="s">
        <v>2310</v>
      </c>
      <c r="Q610" s="10">
        <f>IF(N610&lt;='[1]statistical criteria'!$B$2,IF(O610&gt;=LOG('[1]statistical criteria'!$B$3,2),1,IF(O610&lt;=-1*LOG('[1]statistical criteria'!$B$3,2),2,"-")),"-")</f>
        <v>1</v>
      </c>
      <c r="R610" t="s">
        <v>2312</v>
      </c>
      <c r="S610" t="s">
        <v>2313</v>
      </c>
      <c r="T610" s="9">
        <v>6.0000000000000001E-179</v>
      </c>
      <c r="U610" t="s">
        <v>2314</v>
      </c>
    </row>
    <row r="611" spans="1:21" x14ac:dyDescent="0.35">
      <c r="A611" t="s">
        <v>2315</v>
      </c>
      <c r="B611" t="s">
        <v>2316</v>
      </c>
      <c r="C611">
        <v>714</v>
      </c>
      <c r="D611" s="4">
        <v>0</v>
      </c>
      <c r="E611" s="4">
        <v>0</v>
      </c>
      <c r="F611" s="5">
        <v>0.60438599999999998</v>
      </c>
      <c r="G611" s="4">
        <v>0</v>
      </c>
      <c r="H611" s="6">
        <v>7.8810659999999997</v>
      </c>
      <c r="I611" s="6">
        <v>6.7315579999999997</v>
      </c>
      <c r="J611" s="6">
        <v>13.892486999999999</v>
      </c>
      <c r="K611" s="7">
        <f t="shared" si="18"/>
        <v>0.15109649999999999</v>
      </c>
      <c r="L611" s="8">
        <f t="shared" si="19"/>
        <v>9.5017036666666659</v>
      </c>
      <c r="M611" s="9">
        <v>1.18289084107532E-5</v>
      </c>
      <c r="N611">
        <v>1.0416664833717401E-4</v>
      </c>
      <c r="O611" s="2">
        <v>4.12861885378826</v>
      </c>
      <c r="P611" t="s">
        <v>2315</v>
      </c>
      <c r="Q611" s="10">
        <f>IF(N611&lt;='[1]statistical criteria'!$B$2,IF(O611&gt;=LOG('[1]statistical criteria'!$B$3,2),1,IF(O611&lt;=-1*LOG('[1]statistical criteria'!$B$3,2),2,"-")),"-")</f>
        <v>1</v>
      </c>
      <c r="R611" t="s">
        <v>2317</v>
      </c>
      <c r="S611" t="s">
        <v>2318</v>
      </c>
      <c r="T611" s="9">
        <v>9.999999999999999E-94</v>
      </c>
      <c r="U611" t="s">
        <v>2319</v>
      </c>
    </row>
    <row r="612" spans="1:21" x14ac:dyDescent="0.35">
      <c r="A612" t="s">
        <v>2320</v>
      </c>
      <c r="B612" t="s">
        <v>2321</v>
      </c>
      <c r="C612">
        <v>1161</v>
      </c>
      <c r="D612" s="5">
        <v>5.3740699999999997</v>
      </c>
      <c r="E612" s="4">
        <v>0</v>
      </c>
      <c r="F612" s="4">
        <v>0</v>
      </c>
      <c r="G612" s="5">
        <v>1.417246</v>
      </c>
      <c r="H612" s="6">
        <v>29.991498</v>
      </c>
      <c r="I612" s="6">
        <v>17.039501000000001</v>
      </c>
      <c r="J612" s="6">
        <v>18.266465</v>
      </c>
      <c r="K612" s="7">
        <f t="shared" si="18"/>
        <v>1.697829</v>
      </c>
      <c r="L612" s="8">
        <f t="shared" si="19"/>
        <v>21.765821333333335</v>
      </c>
      <c r="M612" s="9">
        <v>2.10764830122901E-5</v>
      </c>
      <c r="N612">
        <v>1.7442290572902E-4</v>
      </c>
      <c r="O612" s="2">
        <v>4.1233872094630399</v>
      </c>
      <c r="P612" t="s">
        <v>2320</v>
      </c>
      <c r="Q612" s="10">
        <f>IF(N612&lt;='[1]statistical criteria'!$B$2,IF(O612&gt;=LOG('[1]statistical criteria'!$B$3,2),1,IF(O612&lt;=-1*LOG('[1]statistical criteria'!$B$3,2),2,"-")),"-")</f>
        <v>1</v>
      </c>
      <c r="R612" t="s">
        <v>980</v>
      </c>
      <c r="S612" t="s">
        <v>2322</v>
      </c>
      <c r="T612" s="9">
        <v>9.9999999999999995E-178</v>
      </c>
      <c r="U612" t="s">
        <v>982</v>
      </c>
    </row>
    <row r="613" spans="1:21" x14ac:dyDescent="0.35">
      <c r="A613" t="s">
        <v>2323</v>
      </c>
      <c r="B613" t="s">
        <v>2324</v>
      </c>
      <c r="C613">
        <v>2523</v>
      </c>
      <c r="D613" s="4">
        <v>0</v>
      </c>
      <c r="E613" s="4">
        <v>0</v>
      </c>
      <c r="F613" s="4">
        <v>0</v>
      </c>
      <c r="G613" s="5">
        <v>0.73375100000000004</v>
      </c>
      <c r="H613" s="6">
        <v>3.9261339999999998</v>
      </c>
      <c r="I613" s="6">
        <v>2.3375789999999999</v>
      </c>
      <c r="J613" s="6">
        <v>4.2342469999999999</v>
      </c>
      <c r="K613" s="7">
        <f t="shared" si="18"/>
        <v>0.18343775000000001</v>
      </c>
      <c r="L613" s="8">
        <f t="shared" si="19"/>
        <v>3.4993199999999995</v>
      </c>
      <c r="M613" s="9">
        <v>3.4938927960830298E-6</v>
      </c>
      <c r="N613" s="9">
        <v>3.5160294831757202E-5</v>
      </c>
      <c r="O613" s="2">
        <v>4.1216768503444401</v>
      </c>
      <c r="P613" t="s">
        <v>2323</v>
      </c>
      <c r="Q613" s="10">
        <f>IF(N613&lt;='[1]statistical criteria'!$B$2,IF(O613&gt;=LOG('[1]statistical criteria'!$B$3,2),1,IF(O613&lt;=-1*LOG('[1]statistical criteria'!$B$3,2),2,"-")),"-")</f>
        <v>1</v>
      </c>
      <c r="S613" t="s">
        <v>2325</v>
      </c>
      <c r="T613" s="9">
        <v>1E-50</v>
      </c>
      <c r="U613" t="s">
        <v>61</v>
      </c>
    </row>
    <row r="614" spans="1:21" x14ac:dyDescent="0.35">
      <c r="A614" t="s">
        <v>2326</v>
      </c>
      <c r="C614">
        <v>687</v>
      </c>
      <c r="D614" s="4">
        <v>0</v>
      </c>
      <c r="E614" s="4">
        <v>0</v>
      </c>
      <c r="F614" s="4">
        <v>0</v>
      </c>
      <c r="G614" s="4">
        <v>0</v>
      </c>
      <c r="H614" s="6">
        <v>6.7786569999999999</v>
      </c>
      <c r="I614" s="6">
        <v>8.4759499999999992</v>
      </c>
      <c r="J614" s="6">
        <v>1.7287360000000001</v>
      </c>
      <c r="K614" s="7">
        <f t="shared" si="18"/>
        <v>0</v>
      </c>
      <c r="L614" s="8">
        <f t="shared" si="19"/>
        <v>5.6611143333333338</v>
      </c>
      <c r="M614" s="9">
        <v>8.0761659411347806E-6</v>
      </c>
      <c r="N614" s="9">
        <v>7.4952176473930694E-5</v>
      </c>
      <c r="O614" s="2">
        <v>4.1199230746781099</v>
      </c>
      <c r="P614" t="s">
        <v>2326</v>
      </c>
      <c r="Q614" s="10">
        <f>IF(N614&lt;='[1]statistical criteria'!$B$2,IF(O614&gt;=LOG('[1]statistical criteria'!$B$3,2),1,IF(O614&lt;=-1*LOG('[1]statistical criteria'!$B$3,2),2,"-")),"-")</f>
        <v>1</v>
      </c>
    </row>
    <row r="615" spans="1:21" x14ac:dyDescent="0.35">
      <c r="A615" t="s">
        <v>2327</v>
      </c>
      <c r="B615" t="s">
        <v>620</v>
      </c>
      <c r="C615">
        <v>591</v>
      </c>
      <c r="D615" s="4">
        <v>0</v>
      </c>
      <c r="E615" s="4">
        <v>0</v>
      </c>
      <c r="F615" s="4">
        <v>0</v>
      </c>
      <c r="G615" s="5">
        <v>0.57170299999999996</v>
      </c>
      <c r="H615" s="6">
        <v>20.623778000000001</v>
      </c>
      <c r="I615" s="6">
        <v>9.5468620000000008</v>
      </c>
      <c r="J615" s="6">
        <v>10.565148000000001</v>
      </c>
      <c r="K615" s="7">
        <f t="shared" si="18"/>
        <v>0.14292574999999999</v>
      </c>
      <c r="L615" s="8">
        <f t="shared" si="19"/>
        <v>13.578595999999999</v>
      </c>
      <c r="M615" s="9">
        <v>2.5703341592663098E-6</v>
      </c>
      <c r="N615" s="9">
        <v>2.6714068296470701E-5</v>
      </c>
      <c r="O615" s="2">
        <v>4.1177461209001001</v>
      </c>
      <c r="P615" t="s">
        <v>2327</v>
      </c>
      <c r="Q615" s="10">
        <f>IF(N615&lt;='[1]statistical criteria'!$B$2,IF(O615&gt;=LOG('[1]statistical criteria'!$B$3,2),1,IF(O615&lt;=-1*LOG('[1]statistical criteria'!$B$3,2),2,"-")),"-")</f>
        <v>1</v>
      </c>
      <c r="R615" t="s">
        <v>310</v>
      </c>
    </row>
    <row r="616" spans="1:21" x14ac:dyDescent="0.35">
      <c r="A616" t="s">
        <v>2328</v>
      </c>
      <c r="B616" t="s">
        <v>2329</v>
      </c>
      <c r="C616">
        <v>1203</v>
      </c>
      <c r="D616" s="5">
        <v>1.1590579999999999</v>
      </c>
      <c r="E616" s="4">
        <v>0</v>
      </c>
      <c r="F616" s="4">
        <v>0</v>
      </c>
      <c r="G616" s="4">
        <v>0</v>
      </c>
      <c r="H616" s="6">
        <v>6.378806</v>
      </c>
      <c r="I616" s="6">
        <v>6.1428099999999999</v>
      </c>
      <c r="J616" s="6">
        <v>5.6749219999999996</v>
      </c>
      <c r="K616" s="7">
        <f t="shared" si="18"/>
        <v>0.28976449999999998</v>
      </c>
      <c r="L616" s="8">
        <f t="shared" si="19"/>
        <v>6.0655126666666668</v>
      </c>
      <c r="M616" s="9">
        <v>9.3520174697234908E-6</v>
      </c>
      <c r="N616" s="9">
        <v>8.5132213560793098E-5</v>
      </c>
      <c r="O616" s="2">
        <v>4.1092373650521496</v>
      </c>
      <c r="P616" t="s">
        <v>2328</v>
      </c>
      <c r="Q616" s="10">
        <f>IF(N616&lt;='[1]statistical criteria'!$B$2,IF(O616&gt;=LOG('[1]statistical criteria'!$B$3,2),1,IF(O616&lt;=-1*LOG('[1]statistical criteria'!$B$3,2),2,"-")),"-")</f>
        <v>1</v>
      </c>
      <c r="R616" t="s">
        <v>2330</v>
      </c>
      <c r="S616" t="s">
        <v>2331</v>
      </c>
      <c r="T616" s="9">
        <v>3.9999999999999999E-69</v>
      </c>
      <c r="U616" t="s">
        <v>2332</v>
      </c>
    </row>
    <row r="617" spans="1:21" x14ac:dyDescent="0.35">
      <c r="A617" t="s">
        <v>2333</v>
      </c>
      <c r="B617" t="s">
        <v>2334</v>
      </c>
      <c r="C617">
        <v>1017</v>
      </c>
      <c r="D617" s="5">
        <v>0.129437</v>
      </c>
      <c r="E617" s="4">
        <v>0</v>
      </c>
      <c r="F617" s="4">
        <v>0</v>
      </c>
      <c r="G617" s="4">
        <v>0</v>
      </c>
      <c r="H617" s="6">
        <v>3.0759280000000002</v>
      </c>
      <c r="I617" s="6">
        <v>4.9212999999999996</v>
      </c>
      <c r="J617" s="6">
        <v>2.751474</v>
      </c>
      <c r="K617" s="7">
        <f t="shared" si="18"/>
        <v>3.2359249999999999E-2</v>
      </c>
      <c r="L617" s="8">
        <f t="shared" si="19"/>
        <v>3.5829006666666667</v>
      </c>
      <c r="M617" s="9">
        <v>7.0162304648442304E-6</v>
      </c>
      <c r="N617" s="9">
        <v>6.61639572576738E-5</v>
      </c>
      <c r="O617" s="2">
        <v>4.1083659002341903</v>
      </c>
      <c r="P617" t="s">
        <v>2333</v>
      </c>
      <c r="Q617" s="10">
        <f>IF(N617&lt;='[1]statistical criteria'!$B$2,IF(O617&gt;=LOG('[1]statistical criteria'!$B$3,2),1,IF(O617&lt;=-1*LOG('[1]statistical criteria'!$B$3,2),2,"-")),"-")</f>
        <v>1</v>
      </c>
      <c r="R617" t="s">
        <v>2335</v>
      </c>
      <c r="S617" t="s">
        <v>2336</v>
      </c>
      <c r="T617">
        <v>0</v>
      </c>
      <c r="U617" t="s">
        <v>2337</v>
      </c>
    </row>
    <row r="618" spans="1:21" x14ac:dyDescent="0.35">
      <c r="A618" t="s">
        <v>2338</v>
      </c>
      <c r="B618" t="s">
        <v>2339</v>
      </c>
      <c r="C618">
        <v>4383</v>
      </c>
      <c r="D618" s="4">
        <v>0</v>
      </c>
      <c r="E618" s="4">
        <v>0</v>
      </c>
      <c r="F618" s="4">
        <v>0</v>
      </c>
      <c r="G618" s="4">
        <v>0</v>
      </c>
      <c r="H618" s="6">
        <v>0.656698</v>
      </c>
      <c r="I618" s="6">
        <v>0.31991000000000003</v>
      </c>
      <c r="J618" s="6">
        <v>2.016562</v>
      </c>
      <c r="K618" s="7">
        <f t="shared" si="18"/>
        <v>0</v>
      </c>
      <c r="L618" s="8">
        <f t="shared" si="19"/>
        <v>0.99772333333333341</v>
      </c>
      <c r="M618" s="9">
        <v>5.5436122465238301E-6</v>
      </c>
      <c r="N618" s="9">
        <v>5.34964204114343E-5</v>
      </c>
      <c r="O618" s="2">
        <v>4.1072410094231904</v>
      </c>
      <c r="P618" t="s">
        <v>2338</v>
      </c>
      <c r="Q618" s="10">
        <f>IF(N618&lt;='[1]statistical criteria'!$B$2,IF(O618&gt;=LOG('[1]statistical criteria'!$B$3,2),1,IF(O618&lt;=-1*LOG('[1]statistical criteria'!$B$3,2),2,"-")),"-")</f>
        <v>1</v>
      </c>
      <c r="S618" t="s">
        <v>2340</v>
      </c>
      <c r="T618" s="9">
        <v>2.0000000000000001E-58</v>
      </c>
      <c r="U618" t="s">
        <v>215</v>
      </c>
    </row>
    <row r="619" spans="1:21" x14ac:dyDescent="0.35">
      <c r="A619" t="s">
        <v>2341</v>
      </c>
      <c r="B619" t="s">
        <v>2342</v>
      </c>
      <c r="C619">
        <v>2004</v>
      </c>
      <c r="D619" s="4">
        <v>0</v>
      </c>
      <c r="E619" s="5">
        <v>4.6134570000000004</v>
      </c>
      <c r="F619" s="4">
        <v>0</v>
      </c>
      <c r="G619" s="4">
        <v>0</v>
      </c>
      <c r="H619" s="6">
        <v>11.626340000000001</v>
      </c>
      <c r="I619" s="6">
        <v>4.1136290000000004</v>
      </c>
      <c r="J619" s="6">
        <v>8.1008840000000006</v>
      </c>
      <c r="K619" s="7">
        <f t="shared" si="18"/>
        <v>1.1533642500000001</v>
      </c>
      <c r="L619" s="8">
        <f t="shared" si="19"/>
        <v>7.9469510000000012</v>
      </c>
      <c r="M619" s="9">
        <v>6.4438596301788897E-6</v>
      </c>
      <c r="N619" s="9">
        <v>6.1236778408142002E-5</v>
      </c>
      <c r="O619" s="2">
        <v>4.1068045755385896</v>
      </c>
      <c r="P619" t="s">
        <v>2341</v>
      </c>
      <c r="Q619" s="10">
        <f>IF(N619&lt;='[1]statistical criteria'!$B$2,IF(O619&gt;=LOG('[1]statistical criteria'!$B$3,2),1,IF(O619&lt;=-1*LOG('[1]statistical criteria'!$B$3,2),2,"-")),"-")</f>
        <v>1</v>
      </c>
      <c r="R619" t="s">
        <v>980</v>
      </c>
      <c r="S619" t="s">
        <v>2343</v>
      </c>
      <c r="T619">
        <v>0</v>
      </c>
      <c r="U619" t="s">
        <v>982</v>
      </c>
    </row>
    <row r="620" spans="1:21" x14ac:dyDescent="0.35">
      <c r="A620" t="s">
        <v>2344</v>
      </c>
      <c r="B620" t="s">
        <v>2345</v>
      </c>
      <c r="C620">
        <v>1749</v>
      </c>
      <c r="D620" s="4">
        <v>0</v>
      </c>
      <c r="E620" s="4">
        <v>0</v>
      </c>
      <c r="F620" s="4">
        <v>0</v>
      </c>
      <c r="G620" s="4">
        <v>0</v>
      </c>
      <c r="H620" s="6">
        <v>1.7344299999999999</v>
      </c>
      <c r="I620" s="6">
        <v>5.1136059999999999</v>
      </c>
      <c r="J620" s="6">
        <v>2.1984539999999999</v>
      </c>
      <c r="K620" s="7">
        <f t="shared" si="18"/>
        <v>0</v>
      </c>
      <c r="L620" s="8">
        <f t="shared" si="19"/>
        <v>3.015496666666666</v>
      </c>
      <c r="M620" s="9">
        <v>9.6760005394658907E-6</v>
      </c>
      <c r="N620" s="9">
        <v>8.7766582586289702E-5</v>
      </c>
      <c r="O620" s="2">
        <v>4.1062864805023196</v>
      </c>
      <c r="P620" t="s">
        <v>2344</v>
      </c>
      <c r="Q620" s="10">
        <f>IF(N620&lt;='[1]statistical criteria'!$B$2,IF(O620&gt;=LOG('[1]statistical criteria'!$B$3,2),1,IF(O620&lt;=-1*LOG('[1]statistical criteria'!$B$3,2),2,"-")),"-")</f>
        <v>1</v>
      </c>
      <c r="R620" t="s">
        <v>2346</v>
      </c>
      <c r="S620" t="s">
        <v>2347</v>
      </c>
      <c r="T620">
        <v>0</v>
      </c>
      <c r="U620" t="s">
        <v>2348</v>
      </c>
    </row>
    <row r="621" spans="1:21" x14ac:dyDescent="0.35">
      <c r="A621" t="s">
        <v>2349</v>
      </c>
      <c r="B621" t="s">
        <v>2350</v>
      </c>
      <c r="C621">
        <v>1467</v>
      </c>
      <c r="D621" s="4">
        <v>0</v>
      </c>
      <c r="E621" s="4">
        <v>0</v>
      </c>
      <c r="F621" s="4">
        <v>0</v>
      </c>
      <c r="G621" s="5">
        <v>8.6829000000000003E-2</v>
      </c>
      <c r="H621" s="6">
        <v>2.5019809999999998</v>
      </c>
      <c r="I621" s="6">
        <v>1.6176539999999999</v>
      </c>
      <c r="J621" s="6">
        <v>5.2412929999999998</v>
      </c>
      <c r="K621" s="7">
        <f t="shared" si="18"/>
        <v>2.1707250000000001E-2</v>
      </c>
      <c r="L621" s="8">
        <f t="shared" si="19"/>
        <v>3.1203093333333332</v>
      </c>
      <c r="M621" s="9">
        <v>1.49376151292679E-5</v>
      </c>
      <c r="N621">
        <v>1.2862570855654701E-4</v>
      </c>
      <c r="O621" s="2">
        <v>4.1030944068805697</v>
      </c>
      <c r="P621" t="s">
        <v>2349</v>
      </c>
      <c r="Q621" s="10">
        <f>IF(N621&lt;='[1]statistical criteria'!$B$2,IF(O621&gt;=LOG('[1]statistical criteria'!$B$3,2),1,IF(O621&lt;=-1*LOG('[1]statistical criteria'!$B$3,2),2,"-")),"-")</f>
        <v>1</v>
      </c>
      <c r="S621" t="s">
        <v>2351</v>
      </c>
      <c r="T621" s="9">
        <v>2.0000000000000001E-89</v>
      </c>
      <c r="U621" t="s">
        <v>153</v>
      </c>
    </row>
    <row r="622" spans="1:21" x14ac:dyDescent="0.35">
      <c r="A622" t="s">
        <v>2352</v>
      </c>
      <c r="B622" t="s">
        <v>2353</v>
      </c>
      <c r="C622">
        <v>1191</v>
      </c>
      <c r="D622" s="4">
        <v>0</v>
      </c>
      <c r="E622" s="5">
        <v>0.40232299999999999</v>
      </c>
      <c r="F622" s="4">
        <v>0</v>
      </c>
      <c r="G622" s="5">
        <v>1.242866</v>
      </c>
      <c r="H622" s="6">
        <v>15.350782000000001</v>
      </c>
      <c r="I622" s="6">
        <v>14.855209</v>
      </c>
      <c r="J622" s="6">
        <v>4.9830920000000001</v>
      </c>
      <c r="K622" s="7">
        <f t="shared" si="18"/>
        <v>0.41129725</v>
      </c>
      <c r="L622" s="8">
        <f t="shared" si="19"/>
        <v>11.729694333333335</v>
      </c>
      <c r="M622" s="9">
        <v>1.8472393077539101E-5</v>
      </c>
      <c r="N622">
        <v>1.5530357422821701E-4</v>
      </c>
      <c r="O622" s="2">
        <v>4.1021524629814898</v>
      </c>
      <c r="P622" t="s">
        <v>2352</v>
      </c>
      <c r="Q622" s="10">
        <f>IF(N622&lt;='[1]statistical criteria'!$B$2,IF(O622&gt;=LOG('[1]statistical criteria'!$B$3,2),1,IF(O622&lt;=-1*LOG('[1]statistical criteria'!$B$3,2),2,"-")),"-")</f>
        <v>1</v>
      </c>
      <c r="R622" t="s">
        <v>2354</v>
      </c>
      <c r="S622" t="s">
        <v>2355</v>
      </c>
      <c r="T622">
        <v>0</v>
      </c>
      <c r="U622" t="s">
        <v>2356</v>
      </c>
    </row>
    <row r="623" spans="1:21" x14ac:dyDescent="0.35">
      <c r="A623" t="s">
        <v>2357</v>
      </c>
      <c r="B623" t="s">
        <v>2358</v>
      </c>
      <c r="C623">
        <v>1014</v>
      </c>
      <c r="D623" s="5">
        <v>1.2123710000000001</v>
      </c>
      <c r="E623" s="4">
        <v>0</v>
      </c>
      <c r="F623" s="5">
        <v>0.68036399999999997</v>
      </c>
      <c r="G623" s="5">
        <v>0.39858500000000002</v>
      </c>
      <c r="H623" s="6">
        <v>34.509422999999998</v>
      </c>
      <c r="I623" s="6">
        <v>47.38955</v>
      </c>
      <c r="J623" s="6">
        <v>23.040386999999999</v>
      </c>
      <c r="K623" s="7">
        <f t="shared" si="18"/>
        <v>0.57283000000000006</v>
      </c>
      <c r="L623" s="8">
        <f t="shared" si="19"/>
        <v>34.979786666666662</v>
      </c>
      <c r="M623" s="9">
        <v>2.9337426150895998E-10</v>
      </c>
      <c r="N623" s="9">
        <v>6.84599901473392E-9</v>
      </c>
      <c r="O623" s="2">
        <v>4.1005504897752498</v>
      </c>
      <c r="P623" t="s">
        <v>2357</v>
      </c>
      <c r="Q623" s="10">
        <f>IF(N623&lt;='[1]statistical criteria'!$B$2,IF(O623&gt;=LOG('[1]statistical criteria'!$B$3,2),1,IF(O623&lt;=-1*LOG('[1]statistical criteria'!$B$3,2),2,"-")),"-")</f>
        <v>1</v>
      </c>
      <c r="R623" t="s">
        <v>2359</v>
      </c>
      <c r="S623" t="s">
        <v>2360</v>
      </c>
      <c r="T623" s="9">
        <v>4.9999999999999999E-20</v>
      </c>
      <c r="U623" t="s">
        <v>2361</v>
      </c>
    </row>
    <row r="624" spans="1:21" x14ac:dyDescent="0.35">
      <c r="A624" t="s">
        <v>2362</v>
      </c>
      <c r="B624" t="s">
        <v>2363</v>
      </c>
      <c r="C624">
        <v>480</v>
      </c>
      <c r="D624" s="4">
        <v>0</v>
      </c>
      <c r="E624" s="4">
        <v>0</v>
      </c>
      <c r="F624" s="4">
        <v>0</v>
      </c>
      <c r="G624" s="4">
        <v>0</v>
      </c>
      <c r="H624" s="6">
        <v>10.062298999999999</v>
      </c>
      <c r="I624" s="6">
        <v>28.755658</v>
      </c>
      <c r="J624" s="6">
        <v>3.1721590000000002</v>
      </c>
      <c r="K624" s="7">
        <f t="shared" si="18"/>
        <v>0</v>
      </c>
      <c r="L624" s="8">
        <f t="shared" si="19"/>
        <v>13.996705333333333</v>
      </c>
      <c r="M624" s="9">
        <v>1.1275505717075001E-5</v>
      </c>
      <c r="N624">
        <v>1.0001066128918101E-4</v>
      </c>
      <c r="O624" s="2">
        <v>4.1003224466232897</v>
      </c>
      <c r="P624" t="s">
        <v>2362</v>
      </c>
      <c r="Q624" s="10">
        <f>IF(N624&lt;='[1]statistical criteria'!$B$2,IF(O624&gt;=LOG('[1]statistical criteria'!$B$3,2),1,IF(O624&lt;=-1*LOG('[1]statistical criteria'!$B$3,2),2,"-")),"-")</f>
        <v>1</v>
      </c>
      <c r="R624" t="s">
        <v>664</v>
      </c>
    </row>
    <row r="625" spans="1:21" x14ac:dyDescent="0.35">
      <c r="A625" t="s">
        <v>2364</v>
      </c>
      <c r="B625" t="s">
        <v>2365</v>
      </c>
      <c r="C625">
        <v>1629</v>
      </c>
      <c r="D625" s="4">
        <v>0</v>
      </c>
      <c r="E625" s="4">
        <v>0</v>
      </c>
      <c r="F625" s="4">
        <v>0</v>
      </c>
      <c r="G625" s="4">
        <v>0</v>
      </c>
      <c r="H625" s="6">
        <v>0.67309200000000002</v>
      </c>
      <c r="I625" s="6">
        <v>2.9207649999999998</v>
      </c>
      <c r="J625" s="6">
        <v>4.1770350000000001</v>
      </c>
      <c r="K625" s="7">
        <f t="shared" si="18"/>
        <v>0</v>
      </c>
      <c r="L625" s="8">
        <f t="shared" si="19"/>
        <v>2.5902973333333335</v>
      </c>
      <c r="M625" s="9">
        <v>3.1700616569898302E-6</v>
      </c>
      <c r="N625" s="9">
        <v>3.2272448800696997E-5</v>
      </c>
      <c r="O625" s="2">
        <v>4.0996458598951397</v>
      </c>
      <c r="P625" t="s">
        <v>2364</v>
      </c>
      <c r="Q625" s="10">
        <f>IF(N625&lt;='[1]statistical criteria'!$B$2,IF(O625&gt;=LOG('[1]statistical criteria'!$B$3,2),1,IF(O625&lt;=-1*LOG('[1]statistical criteria'!$B$3,2),2,"-")),"-")</f>
        <v>1</v>
      </c>
      <c r="R625" t="s">
        <v>2317</v>
      </c>
      <c r="S625" t="s">
        <v>2366</v>
      </c>
      <c r="T625" s="9">
        <v>3.0000000000000001E-142</v>
      </c>
      <c r="U625" t="s">
        <v>2319</v>
      </c>
    </row>
    <row r="626" spans="1:21" x14ac:dyDescent="0.35">
      <c r="A626" t="s">
        <v>2367</v>
      </c>
      <c r="B626" t="s">
        <v>2368</v>
      </c>
      <c r="C626">
        <v>1965</v>
      </c>
      <c r="D626" s="4">
        <v>0</v>
      </c>
      <c r="E626" s="4">
        <v>0</v>
      </c>
      <c r="F626" s="4">
        <v>0</v>
      </c>
      <c r="G626" s="4">
        <v>0</v>
      </c>
      <c r="H626" s="6">
        <v>3.037086</v>
      </c>
      <c r="I626" s="6">
        <v>0.67811200000000005</v>
      </c>
      <c r="J626" s="6">
        <v>3.5032730000000001</v>
      </c>
      <c r="K626" s="7">
        <f t="shared" si="18"/>
        <v>0</v>
      </c>
      <c r="L626" s="8">
        <f t="shared" si="19"/>
        <v>2.4061569999999999</v>
      </c>
      <c r="M626" s="9">
        <v>1.17100368602677E-5</v>
      </c>
      <c r="N626">
        <v>1.03263207345178E-4</v>
      </c>
      <c r="O626" s="2">
        <v>4.0980098736102901</v>
      </c>
      <c r="P626" t="s">
        <v>2367</v>
      </c>
      <c r="Q626" s="10">
        <f>IF(N626&lt;='[1]statistical criteria'!$B$2,IF(O626&gt;=LOG('[1]statistical criteria'!$B$3,2),1,IF(O626&lt;=-1*LOG('[1]statistical criteria'!$B$3,2),2,"-")),"-")</f>
        <v>1</v>
      </c>
      <c r="R626" t="s">
        <v>2369</v>
      </c>
      <c r="S626" t="s">
        <v>2370</v>
      </c>
      <c r="T626" s="9">
        <v>2E-136</v>
      </c>
      <c r="U626" t="s">
        <v>2371</v>
      </c>
    </row>
    <row r="627" spans="1:21" x14ac:dyDescent="0.35">
      <c r="A627" t="s">
        <v>2372</v>
      </c>
      <c r="B627" t="s">
        <v>2373</v>
      </c>
      <c r="C627">
        <v>1785</v>
      </c>
      <c r="D627" s="4">
        <v>0</v>
      </c>
      <c r="E627" s="4">
        <v>0</v>
      </c>
      <c r="F627" s="4">
        <v>0</v>
      </c>
      <c r="G627" s="5">
        <v>1.029242</v>
      </c>
      <c r="H627" s="6">
        <v>6.2766029999999997</v>
      </c>
      <c r="I627" s="6">
        <v>4.0644679999999997</v>
      </c>
      <c r="J627" s="6">
        <v>6.1206310000000004</v>
      </c>
      <c r="K627" s="7">
        <f t="shared" si="18"/>
        <v>0.2573105</v>
      </c>
      <c r="L627" s="8">
        <f t="shared" si="19"/>
        <v>5.4872339999999999</v>
      </c>
      <c r="M627" s="9">
        <v>1.6390143699645201E-5</v>
      </c>
      <c r="N627">
        <v>1.3974213019903601E-4</v>
      </c>
      <c r="O627" s="2">
        <v>4.09788055299214</v>
      </c>
      <c r="P627" t="s">
        <v>2372</v>
      </c>
      <c r="Q627" s="10">
        <f>IF(N627&lt;='[1]statistical criteria'!$B$2,IF(O627&gt;=LOG('[1]statistical criteria'!$B$3,2),1,IF(O627&lt;=-1*LOG('[1]statistical criteria'!$B$3,2),2,"-")),"-")</f>
        <v>1</v>
      </c>
      <c r="R627" t="s">
        <v>2374</v>
      </c>
      <c r="S627" t="s">
        <v>2375</v>
      </c>
      <c r="T627">
        <v>0</v>
      </c>
      <c r="U627" t="s">
        <v>2376</v>
      </c>
    </row>
    <row r="628" spans="1:21" x14ac:dyDescent="0.35">
      <c r="A628" t="s">
        <v>2377</v>
      </c>
      <c r="B628" t="s">
        <v>2378</v>
      </c>
      <c r="C628">
        <v>1111</v>
      </c>
      <c r="D628" s="4">
        <v>0</v>
      </c>
      <c r="E628" s="4">
        <v>0</v>
      </c>
      <c r="F628" s="4">
        <v>0</v>
      </c>
      <c r="G628" s="4">
        <v>0</v>
      </c>
      <c r="H628" s="6">
        <v>3.4380760000000001</v>
      </c>
      <c r="I628" s="6">
        <v>2.3417430000000001</v>
      </c>
      <c r="J628" s="6">
        <v>3.4314249999999999</v>
      </c>
      <c r="K628" s="7">
        <f t="shared" si="18"/>
        <v>0</v>
      </c>
      <c r="L628" s="8">
        <f t="shared" si="19"/>
        <v>3.0704146666666667</v>
      </c>
      <c r="M628" s="9">
        <v>4.7754626772380595E-7</v>
      </c>
      <c r="N628" s="9">
        <v>5.9184014814614302E-6</v>
      </c>
      <c r="O628" s="2">
        <v>4.0961376071776003</v>
      </c>
      <c r="P628" t="s">
        <v>2377</v>
      </c>
      <c r="Q628" s="10">
        <f>IF(N628&lt;='[1]statistical criteria'!$B$2,IF(O628&gt;=LOG('[1]statistical criteria'!$B$3,2),1,IF(O628&lt;=-1*LOG('[1]statistical criteria'!$B$3,2),2,"-")),"-")</f>
        <v>1</v>
      </c>
      <c r="R628" t="s">
        <v>1388</v>
      </c>
      <c r="S628" t="s">
        <v>1389</v>
      </c>
      <c r="T628" s="9">
        <v>2.9999999999999998E-129</v>
      </c>
      <c r="U628" t="s">
        <v>1390</v>
      </c>
    </row>
    <row r="629" spans="1:21" x14ac:dyDescent="0.35">
      <c r="A629" t="s">
        <v>2379</v>
      </c>
      <c r="B629" t="s">
        <v>2380</v>
      </c>
      <c r="C629">
        <v>435</v>
      </c>
      <c r="D629" s="4">
        <v>0</v>
      </c>
      <c r="E629" s="5">
        <v>5.1020709999999996</v>
      </c>
      <c r="F629" s="4">
        <v>0</v>
      </c>
      <c r="G629" s="4">
        <v>0</v>
      </c>
      <c r="H629" s="6">
        <v>40.841096999999998</v>
      </c>
      <c r="I629" s="6">
        <v>23.826117</v>
      </c>
      <c r="J629" s="6">
        <v>14.803407999999999</v>
      </c>
      <c r="K629" s="7">
        <f t="shared" si="18"/>
        <v>1.2755177499999999</v>
      </c>
      <c r="L629" s="8">
        <f t="shared" si="19"/>
        <v>26.490207333333334</v>
      </c>
      <c r="M629" s="9">
        <v>7.1520268078763799E-6</v>
      </c>
      <c r="N629" s="9">
        <v>6.7294472263974099E-5</v>
      </c>
      <c r="O629" s="2">
        <v>4.0944521857160403</v>
      </c>
      <c r="P629" t="s">
        <v>2379</v>
      </c>
      <c r="Q629" s="10">
        <f>IF(N629&lt;='[1]statistical criteria'!$B$2,IF(O629&gt;=LOG('[1]statistical criteria'!$B$3,2),1,IF(O629&lt;=-1*LOG('[1]statistical criteria'!$B$3,2),2,"-")),"-")</f>
        <v>1</v>
      </c>
      <c r="R629" t="s">
        <v>2381</v>
      </c>
    </row>
    <row r="630" spans="1:21" x14ac:dyDescent="0.35">
      <c r="A630" t="s">
        <v>2382</v>
      </c>
      <c r="B630" t="s">
        <v>2383</v>
      </c>
      <c r="C630">
        <v>927</v>
      </c>
      <c r="D630" s="4">
        <v>0</v>
      </c>
      <c r="E630" s="4">
        <v>0</v>
      </c>
      <c r="F630" s="4">
        <v>0</v>
      </c>
      <c r="G630" s="4">
        <v>0</v>
      </c>
      <c r="H630" s="6">
        <v>1.696596</v>
      </c>
      <c r="I630" s="6">
        <v>3.998815</v>
      </c>
      <c r="J630" s="6">
        <v>2.5870229999999999</v>
      </c>
      <c r="K630" s="7">
        <f t="shared" si="18"/>
        <v>0</v>
      </c>
      <c r="L630" s="8">
        <f t="shared" si="19"/>
        <v>2.7608113333333333</v>
      </c>
      <c r="M630" s="9">
        <v>1.0528529292861699E-5</v>
      </c>
      <c r="N630" s="9">
        <v>9.4219568513123893E-5</v>
      </c>
      <c r="O630" s="2">
        <v>4.0931159259924099</v>
      </c>
      <c r="P630" t="s">
        <v>2382</v>
      </c>
      <c r="Q630" s="10">
        <f>IF(N630&lt;='[1]statistical criteria'!$B$2,IF(O630&gt;=LOG('[1]statistical criteria'!$B$3,2),1,IF(O630&lt;=-1*LOG('[1]statistical criteria'!$B$3,2),2,"-")),"-")</f>
        <v>1</v>
      </c>
      <c r="S630" t="s">
        <v>2384</v>
      </c>
      <c r="T630" s="9">
        <v>9.9999999999999997E-29</v>
      </c>
      <c r="U630" t="s">
        <v>2385</v>
      </c>
    </row>
    <row r="631" spans="1:21" x14ac:dyDescent="0.35">
      <c r="A631" t="s">
        <v>2386</v>
      </c>
      <c r="B631" t="s">
        <v>2387</v>
      </c>
      <c r="C631">
        <v>1500</v>
      </c>
      <c r="D631" s="4">
        <v>0</v>
      </c>
      <c r="E631" s="4">
        <v>0</v>
      </c>
      <c r="F631" s="4">
        <v>0</v>
      </c>
      <c r="G631" s="4">
        <v>0</v>
      </c>
      <c r="H631" s="6">
        <v>0.81175399999999998</v>
      </c>
      <c r="I631" s="6">
        <v>1.3546309999999999</v>
      </c>
      <c r="J631" s="6">
        <v>3.7019410000000001</v>
      </c>
      <c r="K631" s="7">
        <f t="shared" si="18"/>
        <v>0</v>
      </c>
      <c r="L631" s="8">
        <f t="shared" si="19"/>
        <v>1.9561086666666665</v>
      </c>
      <c r="M631" s="9">
        <v>5.2513327218973497E-6</v>
      </c>
      <c r="N631" s="9">
        <v>5.1025203828290299E-5</v>
      </c>
      <c r="O631" s="2">
        <v>4.0852040933486702</v>
      </c>
      <c r="P631" t="s">
        <v>2386</v>
      </c>
      <c r="Q631" s="10">
        <f>IF(N631&lt;='[1]statistical criteria'!$B$2,IF(O631&gt;=LOG('[1]statistical criteria'!$B$3,2),1,IF(O631&lt;=-1*LOG('[1]statistical criteria'!$B$3,2),2,"-")),"-")</f>
        <v>1</v>
      </c>
      <c r="R631" t="s">
        <v>878</v>
      </c>
      <c r="S631" t="s">
        <v>879</v>
      </c>
      <c r="T631" s="9">
        <v>1E-26</v>
      </c>
      <c r="U631" t="s">
        <v>880</v>
      </c>
    </row>
    <row r="632" spans="1:21" x14ac:dyDescent="0.35">
      <c r="A632" t="s">
        <v>2388</v>
      </c>
      <c r="B632" t="s">
        <v>2389</v>
      </c>
      <c r="C632">
        <v>732</v>
      </c>
      <c r="D632" s="4">
        <v>0</v>
      </c>
      <c r="E632" s="4">
        <v>0</v>
      </c>
      <c r="F632" s="4">
        <v>0</v>
      </c>
      <c r="G632" s="4">
        <v>0</v>
      </c>
      <c r="H632" s="6">
        <v>1.2236450000000001</v>
      </c>
      <c r="I632" s="6">
        <v>6.478345</v>
      </c>
      <c r="J632" s="6">
        <v>5.4400009999999996</v>
      </c>
      <c r="K632" s="7">
        <f t="shared" si="18"/>
        <v>0</v>
      </c>
      <c r="L632" s="8">
        <f t="shared" si="19"/>
        <v>4.380663666666667</v>
      </c>
      <c r="M632" s="9">
        <v>3.2697131671291802E-7</v>
      </c>
      <c r="N632" s="9">
        <v>4.2028126694000798E-6</v>
      </c>
      <c r="O632" s="2">
        <v>4.0822555405310501</v>
      </c>
      <c r="P632" t="s">
        <v>2388</v>
      </c>
      <c r="Q632" s="10">
        <f>IF(N632&lt;='[1]statistical criteria'!$B$2,IF(O632&gt;=LOG('[1]statistical criteria'!$B$3,2),1,IF(O632&lt;=-1*LOG('[1]statistical criteria'!$B$3,2),2,"-")),"-")</f>
        <v>1</v>
      </c>
    </row>
    <row r="633" spans="1:21" x14ac:dyDescent="0.35">
      <c r="A633" t="s">
        <v>2390</v>
      </c>
      <c r="B633" t="s">
        <v>2391</v>
      </c>
      <c r="C633">
        <v>1383</v>
      </c>
      <c r="D633" s="4">
        <v>0</v>
      </c>
      <c r="E633" s="4">
        <v>0</v>
      </c>
      <c r="F633" s="4">
        <v>0</v>
      </c>
      <c r="G633" s="5">
        <v>0.121237</v>
      </c>
      <c r="H633" s="6">
        <v>5.545134</v>
      </c>
      <c r="I633" s="6">
        <v>1.33429</v>
      </c>
      <c r="J633" s="6">
        <v>4.3744909999999999</v>
      </c>
      <c r="K633" s="7">
        <f t="shared" si="18"/>
        <v>3.0309249999999999E-2</v>
      </c>
      <c r="L633" s="8">
        <f t="shared" si="19"/>
        <v>3.7513049999999999</v>
      </c>
      <c r="M633" s="9">
        <v>2.3601987170883401E-5</v>
      </c>
      <c r="N633">
        <v>1.93222549306049E-4</v>
      </c>
      <c r="O633" s="2">
        <v>4.0810594607496196</v>
      </c>
      <c r="P633" t="s">
        <v>2390</v>
      </c>
      <c r="Q633" s="10">
        <f>IF(N633&lt;='[1]statistical criteria'!$B$2,IF(O633&gt;=LOG('[1]statistical criteria'!$B$3,2),1,IF(O633&lt;=-1*LOG('[1]statistical criteria'!$B$3,2),2,"-")),"-")</f>
        <v>1</v>
      </c>
      <c r="R633" t="s">
        <v>182</v>
      </c>
      <c r="S633" t="s">
        <v>2392</v>
      </c>
      <c r="T633">
        <v>0</v>
      </c>
      <c r="U633" t="s">
        <v>2393</v>
      </c>
    </row>
    <row r="634" spans="1:21" x14ac:dyDescent="0.35">
      <c r="A634" t="s">
        <v>2394</v>
      </c>
      <c r="B634" t="s">
        <v>2395</v>
      </c>
      <c r="C634">
        <v>681</v>
      </c>
      <c r="D634" s="4">
        <v>0</v>
      </c>
      <c r="E634" s="4">
        <v>0</v>
      </c>
      <c r="F634" s="4">
        <v>0</v>
      </c>
      <c r="G634" s="5">
        <v>2.747538</v>
      </c>
      <c r="H634" s="6">
        <v>14.832481</v>
      </c>
      <c r="I634" s="6">
        <v>10.760031</v>
      </c>
      <c r="J634" s="6">
        <v>12.429603</v>
      </c>
      <c r="K634" s="7">
        <f t="shared" si="18"/>
        <v>0.68688450000000001</v>
      </c>
      <c r="L634" s="8">
        <f t="shared" si="19"/>
        <v>12.674038333333334</v>
      </c>
      <c r="M634" s="9">
        <v>1.6542645344380099E-5</v>
      </c>
      <c r="N634">
        <v>1.40947634163221E-4</v>
      </c>
      <c r="O634" s="2">
        <v>4.0808123627203896</v>
      </c>
      <c r="P634" t="s">
        <v>2394</v>
      </c>
      <c r="Q634" s="10">
        <f>IF(N634&lt;='[1]statistical criteria'!$B$2,IF(O634&gt;=LOG('[1]statistical criteria'!$B$3,2),1,IF(O634&lt;=-1*LOG('[1]statistical criteria'!$B$3,2),2,"-")),"-")</f>
        <v>1</v>
      </c>
      <c r="R634" t="s">
        <v>2396</v>
      </c>
      <c r="S634" t="s">
        <v>2397</v>
      </c>
      <c r="T634" s="9">
        <v>2.0000000000000001E-110</v>
      </c>
      <c r="U634" t="s">
        <v>2398</v>
      </c>
    </row>
    <row r="635" spans="1:21" x14ac:dyDescent="0.35">
      <c r="A635" t="s">
        <v>2399</v>
      </c>
      <c r="C635">
        <v>402</v>
      </c>
      <c r="D635" s="4">
        <v>0</v>
      </c>
      <c r="E635" s="4">
        <v>0</v>
      </c>
      <c r="F635" s="5">
        <v>1.1524430000000001</v>
      </c>
      <c r="G635" s="4">
        <v>0</v>
      </c>
      <c r="H635" s="6">
        <v>13.10497</v>
      </c>
      <c r="I635" s="6">
        <v>23.708490000000001</v>
      </c>
      <c r="J635" s="6">
        <v>10.554542</v>
      </c>
      <c r="K635" s="7">
        <f t="shared" si="18"/>
        <v>0.28811075000000003</v>
      </c>
      <c r="L635" s="8">
        <f t="shared" si="19"/>
        <v>15.789333999999998</v>
      </c>
      <c r="M635" s="9">
        <v>5.2877114458714096E-7</v>
      </c>
      <c r="N635" s="9">
        <v>6.5003326107837797E-6</v>
      </c>
      <c r="O635" s="2">
        <v>4.0737340306717202</v>
      </c>
      <c r="P635" t="s">
        <v>2399</v>
      </c>
      <c r="Q635" s="10">
        <f>IF(N635&lt;='[1]statistical criteria'!$B$2,IF(O635&gt;=LOG('[1]statistical criteria'!$B$3,2),1,IF(O635&lt;=-1*LOG('[1]statistical criteria'!$B$3,2),2,"-")),"-")</f>
        <v>1</v>
      </c>
    </row>
    <row r="636" spans="1:21" x14ac:dyDescent="0.35">
      <c r="A636" t="s">
        <v>2400</v>
      </c>
      <c r="B636" t="s">
        <v>2401</v>
      </c>
      <c r="C636">
        <v>1944</v>
      </c>
      <c r="D636" s="5">
        <v>0.68340699999999999</v>
      </c>
      <c r="E636" s="4">
        <v>0</v>
      </c>
      <c r="F636" s="4">
        <v>0</v>
      </c>
      <c r="G636" s="5">
        <v>0.78079799999999999</v>
      </c>
      <c r="H636" s="6">
        <v>8.1964249999999996</v>
      </c>
      <c r="I636" s="6">
        <v>4.714588</v>
      </c>
      <c r="J636" s="6">
        <v>13.421723999999999</v>
      </c>
      <c r="K636" s="7">
        <f t="shared" si="18"/>
        <v>0.36605124999999999</v>
      </c>
      <c r="L636" s="8">
        <f t="shared" si="19"/>
        <v>8.7775790000000011</v>
      </c>
      <c r="M636" s="9">
        <v>5.5456653931293202E-5</v>
      </c>
      <c r="N636">
        <v>4.0833434873766998E-4</v>
      </c>
      <c r="O636" s="2">
        <v>4.0722606724484303</v>
      </c>
      <c r="P636" t="s">
        <v>2400</v>
      </c>
      <c r="Q636" s="10">
        <f>IF(N636&lt;='[1]statistical criteria'!$B$2,IF(O636&gt;=LOG('[1]statistical criteria'!$B$3,2),1,IF(O636&lt;=-1*LOG('[1]statistical criteria'!$B$3,2),2,"-")),"-")</f>
        <v>1</v>
      </c>
      <c r="R636" t="s">
        <v>2402</v>
      </c>
      <c r="S636" t="s">
        <v>2403</v>
      </c>
      <c r="T636">
        <v>0</v>
      </c>
      <c r="U636" t="s">
        <v>2404</v>
      </c>
    </row>
    <row r="637" spans="1:21" x14ac:dyDescent="0.35">
      <c r="A637" t="s">
        <v>2405</v>
      </c>
      <c r="B637" t="s">
        <v>2406</v>
      </c>
      <c r="C637">
        <v>1158</v>
      </c>
      <c r="D637" s="5">
        <v>2.9659800000000001</v>
      </c>
      <c r="E637" s="4">
        <v>0</v>
      </c>
      <c r="F637" s="4">
        <v>0</v>
      </c>
      <c r="G637" s="5">
        <v>0.27818700000000002</v>
      </c>
      <c r="H637" s="6">
        <v>11.712707999999999</v>
      </c>
      <c r="I637" s="6">
        <v>8.4066010000000002</v>
      </c>
      <c r="J637" s="6">
        <v>16.464323</v>
      </c>
      <c r="K637" s="7">
        <f t="shared" si="18"/>
        <v>0.81104175000000001</v>
      </c>
      <c r="L637" s="8">
        <f t="shared" si="19"/>
        <v>12.194544</v>
      </c>
      <c r="M637" s="9">
        <v>4.3881872105286302E-8</v>
      </c>
      <c r="N637" s="9">
        <v>6.87019355132537E-7</v>
      </c>
      <c r="O637" s="2">
        <v>4.0719198396973004</v>
      </c>
      <c r="P637" t="s">
        <v>2405</v>
      </c>
      <c r="Q637" s="10">
        <f>IF(N637&lt;='[1]statistical criteria'!$B$2,IF(O637&gt;=LOG('[1]statistical criteria'!$B$3,2),1,IF(O637&lt;=-1*LOG('[1]statistical criteria'!$B$3,2),2,"-")),"-")</f>
        <v>1</v>
      </c>
      <c r="S637" t="s">
        <v>2407</v>
      </c>
      <c r="T637" s="9">
        <v>5.9999999999999997E-15</v>
      </c>
      <c r="U637" t="s">
        <v>666</v>
      </c>
    </row>
    <row r="638" spans="1:21" x14ac:dyDescent="0.35">
      <c r="A638" t="s">
        <v>2408</v>
      </c>
      <c r="B638" t="s">
        <v>2409</v>
      </c>
      <c r="C638">
        <v>1050</v>
      </c>
      <c r="D638" s="4">
        <v>0</v>
      </c>
      <c r="E638" s="4">
        <v>0</v>
      </c>
      <c r="F638" s="4">
        <v>0</v>
      </c>
      <c r="G638" s="4">
        <v>0</v>
      </c>
      <c r="H638" s="6">
        <v>1.338066</v>
      </c>
      <c r="I638" s="6">
        <v>2.176825</v>
      </c>
      <c r="J638" s="6">
        <v>5.6914660000000001</v>
      </c>
      <c r="K638" s="7">
        <f t="shared" si="18"/>
        <v>0</v>
      </c>
      <c r="L638" s="8">
        <f t="shared" si="19"/>
        <v>3.0687856666666669</v>
      </c>
      <c r="M638" s="9">
        <v>2.3355082519961399E-6</v>
      </c>
      <c r="N638" s="9">
        <v>2.45618800969807E-5</v>
      </c>
      <c r="O638" s="2">
        <v>4.0700726370079598</v>
      </c>
      <c r="P638" t="s">
        <v>2408</v>
      </c>
      <c r="Q638" s="10">
        <f>IF(N638&lt;='[1]statistical criteria'!$B$2,IF(O638&gt;=LOG('[1]statistical criteria'!$B$3,2),1,IF(O638&lt;=-1*LOG('[1]statistical criteria'!$B$3,2),2,"-")),"-")</f>
        <v>1</v>
      </c>
    </row>
    <row r="639" spans="1:21" x14ac:dyDescent="0.35">
      <c r="A639" t="s">
        <v>2410</v>
      </c>
      <c r="B639" t="s">
        <v>2411</v>
      </c>
      <c r="C639">
        <v>1255</v>
      </c>
      <c r="D639" s="5">
        <v>4.9896010000000004</v>
      </c>
      <c r="E639" s="4">
        <v>0</v>
      </c>
      <c r="F639" s="5">
        <v>1.496796</v>
      </c>
      <c r="G639" s="5">
        <v>2.2147739999999998</v>
      </c>
      <c r="H639" s="6">
        <v>61.223770999999999</v>
      </c>
      <c r="I639" s="6">
        <v>63.424605</v>
      </c>
      <c r="J639" s="6">
        <v>50.709695000000004</v>
      </c>
      <c r="K639" s="7">
        <f t="shared" si="18"/>
        <v>2.1752927500000001</v>
      </c>
      <c r="L639" s="8">
        <f t="shared" si="19"/>
        <v>58.452690333333329</v>
      </c>
      <c r="M639" s="9">
        <v>1.8709783847081299E-7</v>
      </c>
      <c r="N639" s="9">
        <v>2.5287442230820898E-6</v>
      </c>
      <c r="O639" s="2">
        <v>4.0698438149022902</v>
      </c>
      <c r="P639" t="s">
        <v>2410</v>
      </c>
      <c r="Q639" s="10">
        <f>IF(N639&lt;='[1]statistical criteria'!$B$2,IF(O639&gt;=LOG('[1]statistical criteria'!$B$3,2),1,IF(O639&lt;=-1*LOG('[1]statistical criteria'!$B$3,2),2,"-")),"-")</f>
        <v>1</v>
      </c>
      <c r="R639" t="s">
        <v>314</v>
      </c>
      <c r="S639" t="s">
        <v>2412</v>
      </c>
      <c r="T639" s="9">
        <v>8.0000000000000003E-172</v>
      </c>
      <c r="U639" t="s">
        <v>316</v>
      </c>
    </row>
    <row r="640" spans="1:21" x14ac:dyDescent="0.35">
      <c r="A640" t="s">
        <v>2413</v>
      </c>
      <c r="B640" t="s">
        <v>2414</v>
      </c>
      <c r="C640">
        <v>1359</v>
      </c>
      <c r="D640" s="4">
        <v>0</v>
      </c>
      <c r="E640" s="4">
        <v>0</v>
      </c>
      <c r="F640" s="4">
        <v>0</v>
      </c>
      <c r="G640" s="5">
        <v>0.68380799999999997</v>
      </c>
      <c r="H640" s="6">
        <v>4.2405590000000002</v>
      </c>
      <c r="I640" s="6">
        <v>3.756478</v>
      </c>
      <c r="J640" s="6">
        <v>6.9497270000000002</v>
      </c>
      <c r="K640" s="7">
        <f t="shared" si="18"/>
        <v>0.17095199999999999</v>
      </c>
      <c r="L640" s="8">
        <f t="shared" si="19"/>
        <v>4.9822546666666669</v>
      </c>
      <c r="M640" s="9">
        <v>1.8646825789807399E-5</v>
      </c>
      <c r="N640">
        <v>1.5663169047893801E-4</v>
      </c>
      <c r="O640" s="2">
        <v>4.0696889211927001</v>
      </c>
      <c r="P640" t="s">
        <v>2413</v>
      </c>
      <c r="Q640" s="10">
        <f>IF(N640&lt;='[1]statistical criteria'!$B$2,IF(O640&gt;=LOG('[1]statistical criteria'!$B$3,2),1,IF(O640&lt;=-1*LOG('[1]statistical criteria'!$B$3,2),2,"-")),"-")</f>
        <v>1</v>
      </c>
      <c r="R640" t="s">
        <v>1827</v>
      </c>
      <c r="S640" t="s">
        <v>2415</v>
      </c>
      <c r="T640">
        <v>0</v>
      </c>
      <c r="U640" t="s">
        <v>1829</v>
      </c>
    </row>
    <row r="641" spans="1:21" x14ac:dyDescent="0.35">
      <c r="A641" t="s">
        <v>2416</v>
      </c>
      <c r="B641" t="s">
        <v>2417</v>
      </c>
      <c r="C641">
        <v>1395</v>
      </c>
      <c r="D641" s="5">
        <v>0.98141699999999998</v>
      </c>
      <c r="E641" s="4">
        <v>0</v>
      </c>
      <c r="F641" s="4">
        <v>0</v>
      </c>
      <c r="G641" s="4">
        <v>0</v>
      </c>
      <c r="H641" s="6">
        <v>0.741421</v>
      </c>
      <c r="I641" s="6">
        <v>5.575151</v>
      </c>
      <c r="J641" s="6">
        <v>16.717711999999999</v>
      </c>
      <c r="K641" s="7">
        <f t="shared" si="18"/>
        <v>0.24535425</v>
      </c>
      <c r="L641" s="8">
        <f t="shared" si="19"/>
        <v>7.6780946666666665</v>
      </c>
      <c r="M641" s="9">
        <v>4.1917869365167802E-6</v>
      </c>
      <c r="N641" s="9">
        <v>4.1557543840538902E-5</v>
      </c>
      <c r="O641" s="2">
        <v>4.0694448883819998</v>
      </c>
      <c r="P641" t="s">
        <v>2416</v>
      </c>
      <c r="Q641" s="10">
        <f>IF(N641&lt;='[1]statistical criteria'!$B$2,IF(O641&gt;=LOG('[1]statistical criteria'!$B$3,2),1,IF(O641&lt;=-1*LOG('[1]statistical criteria'!$B$3,2),2,"-")),"-")</f>
        <v>1</v>
      </c>
      <c r="R641" t="s">
        <v>2418</v>
      </c>
      <c r="S641" t="s">
        <v>2419</v>
      </c>
      <c r="T641">
        <v>0</v>
      </c>
      <c r="U641" t="s">
        <v>2420</v>
      </c>
    </row>
    <row r="642" spans="1:21" x14ac:dyDescent="0.35">
      <c r="A642" t="s">
        <v>2421</v>
      </c>
      <c r="B642" t="s">
        <v>2422</v>
      </c>
      <c r="C642">
        <v>678</v>
      </c>
      <c r="D642" s="4">
        <v>0</v>
      </c>
      <c r="E642" s="4">
        <v>0</v>
      </c>
      <c r="F642" s="4">
        <v>0</v>
      </c>
      <c r="G642" s="4">
        <v>0</v>
      </c>
      <c r="H642" s="6">
        <v>2.8236289999999999</v>
      </c>
      <c r="I642" s="6">
        <v>25.946793</v>
      </c>
      <c r="J642" s="6">
        <v>3.677047</v>
      </c>
      <c r="K642" s="7">
        <f t="shared" si="18"/>
        <v>0</v>
      </c>
      <c r="L642" s="8">
        <f t="shared" si="19"/>
        <v>10.815823</v>
      </c>
      <c r="M642" s="9">
        <v>4.4825197915658901E-8</v>
      </c>
      <c r="N642" s="9">
        <v>7.0006033347147196E-7</v>
      </c>
      <c r="O642" s="2">
        <v>4.0682404903324398</v>
      </c>
      <c r="P642" t="s">
        <v>2421</v>
      </c>
      <c r="Q642" s="10">
        <f>IF(N642&lt;='[1]statistical criteria'!$B$2,IF(O642&gt;=LOG('[1]statistical criteria'!$B$3,2),1,IF(O642&lt;=-1*LOG('[1]statistical criteria'!$B$3,2),2,"-")),"-")</f>
        <v>1</v>
      </c>
      <c r="R642" t="s">
        <v>2423</v>
      </c>
      <c r="S642" t="s">
        <v>2424</v>
      </c>
      <c r="T642" s="9">
        <v>4.0000000000000001E-59</v>
      </c>
      <c r="U642" t="s">
        <v>2425</v>
      </c>
    </row>
    <row r="643" spans="1:21" x14ac:dyDescent="0.35">
      <c r="A643" t="s">
        <v>2426</v>
      </c>
      <c r="B643" t="s">
        <v>2427</v>
      </c>
      <c r="C643">
        <v>2061</v>
      </c>
      <c r="D643" s="5">
        <v>4.4044670000000004</v>
      </c>
      <c r="E643" s="4">
        <v>0</v>
      </c>
      <c r="F643" s="5">
        <v>2.1363020000000001</v>
      </c>
      <c r="G643" s="5">
        <v>0.76477799999999996</v>
      </c>
      <c r="H643" s="6">
        <v>32.573019000000002</v>
      </c>
      <c r="I643" s="6">
        <v>62.867983000000002</v>
      </c>
      <c r="J643" s="6">
        <v>25.929879</v>
      </c>
      <c r="K643" s="7">
        <f t="shared" ref="K643:K677" si="20">AVERAGE(D643:G643)</f>
        <v>1.8263867500000002</v>
      </c>
      <c r="L643" s="8">
        <f t="shared" ref="L643:L677" si="21">AVERAGE(H643:J643)</f>
        <v>40.456960333333335</v>
      </c>
      <c r="M643" s="9">
        <v>3.1193705927919302E-7</v>
      </c>
      <c r="N643" s="9">
        <v>4.0217901342026096E-6</v>
      </c>
      <c r="O643" s="2">
        <v>4.0678682533836596</v>
      </c>
      <c r="P643" t="s">
        <v>2426</v>
      </c>
      <c r="Q643" s="10">
        <f>IF(N643&lt;='[1]statistical criteria'!$B$2,IF(O643&gt;=LOG('[1]statistical criteria'!$B$3,2),1,IF(O643&lt;=-1*LOG('[1]statistical criteria'!$B$3,2),2,"-")),"-")</f>
        <v>1</v>
      </c>
      <c r="R643" t="s">
        <v>2428</v>
      </c>
      <c r="S643" t="s">
        <v>2429</v>
      </c>
      <c r="T643" s="9">
        <v>2E-170</v>
      </c>
      <c r="U643" t="s">
        <v>2430</v>
      </c>
    </row>
    <row r="644" spans="1:21" x14ac:dyDescent="0.35">
      <c r="A644" t="s">
        <v>286</v>
      </c>
      <c r="B644" t="s">
        <v>287</v>
      </c>
      <c r="C644">
        <v>1965</v>
      </c>
      <c r="D644" s="5">
        <v>10.036837</v>
      </c>
      <c r="E644" s="5">
        <v>10.671191</v>
      </c>
      <c r="F644" s="5">
        <v>6.2845969999999998</v>
      </c>
      <c r="G644" s="5">
        <v>2.154477</v>
      </c>
      <c r="H644" s="6">
        <v>297.29751099999999</v>
      </c>
      <c r="I644" s="6">
        <v>526.43577300000004</v>
      </c>
      <c r="J644" s="6">
        <v>238.17912200000001</v>
      </c>
      <c r="K644" s="7">
        <f t="shared" si="20"/>
        <v>7.2867754999999992</v>
      </c>
      <c r="L644" s="8">
        <f t="shared" si="21"/>
        <v>353.97080199999999</v>
      </c>
      <c r="M644" s="9">
        <v>2.5783901271001499E-35</v>
      </c>
      <c r="N644" s="9">
        <v>9.0864377997621998E-33</v>
      </c>
      <c r="O644" s="2">
        <v>4.0652854880309102</v>
      </c>
      <c r="P644" t="s">
        <v>286</v>
      </c>
      <c r="Q644" s="10">
        <f>IF(N644&lt;='[1]statistical criteria'!$B$2,IF(O644&gt;=LOG('[1]statistical criteria'!$B$3,2),1,IF(O644&lt;=-1*LOG('[1]statistical criteria'!$B$3,2),2,"-")),"-")</f>
        <v>1</v>
      </c>
      <c r="R644" t="s">
        <v>288</v>
      </c>
    </row>
    <row r="645" spans="1:21" x14ac:dyDescent="0.35">
      <c r="A645" t="s">
        <v>2431</v>
      </c>
      <c r="B645" t="s">
        <v>2432</v>
      </c>
      <c r="C645">
        <v>2097</v>
      </c>
      <c r="D645" s="5">
        <v>0.65006900000000001</v>
      </c>
      <c r="E645" s="4">
        <v>0</v>
      </c>
      <c r="F645" s="4">
        <v>0</v>
      </c>
      <c r="G645" s="5">
        <v>0.24973300000000001</v>
      </c>
      <c r="H645" s="6">
        <v>4.1716899999999999</v>
      </c>
      <c r="I645" s="6">
        <v>14.146614</v>
      </c>
      <c r="J645" s="6">
        <v>5.2802870000000004</v>
      </c>
      <c r="K645" s="7">
        <f t="shared" si="20"/>
        <v>0.2249505</v>
      </c>
      <c r="L645" s="8">
        <f t="shared" si="21"/>
        <v>7.8661969999999997</v>
      </c>
      <c r="M645" s="9">
        <v>7.2026621398840098E-6</v>
      </c>
      <c r="N645" s="9">
        <v>6.7703956790314998E-5</v>
      </c>
      <c r="O645" s="2">
        <v>4.06411410262338</v>
      </c>
      <c r="P645" t="s">
        <v>2431</v>
      </c>
      <c r="Q645" s="10">
        <f>IF(N645&lt;='[1]statistical criteria'!$B$2,IF(O645&gt;=LOG('[1]statistical criteria'!$B$3,2),1,IF(O645&lt;=-1*LOG('[1]statistical criteria'!$B$3,2),2,"-")),"-")</f>
        <v>1</v>
      </c>
      <c r="R645" t="s">
        <v>2305</v>
      </c>
      <c r="S645" t="s">
        <v>2306</v>
      </c>
      <c r="T645" s="9">
        <v>9.0000000000000004E-95</v>
      </c>
      <c r="U645" t="s">
        <v>2307</v>
      </c>
    </row>
    <row r="646" spans="1:21" x14ac:dyDescent="0.35">
      <c r="A646" t="s">
        <v>2433</v>
      </c>
      <c r="B646" t="s">
        <v>2434</v>
      </c>
      <c r="C646">
        <v>1059</v>
      </c>
      <c r="D646" s="5">
        <v>1.680185</v>
      </c>
      <c r="E646" s="5">
        <v>0.860684</v>
      </c>
      <c r="F646" s="5">
        <v>0.177819</v>
      </c>
      <c r="G646" s="4">
        <v>0</v>
      </c>
      <c r="H646" s="6">
        <v>15.718026</v>
      </c>
      <c r="I646" s="6">
        <v>38.114015000000002</v>
      </c>
      <c r="J646" s="6">
        <v>14.837738</v>
      </c>
      <c r="K646" s="7">
        <f t="shared" si="20"/>
        <v>0.67967199999999994</v>
      </c>
      <c r="L646" s="8">
        <f t="shared" si="21"/>
        <v>22.889926333333335</v>
      </c>
      <c r="M646" s="9">
        <v>7.9159921079577005E-8</v>
      </c>
      <c r="N646" s="9">
        <v>1.1718500957949001E-6</v>
      </c>
      <c r="O646" s="2">
        <v>4.0625562723892799</v>
      </c>
      <c r="P646" t="s">
        <v>2433</v>
      </c>
      <c r="Q646" s="10">
        <f>IF(N646&lt;='[1]statistical criteria'!$B$2,IF(O646&gt;=LOG('[1]statistical criteria'!$B$3,2),1,IF(O646&lt;=-1*LOG('[1]statistical criteria'!$B$3,2),2,"-")),"-")</f>
        <v>1</v>
      </c>
      <c r="R646" t="s">
        <v>2435</v>
      </c>
      <c r="S646" t="s">
        <v>2436</v>
      </c>
      <c r="T646" s="9">
        <v>2.0000000000000001E-117</v>
      </c>
      <c r="U646" t="s">
        <v>2437</v>
      </c>
    </row>
    <row r="647" spans="1:21" x14ac:dyDescent="0.35">
      <c r="A647" t="s">
        <v>2438</v>
      </c>
      <c r="B647" t="s">
        <v>2439</v>
      </c>
      <c r="C647">
        <v>1356</v>
      </c>
      <c r="D647" s="4">
        <v>0</v>
      </c>
      <c r="E647" s="4">
        <v>0</v>
      </c>
      <c r="F647" s="4">
        <v>0</v>
      </c>
      <c r="G647" s="5">
        <v>1.184895</v>
      </c>
      <c r="H647" s="6">
        <v>6.4935159999999996</v>
      </c>
      <c r="I647" s="6">
        <v>3.4870700000000001</v>
      </c>
      <c r="J647" s="6">
        <v>8.4490839999999992</v>
      </c>
      <c r="K647" s="7">
        <f t="shared" si="20"/>
        <v>0.29622375000000001</v>
      </c>
      <c r="L647" s="8">
        <f t="shared" si="21"/>
        <v>6.1432233333333324</v>
      </c>
      <c r="M647" s="9">
        <v>7.1244916365258805E-7</v>
      </c>
      <c r="N647" s="9">
        <v>8.5189491575926802E-6</v>
      </c>
      <c r="O647" s="2">
        <v>4.0600114869223196</v>
      </c>
      <c r="P647" t="s">
        <v>2438</v>
      </c>
      <c r="Q647" s="10">
        <f>IF(N647&lt;='[1]statistical criteria'!$B$2,IF(O647&gt;=LOG('[1]statistical criteria'!$B$3,2),1,IF(O647&lt;=-1*LOG('[1]statistical criteria'!$B$3,2),2,"-")),"-")</f>
        <v>1</v>
      </c>
    </row>
    <row r="648" spans="1:21" x14ac:dyDescent="0.35">
      <c r="A648" t="s">
        <v>2440</v>
      </c>
      <c r="B648" t="s">
        <v>2441</v>
      </c>
      <c r="C648">
        <v>1255</v>
      </c>
      <c r="D648" s="5">
        <v>7.0941400000000003</v>
      </c>
      <c r="E648" s="4">
        <v>0</v>
      </c>
      <c r="F648" s="5">
        <v>2.38809</v>
      </c>
      <c r="G648" s="4">
        <v>0</v>
      </c>
      <c r="H648" s="6">
        <v>54.281126999999998</v>
      </c>
      <c r="I648" s="6">
        <v>6.2444639999999998</v>
      </c>
      <c r="J648" s="6">
        <v>39.536613000000003</v>
      </c>
      <c r="K648" s="7">
        <f t="shared" si="20"/>
        <v>2.3705575000000003</v>
      </c>
      <c r="L648" s="8">
        <f t="shared" si="21"/>
        <v>33.354068000000005</v>
      </c>
      <c r="M648" s="9">
        <v>5.2042111181430098E-5</v>
      </c>
      <c r="N648">
        <v>3.8663336942518602E-4</v>
      </c>
      <c r="O648" s="2">
        <v>4.0581315922942798</v>
      </c>
      <c r="P648" t="s">
        <v>2440</v>
      </c>
      <c r="Q648" s="10">
        <f>IF(N648&lt;='[1]statistical criteria'!$B$2,IF(O648&gt;=LOG('[1]statistical criteria'!$B$3,2),1,IF(O648&lt;=-1*LOG('[1]statistical criteria'!$B$3,2),2,"-")),"-")</f>
        <v>1</v>
      </c>
      <c r="R648" t="s">
        <v>980</v>
      </c>
      <c r="S648" t="s">
        <v>2442</v>
      </c>
      <c r="T648" s="9">
        <v>3.9999999999999999E-147</v>
      </c>
      <c r="U648" t="s">
        <v>982</v>
      </c>
    </row>
    <row r="649" spans="1:21" x14ac:dyDescent="0.35">
      <c r="A649" t="s">
        <v>2443</v>
      </c>
      <c r="B649" t="s">
        <v>2444</v>
      </c>
      <c r="C649">
        <v>1704</v>
      </c>
      <c r="D649" s="4">
        <v>0</v>
      </c>
      <c r="E649" s="4">
        <v>0</v>
      </c>
      <c r="F649" s="4">
        <v>0</v>
      </c>
      <c r="G649" s="5">
        <v>3.3042609999999999</v>
      </c>
      <c r="H649" s="6">
        <v>3.3619249999999998</v>
      </c>
      <c r="I649" s="6">
        <v>6.1598160000000002</v>
      </c>
      <c r="J649" s="6">
        <v>6.4149399999999996</v>
      </c>
      <c r="K649" s="7">
        <f t="shared" si="20"/>
        <v>0.82606524999999997</v>
      </c>
      <c r="L649" s="8">
        <f t="shared" si="21"/>
        <v>5.312227</v>
      </c>
      <c r="M649" s="9">
        <v>4.9176415192138501E-6</v>
      </c>
      <c r="N649" s="9">
        <v>4.8052743574141001E-5</v>
      </c>
      <c r="O649" s="2">
        <v>4.0573193956507998</v>
      </c>
      <c r="P649" t="s">
        <v>2443</v>
      </c>
      <c r="Q649" s="10">
        <f>IF(N649&lt;='[1]statistical criteria'!$B$2,IF(O649&gt;=LOG('[1]statistical criteria'!$B$3,2),1,IF(O649&lt;=-1*LOG('[1]statistical criteria'!$B$3,2),2,"-")),"-")</f>
        <v>1</v>
      </c>
      <c r="R649" t="s">
        <v>2445</v>
      </c>
      <c r="S649" t="s">
        <v>2446</v>
      </c>
      <c r="T649">
        <v>0</v>
      </c>
      <c r="U649" t="s">
        <v>2447</v>
      </c>
    </row>
    <row r="650" spans="1:21" x14ac:dyDescent="0.35">
      <c r="A650" t="s">
        <v>2448</v>
      </c>
      <c r="B650" t="s">
        <v>2449</v>
      </c>
      <c r="C650">
        <v>2481</v>
      </c>
      <c r="D650" s="5">
        <v>1.7295640000000001</v>
      </c>
      <c r="E650" s="5">
        <v>1.9290659999999999</v>
      </c>
      <c r="F650" s="5">
        <v>2.138204</v>
      </c>
      <c r="G650" s="5">
        <v>1.896914</v>
      </c>
      <c r="H650" s="6">
        <v>118.74953499999999</v>
      </c>
      <c r="I650" s="6">
        <v>52.053083999999998</v>
      </c>
      <c r="J650" s="6">
        <v>144.08911599999999</v>
      </c>
      <c r="K650" s="7">
        <f t="shared" si="20"/>
        <v>1.9234370000000001</v>
      </c>
      <c r="L650" s="8">
        <f t="shared" si="21"/>
        <v>104.96391166666666</v>
      </c>
      <c r="M650" s="9">
        <v>7.3898051220328095E-16</v>
      </c>
      <c r="N650" s="9">
        <v>4.0585278924180198E-14</v>
      </c>
      <c r="O650" s="2">
        <v>4.0552215109984404</v>
      </c>
      <c r="P650" t="s">
        <v>2448</v>
      </c>
      <c r="Q650" s="10">
        <f>IF(N650&lt;='[1]statistical criteria'!$B$2,IF(O650&gt;=LOG('[1]statistical criteria'!$B$3,2),1,IF(O650&lt;=-1*LOG('[1]statistical criteria'!$B$3,2),2,"-")),"-")</f>
        <v>1</v>
      </c>
      <c r="R650" t="s">
        <v>2450</v>
      </c>
      <c r="S650" t="s">
        <v>2451</v>
      </c>
      <c r="T650" s="9">
        <v>4.9999999999999997E-12</v>
      </c>
      <c r="U650" t="s">
        <v>2452</v>
      </c>
    </row>
    <row r="651" spans="1:21" x14ac:dyDescent="0.35">
      <c r="A651" t="s">
        <v>2453</v>
      </c>
      <c r="B651" t="s">
        <v>2454</v>
      </c>
      <c r="C651">
        <v>1056</v>
      </c>
      <c r="D651" s="4">
        <v>0</v>
      </c>
      <c r="E651" s="4">
        <v>0</v>
      </c>
      <c r="F651" s="4">
        <v>0</v>
      </c>
      <c r="G651" s="4">
        <v>0</v>
      </c>
      <c r="H651" s="6">
        <v>4.9410879999999997</v>
      </c>
      <c r="I651" s="6">
        <v>1.551798</v>
      </c>
      <c r="J651" s="6">
        <v>2.121794</v>
      </c>
      <c r="K651" s="7">
        <f t="shared" si="20"/>
        <v>0</v>
      </c>
      <c r="L651" s="8">
        <f t="shared" si="21"/>
        <v>2.8715600000000001</v>
      </c>
      <c r="M651" s="9">
        <v>2.7403543375972801E-6</v>
      </c>
      <c r="N651" s="9">
        <v>2.8311043998087001E-5</v>
      </c>
      <c r="O651" s="2">
        <v>4.0522770973310802</v>
      </c>
      <c r="P651" t="s">
        <v>2453</v>
      </c>
      <c r="Q651" s="10">
        <f>IF(N651&lt;='[1]statistical criteria'!$B$2,IF(O651&gt;=LOG('[1]statistical criteria'!$B$3,2),1,IF(O651&lt;=-1*LOG('[1]statistical criteria'!$B$3,2),2,"-")),"-")</f>
        <v>1</v>
      </c>
      <c r="R651" t="s">
        <v>2455</v>
      </c>
      <c r="S651" t="s">
        <v>2456</v>
      </c>
      <c r="T651" s="9">
        <v>5.9999999999999997E-130</v>
      </c>
      <c r="U651" t="s">
        <v>2457</v>
      </c>
    </row>
    <row r="652" spans="1:21" x14ac:dyDescent="0.35">
      <c r="A652" t="s">
        <v>2458</v>
      </c>
      <c r="B652" t="s">
        <v>2459</v>
      </c>
      <c r="C652">
        <v>893</v>
      </c>
      <c r="D652" s="5">
        <v>1.9816879999999999</v>
      </c>
      <c r="E652" s="4">
        <v>0</v>
      </c>
      <c r="F652" s="4">
        <v>0</v>
      </c>
      <c r="G652" s="5">
        <v>0.744228</v>
      </c>
      <c r="H652" s="6">
        <v>20.400680000000001</v>
      </c>
      <c r="I652" s="6">
        <v>19.506128</v>
      </c>
      <c r="J652" s="6">
        <v>29.835000999999998</v>
      </c>
      <c r="K652" s="7">
        <f t="shared" si="20"/>
        <v>0.68147899999999995</v>
      </c>
      <c r="L652" s="8">
        <f t="shared" si="21"/>
        <v>23.247269666666664</v>
      </c>
      <c r="M652" s="9">
        <v>7.0338819875058605E-8</v>
      </c>
      <c r="N652" s="9">
        <v>1.0543897142358099E-6</v>
      </c>
      <c r="O652" s="2">
        <v>4.0520860984892604</v>
      </c>
      <c r="P652" t="s">
        <v>2458</v>
      </c>
      <c r="Q652" s="10">
        <f>IF(N652&lt;='[1]statistical criteria'!$B$2,IF(O652&gt;=LOG('[1]statistical criteria'!$B$3,2),1,IF(O652&lt;=-1*LOG('[1]statistical criteria'!$B$3,2),2,"-")),"-")</f>
        <v>1</v>
      </c>
      <c r="R652" t="s">
        <v>2460</v>
      </c>
      <c r="S652" t="s">
        <v>2461</v>
      </c>
      <c r="T652" s="9">
        <v>3.9999999999999996E-93</v>
      </c>
      <c r="U652" t="s">
        <v>2462</v>
      </c>
    </row>
    <row r="653" spans="1:21" x14ac:dyDescent="0.35">
      <c r="A653" t="s">
        <v>2463</v>
      </c>
      <c r="B653" t="s">
        <v>2464</v>
      </c>
      <c r="C653">
        <v>732</v>
      </c>
      <c r="D653" s="5">
        <v>4.6448229999999997</v>
      </c>
      <c r="E653" s="4">
        <v>0</v>
      </c>
      <c r="F653" s="4">
        <v>0</v>
      </c>
      <c r="G653" s="5">
        <v>0.81389</v>
      </c>
      <c r="H653" s="6">
        <v>35.660955999999999</v>
      </c>
      <c r="I653" s="6">
        <v>14.962736</v>
      </c>
      <c r="J653" s="6">
        <v>25.266363999999999</v>
      </c>
      <c r="K653" s="7">
        <f t="shared" si="20"/>
        <v>1.3646782499999999</v>
      </c>
      <c r="L653" s="8">
        <f t="shared" si="21"/>
        <v>25.296685333333333</v>
      </c>
      <c r="M653" s="9">
        <v>1.04754191726954E-7</v>
      </c>
      <c r="N653" s="9">
        <v>1.4994150196043101E-6</v>
      </c>
      <c r="O653" s="2">
        <v>4.0504361111117797</v>
      </c>
      <c r="P653" t="s">
        <v>2463</v>
      </c>
      <c r="Q653" s="10">
        <f>IF(N653&lt;='[1]statistical criteria'!$B$2,IF(O653&gt;=LOG('[1]statistical criteria'!$B$3,2),1,IF(O653&lt;=-1*LOG('[1]statistical criteria'!$B$3,2),2,"-")),"-")</f>
        <v>1</v>
      </c>
      <c r="R653" t="s">
        <v>2465</v>
      </c>
      <c r="S653" t="s">
        <v>2466</v>
      </c>
      <c r="T653" s="9">
        <v>3E-98</v>
      </c>
      <c r="U653" t="s">
        <v>2467</v>
      </c>
    </row>
    <row r="654" spans="1:21" x14ac:dyDescent="0.35">
      <c r="A654" t="s">
        <v>2468</v>
      </c>
      <c r="B654" t="s">
        <v>2469</v>
      </c>
      <c r="C654">
        <v>1560</v>
      </c>
      <c r="D654" s="5">
        <v>1.149246</v>
      </c>
      <c r="E654" s="4">
        <v>0</v>
      </c>
      <c r="F654" s="4">
        <v>0</v>
      </c>
      <c r="G654" s="4">
        <v>0</v>
      </c>
      <c r="H654" s="6">
        <v>9.5012559999999997</v>
      </c>
      <c r="I654" s="6">
        <v>2.339963</v>
      </c>
      <c r="J654" s="6">
        <v>7.6318840000000003</v>
      </c>
      <c r="K654" s="7">
        <f t="shared" si="20"/>
        <v>0.2873115</v>
      </c>
      <c r="L654" s="8">
        <f t="shared" si="21"/>
        <v>6.4910343333333325</v>
      </c>
      <c r="M654" s="9">
        <v>1.16699233420131E-6</v>
      </c>
      <c r="N654" s="9">
        <v>1.32150336922647E-5</v>
      </c>
      <c r="O654" s="2">
        <v>4.04729699294339</v>
      </c>
      <c r="P654" t="s">
        <v>2468</v>
      </c>
      <c r="Q654" s="10">
        <f>IF(N654&lt;='[1]statistical criteria'!$B$2,IF(O654&gt;=LOG('[1]statistical criteria'!$B$3,2),1,IF(O654&lt;=-1*LOG('[1]statistical criteria'!$B$3,2),2,"-")),"-")</f>
        <v>1</v>
      </c>
      <c r="R654" t="s">
        <v>2470</v>
      </c>
      <c r="S654" t="s">
        <v>2471</v>
      </c>
      <c r="T654">
        <v>0</v>
      </c>
      <c r="U654" t="s">
        <v>2472</v>
      </c>
    </row>
    <row r="655" spans="1:21" x14ac:dyDescent="0.35">
      <c r="A655" t="s">
        <v>2473</v>
      </c>
      <c r="B655" t="s">
        <v>2474</v>
      </c>
      <c r="C655">
        <v>2889</v>
      </c>
      <c r="D655" s="5">
        <v>7.4926999999999994E-2</v>
      </c>
      <c r="E655" s="4">
        <v>0</v>
      </c>
      <c r="F655" s="4">
        <v>0</v>
      </c>
      <c r="G655" s="5">
        <v>2.0523539999999998</v>
      </c>
      <c r="H655" s="6">
        <v>7.1201559999999997</v>
      </c>
      <c r="I655" s="6">
        <v>4.453881</v>
      </c>
      <c r="J655" s="6">
        <v>5.8415559999999997</v>
      </c>
      <c r="K655" s="7">
        <f t="shared" si="20"/>
        <v>0.53182024999999999</v>
      </c>
      <c r="L655" s="8">
        <f t="shared" si="21"/>
        <v>5.8051976666666674</v>
      </c>
      <c r="M655" s="9">
        <v>1.0479715601078899E-5</v>
      </c>
      <c r="N655" s="9">
        <v>9.3848935476956397E-5</v>
      </c>
      <c r="O655" s="2">
        <v>4.0419528763521404</v>
      </c>
      <c r="P655" t="s">
        <v>2473</v>
      </c>
      <c r="Q655" s="10">
        <f>IF(N655&lt;='[1]statistical criteria'!$B$2,IF(O655&gt;=LOG('[1]statistical criteria'!$B$3,2),1,IF(O655&lt;=-1*LOG('[1]statistical criteria'!$B$3,2),2,"-")),"-")</f>
        <v>1</v>
      </c>
      <c r="R655" t="s">
        <v>2475</v>
      </c>
      <c r="S655" t="s">
        <v>2476</v>
      </c>
      <c r="T655">
        <v>0</v>
      </c>
      <c r="U655" t="s">
        <v>1822</v>
      </c>
    </row>
    <row r="656" spans="1:21" x14ac:dyDescent="0.35">
      <c r="A656" t="s">
        <v>2477</v>
      </c>
      <c r="C656">
        <v>357</v>
      </c>
      <c r="D656" s="5">
        <v>4.5786090000000002</v>
      </c>
      <c r="E656" s="4">
        <v>0</v>
      </c>
      <c r="F656" s="4">
        <v>0</v>
      </c>
      <c r="G656" s="4">
        <v>0</v>
      </c>
      <c r="H656" s="6">
        <v>27.685282999999998</v>
      </c>
      <c r="I656" s="6">
        <v>37.998548</v>
      </c>
      <c r="J656" s="6">
        <v>18.387536000000001</v>
      </c>
      <c r="K656" s="7">
        <f t="shared" si="20"/>
        <v>1.14465225</v>
      </c>
      <c r="L656" s="8">
        <f t="shared" si="21"/>
        <v>28.023788999999997</v>
      </c>
      <c r="M656" s="9">
        <v>1.2717480690350001E-5</v>
      </c>
      <c r="N656">
        <v>1.11015439237322E-4</v>
      </c>
      <c r="O656" s="2">
        <v>4.0331567564174504</v>
      </c>
      <c r="P656" t="s">
        <v>2477</v>
      </c>
      <c r="Q656" s="10">
        <f>IF(N656&lt;='[1]statistical criteria'!$B$2,IF(O656&gt;=LOG('[1]statistical criteria'!$B$3,2),1,IF(O656&lt;=-1*LOG('[1]statistical criteria'!$B$3,2),2,"-")),"-")</f>
        <v>1</v>
      </c>
    </row>
    <row r="657" spans="1:21" x14ac:dyDescent="0.35">
      <c r="A657" t="s">
        <v>2478</v>
      </c>
      <c r="B657" t="s">
        <v>2479</v>
      </c>
      <c r="C657">
        <v>3396</v>
      </c>
      <c r="D657" s="4">
        <v>0</v>
      </c>
      <c r="E657" s="4">
        <v>0</v>
      </c>
      <c r="F657" s="4">
        <v>0</v>
      </c>
      <c r="G657" s="4">
        <v>0</v>
      </c>
      <c r="H657" s="6">
        <v>0.94114399999999998</v>
      </c>
      <c r="I657" s="6">
        <v>1.0630649999999999</v>
      </c>
      <c r="J657" s="6">
        <v>1.4080589999999999</v>
      </c>
      <c r="K657" s="7">
        <f t="shared" si="20"/>
        <v>0</v>
      </c>
      <c r="L657" s="8">
        <f t="shared" si="21"/>
        <v>1.1374226666666667</v>
      </c>
      <c r="M657" s="9">
        <v>1.8300301264579101E-5</v>
      </c>
      <c r="N657">
        <v>1.5399280701522899E-4</v>
      </c>
      <c r="O657" s="2">
        <v>4.0298792154672496</v>
      </c>
      <c r="P657" t="s">
        <v>2478</v>
      </c>
      <c r="Q657" s="10">
        <f>IF(N657&lt;='[1]statistical criteria'!$B$2,IF(O657&gt;=LOG('[1]statistical criteria'!$B$3,2),1,IF(O657&lt;=-1*LOG('[1]statistical criteria'!$B$3,2),2,"-")),"-")</f>
        <v>1</v>
      </c>
      <c r="S657" t="s">
        <v>2480</v>
      </c>
      <c r="T657" s="9">
        <v>9.9999999999999994E-12</v>
      </c>
      <c r="U657" t="s">
        <v>1523</v>
      </c>
    </row>
    <row r="658" spans="1:21" x14ac:dyDescent="0.35">
      <c r="A658" t="s">
        <v>2481</v>
      </c>
      <c r="B658" t="s">
        <v>2482</v>
      </c>
      <c r="C658">
        <v>852</v>
      </c>
      <c r="D658" s="4">
        <v>0</v>
      </c>
      <c r="E658" s="4">
        <v>0</v>
      </c>
      <c r="F658" s="4">
        <v>0</v>
      </c>
      <c r="G658" s="5">
        <v>1.100106</v>
      </c>
      <c r="H658" s="6">
        <v>9.5130870000000005</v>
      </c>
      <c r="I658" s="6">
        <v>2.7202190000000002</v>
      </c>
      <c r="J658" s="6">
        <v>18.517073</v>
      </c>
      <c r="K658" s="7">
        <f t="shared" si="20"/>
        <v>0.27502650000000001</v>
      </c>
      <c r="L658" s="8">
        <f t="shared" si="21"/>
        <v>10.250126333333334</v>
      </c>
      <c r="M658" s="9">
        <v>1.8743870727888198E-5</v>
      </c>
      <c r="N658">
        <v>1.5727330685701599E-4</v>
      </c>
      <c r="O658" s="2">
        <v>4.02962787392722</v>
      </c>
      <c r="P658" t="s">
        <v>2481</v>
      </c>
      <c r="Q658" s="10">
        <f>IF(N658&lt;='[1]statistical criteria'!$B$2,IF(O658&gt;=LOG('[1]statistical criteria'!$B$3,2),1,IF(O658&lt;=-1*LOG('[1]statistical criteria'!$B$3,2),2,"-")),"-")</f>
        <v>1</v>
      </c>
      <c r="R658" t="s">
        <v>2483</v>
      </c>
      <c r="S658" t="s">
        <v>2484</v>
      </c>
      <c r="T658">
        <v>0</v>
      </c>
      <c r="U658" t="s">
        <v>2485</v>
      </c>
    </row>
    <row r="659" spans="1:21" x14ac:dyDescent="0.35">
      <c r="A659" t="s">
        <v>2486</v>
      </c>
      <c r="B659" t="s">
        <v>2487</v>
      </c>
      <c r="C659">
        <v>324</v>
      </c>
      <c r="D659" s="4">
        <v>0</v>
      </c>
      <c r="E659" s="4">
        <v>0</v>
      </c>
      <c r="F659" s="4">
        <v>0</v>
      </c>
      <c r="G659" s="5">
        <v>2.732399</v>
      </c>
      <c r="H659" s="6">
        <v>13.942017999999999</v>
      </c>
      <c r="I659" s="6">
        <v>29.297015999999999</v>
      </c>
      <c r="J659" s="6">
        <v>55.783574000000002</v>
      </c>
      <c r="K659" s="7">
        <f t="shared" si="20"/>
        <v>0.68309975000000001</v>
      </c>
      <c r="L659" s="8">
        <f t="shared" si="21"/>
        <v>33.007535999999995</v>
      </c>
      <c r="M659" s="9">
        <v>1.51236731679829E-5</v>
      </c>
      <c r="N659">
        <v>1.3005128801930099E-4</v>
      </c>
      <c r="O659" s="2">
        <v>4.0290690411705903</v>
      </c>
      <c r="P659" t="s">
        <v>2486</v>
      </c>
      <c r="Q659" s="10">
        <f>IF(N659&lt;='[1]statistical criteria'!$B$2,IF(O659&gt;=LOG('[1]statistical criteria'!$B$3,2),1,IF(O659&lt;=-1*LOG('[1]statistical criteria'!$B$3,2),2,"-")),"-")</f>
        <v>1</v>
      </c>
      <c r="S659" t="s">
        <v>2488</v>
      </c>
      <c r="T659" s="9">
        <v>7.0000000000000001E-20</v>
      </c>
      <c r="U659" t="s">
        <v>160</v>
      </c>
    </row>
    <row r="660" spans="1:21" x14ac:dyDescent="0.35">
      <c r="A660" t="s">
        <v>2489</v>
      </c>
      <c r="B660" t="s">
        <v>2490</v>
      </c>
      <c r="C660">
        <v>3417</v>
      </c>
      <c r="D660" s="5">
        <v>0.11475</v>
      </c>
      <c r="E660" s="4">
        <v>0</v>
      </c>
      <c r="F660" s="4">
        <v>0</v>
      </c>
      <c r="G660" s="4">
        <v>0</v>
      </c>
      <c r="H660" s="6">
        <v>3.6041560000000001</v>
      </c>
      <c r="I660" s="6">
        <v>0.66768400000000006</v>
      </c>
      <c r="J660" s="6">
        <v>1.121213</v>
      </c>
      <c r="K660" s="7">
        <f t="shared" si="20"/>
        <v>2.8687500000000001E-2</v>
      </c>
      <c r="L660" s="8">
        <f t="shared" si="21"/>
        <v>1.7976843333333334</v>
      </c>
      <c r="M660" s="9">
        <v>1.21898551212611E-5</v>
      </c>
      <c r="N660">
        <v>1.07023272414117E-4</v>
      </c>
      <c r="O660" s="2">
        <v>4.0278542010934997</v>
      </c>
      <c r="P660" t="s">
        <v>2489</v>
      </c>
      <c r="Q660" s="10">
        <f>IF(N660&lt;='[1]statistical criteria'!$B$2,IF(O660&gt;=LOG('[1]statistical criteria'!$B$3,2),1,IF(O660&lt;=-1*LOG('[1]statistical criteria'!$B$3,2),2,"-")),"-")</f>
        <v>1</v>
      </c>
      <c r="R660" t="s">
        <v>2491</v>
      </c>
      <c r="S660" t="s">
        <v>2492</v>
      </c>
      <c r="T660">
        <v>0</v>
      </c>
      <c r="U660" t="s">
        <v>61</v>
      </c>
    </row>
    <row r="661" spans="1:21" x14ac:dyDescent="0.35">
      <c r="A661" t="s">
        <v>2493</v>
      </c>
      <c r="C661">
        <v>687</v>
      </c>
      <c r="D661" s="5">
        <v>1.6223609999999999</v>
      </c>
      <c r="E661" s="4">
        <v>0</v>
      </c>
      <c r="F661" s="4">
        <v>0</v>
      </c>
      <c r="G661" s="4">
        <v>0</v>
      </c>
      <c r="H661" s="6">
        <v>9.1837309999999999</v>
      </c>
      <c r="I661" s="6">
        <v>30.996147000000001</v>
      </c>
      <c r="J661" s="6">
        <v>11.970378</v>
      </c>
      <c r="K661" s="7">
        <f t="shared" si="20"/>
        <v>0.40559024999999999</v>
      </c>
      <c r="L661" s="8">
        <f t="shared" si="21"/>
        <v>17.383418666666667</v>
      </c>
      <c r="M661" s="9">
        <v>2.0366723101010202E-6</v>
      </c>
      <c r="N661" s="9">
        <v>2.1707014316002499E-5</v>
      </c>
      <c r="O661" s="2">
        <v>4.0272722610876102</v>
      </c>
      <c r="P661" t="s">
        <v>2493</v>
      </c>
      <c r="Q661" s="10">
        <f>IF(N661&lt;='[1]statistical criteria'!$B$2,IF(O661&gt;=LOG('[1]statistical criteria'!$B$3,2),1,IF(O661&lt;=-1*LOG('[1]statistical criteria'!$B$3,2),2,"-")),"-")</f>
        <v>1</v>
      </c>
    </row>
    <row r="662" spans="1:21" x14ac:dyDescent="0.35">
      <c r="A662" t="s">
        <v>2494</v>
      </c>
      <c r="B662" t="s">
        <v>2495</v>
      </c>
      <c r="C662">
        <v>1216</v>
      </c>
      <c r="D662" s="5">
        <v>1.317266</v>
      </c>
      <c r="E662" s="5">
        <v>2.7412909999999999</v>
      </c>
      <c r="F662" s="5">
        <v>0.182091</v>
      </c>
      <c r="G662" s="4">
        <v>0</v>
      </c>
      <c r="H662" s="6">
        <v>24.521851000000002</v>
      </c>
      <c r="I662" s="6">
        <v>18.406416</v>
      </c>
      <c r="J662" s="6">
        <v>25.266072000000001</v>
      </c>
      <c r="K662" s="7">
        <f t="shared" si="20"/>
        <v>1.060162</v>
      </c>
      <c r="L662" s="8">
        <f t="shared" si="21"/>
        <v>22.731446333333338</v>
      </c>
      <c r="M662" s="9">
        <v>4.4306234452631301E-8</v>
      </c>
      <c r="N662" s="9">
        <v>6.9280825113687198E-7</v>
      </c>
      <c r="O662" s="2">
        <v>4.0218497417617103</v>
      </c>
      <c r="P662" t="s">
        <v>2494</v>
      </c>
      <c r="Q662" s="10">
        <f>IF(N662&lt;='[1]statistical criteria'!$B$2,IF(O662&gt;=LOG('[1]statistical criteria'!$B$3,2),1,IF(O662&lt;=-1*LOG('[1]statistical criteria'!$B$3,2),2,"-")),"-")</f>
        <v>1</v>
      </c>
      <c r="R662" t="s">
        <v>616</v>
      </c>
      <c r="S662" t="s">
        <v>617</v>
      </c>
      <c r="T662">
        <v>0</v>
      </c>
      <c r="U662" t="s">
        <v>618</v>
      </c>
    </row>
    <row r="663" spans="1:21" x14ac:dyDescent="0.35">
      <c r="A663" t="s">
        <v>2496</v>
      </c>
      <c r="B663" t="s">
        <v>1387</v>
      </c>
      <c r="C663">
        <v>1102</v>
      </c>
      <c r="D663" s="4">
        <v>0</v>
      </c>
      <c r="E663" s="5">
        <v>5.4489910000000004</v>
      </c>
      <c r="F663" s="5">
        <v>3.2198859999999998</v>
      </c>
      <c r="G663" s="5">
        <v>0.56979000000000002</v>
      </c>
      <c r="H663" s="6">
        <v>74.316963000000001</v>
      </c>
      <c r="I663" s="6">
        <v>31.526333000000001</v>
      </c>
      <c r="J663" s="6">
        <v>61.305892999999998</v>
      </c>
      <c r="K663" s="7">
        <f t="shared" si="20"/>
        <v>2.3096667499999999</v>
      </c>
      <c r="L663" s="8">
        <f t="shared" si="21"/>
        <v>55.716396333333336</v>
      </c>
      <c r="M663">
        <v>2.9256827322486802E-4</v>
      </c>
      <c r="N663">
        <v>1.7301069050858801E-3</v>
      </c>
      <c r="O663" s="2">
        <v>4.02074352867636</v>
      </c>
      <c r="P663" t="s">
        <v>2496</v>
      </c>
      <c r="Q663" s="10">
        <f>IF(N663&lt;='[1]statistical criteria'!$B$2,IF(O663&gt;=LOG('[1]statistical criteria'!$B$3,2),1,IF(O663&lt;=-1*LOG('[1]statistical criteria'!$B$3,2),2,"-")),"-")</f>
        <v>1</v>
      </c>
      <c r="R663" t="s">
        <v>1388</v>
      </c>
      <c r="S663" t="s">
        <v>1389</v>
      </c>
      <c r="T663" s="9">
        <v>9.000000000000001E-134</v>
      </c>
      <c r="U663" t="s">
        <v>1390</v>
      </c>
    </row>
    <row r="664" spans="1:21" x14ac:dyDescent="0.35">
      <c r="A664" t="s">
        <v>2497</v>
      </c>
      <c r="C664">
        <v>414</v>
      </c>
      <c r="D664" s="4">
        <v>0</v>
      </c>
      <c r="E664" s="4">
        <v>0</v>
      </c>
      <c r="F664" s="4">
        <v>0</v>
      </c>
      <c r="G664" s="4">
        <v>0</v>
      </c>
      <c r="H664" s="6">
        <v>8.5343710000000002</v>
      </c>
      <c r="I664" s="6">
        <v>6.333005</v>
      </c>
      <c r="J664" s="6">
        <v>6.484585</v>
      </c>
      <c r="K664" s="7">
        <f t="shared" si="20"/>
        <v>0</v>
      </c>
      <c r="L664" s="8">
        <f t="shared" si="21"/>
        <v>7.1173203333333328</v>
      </c>
      <c r="M664" s="9">
        <v>5.5459880105852797E-6</v>
      </c>
      <c r="N664" s="9">
        <v>5.3502896686646101E-5</v>
      </c>
      <c r="O664" s="2">
        <v>4.0194719348882</v>
      </c>
      <c r="P664" t="s">
        <v>2497</v>
      </c>
      <c r="Q664" s="10">
        <f>IF(N664&lt;='[1]statistical criteria'!$B$2,IF(O664&gt;=LOG('[1]statistical criteria'!$B$3,2),1,IF(O664&lt;=-1*LOG('[1]statistical criteria'!$B$3,2),2,"-")),"-")</f>
        <v>1</v>
      </c>
    </row>
    <row r="665" spans="1:21" x14ac:dyDescent="0.35">
      <c r="A665" t="s">
        <v>2498</v>
      </c>
      <c r="B665" t="s">
        <v>2499</v>
      </c>
      <c r="C665">
        <v>878</v>
      </c>
      <c r="D665" s="4">
        <v>0</v>
      </c>
      <c r="E665" s="5">
        <v>0.26450099999999999</v>
      </c>
      <c r="F665" s="5">
        <v>0.91700700000000002</v>
      </c>
      <c r="G665" s="4">
        <v>0</v>
      </c>
      <c r="H665" s="6">
        <v>14.442271</v>
      </c>
      <c r="I665" s="6">
        <v>4.3942889999999997</v>
      </c>
      <c r="J665" s="6">
        <v>16.881672999999999</v>
      </c>
      <c r="K665" s="7">
        <f t="shared" si="20"/>
        <v>0.295377</v>
      </c>
      <c r="L665" s="8">
        <f t="shared" si="21"/>
        <v>11.906077666666667</v>
      </c>
      <c r="M665" s="9">
        <v>8.4339630882388997E-8</v>
      </c>
      <c r="N665" s="9">
        <v>1.2384129442066801E-6</v>
      </c>
      <c r="O665" s="2">
        <v>4.0189728154332798</v>
      </c>
      <c r="P665" t="s">
        <v>2498</v>
      </c>
      <c r="Q665" s="10">
        <f>IF(N665&lt;='[1]statistical criteria'!$B$2,IF(O665&gt;=LOG('[1]statistical criteria'!$B$3,2),1,IF(O665&lt;=-1*LOG('[1]statistical criteria'!$B$3,2),2,"-")),"-")</f>
        <v>1</v>
      </c>
      <c r="R665" t="s">
        <v>2500</v>
      </c>
      <c r="S665" t="s">
        <v>2501</v>
      </c>
      <c r="T665" s="9">
        <v>9E-158</v>
      </c>
      <c r="U665" t="s">
        <v>2502</v>
      </c>
    </row>
    <row r="666" spans="1:21" x14ac:dyDescent="0.35">
      <c r="A666" t="s">
        <v>2503</v>
      </c>
      <c r="B666" t="s">
        <v>2504</v>
      </c>
      <c r="C666">
        <v>471</v>
      </c>
      <c r="D666" s="5">
        <v>1.2453909999999999</v>
      </c>
      <c r="E666" s="4">
        <v>0</v>
      </c>
      <c r="F666" s="4">
        <v>0</v>
      </c>
      <c r="G666" s="5">
        <v>9.2330070000000006</v>
      </c>
      <c r="H666" s="6">
        <v>77.922066999999998</v>
      </c>
      <c r="I666" s="6">
        <v>15.355971</v>
      </c>
      <c r="J666" s="6">
        <v>70.608913999999999</v>
      </c>
      <c r="K666" s="7">
        <f t="shared" si="20"/>
        <v>2.6195995000000001</v>
      </c>
      <c r="L666" s="8">
        <f t="shared" si="21"/>
        <v>54.628984000000003</v>
      </c>
      <c r="M666" s="9">
        <v>1.19910714653394E-5</v>
      </c>
      <c r="N666">
        <v>1.05448285575513E-4</v>
      </c>
      <c r="O666" s="2">
        <v>4.0185089252462198</v>
      </c>
      <c r="P666" t="s">
        <v>2503</v>
      </c>
      <c r="Q666" s="10">
        <f>IF(N666&lt;='[1]statistical criteria'!$B$2,IF(O666&gt;=LOG('[1]statistical criteria'!$B$3,2),1,IF(O666&lt;=-1*LOG('[1]statistical criteria'!$B$3,2),2,"-")),"-")</f>
        <v>1</v>
      </c>
      <c r="R666" t="s">
        <v>2505</v>
      </c>
    </row>
    <row r="667" spans="1:21" x14ac:dyDescent="0.35">
      <c r="A667" t="s">
        <v>2506</v>
      </c>
      <c r="C667">
        <v>315</v>
      </c>
      <c r="D667" s="5">
        <v>20.930783999999999</v>
      </c>
      <c r="E667" s="4">
        <v>0</v>
      </c>
      <c r="F667" s="4">
        <v>0</v>
      </c>
      <c r="G667" s="5">
        <v>2.9130539999999998</v>
      </c>
      <c r="H667" s="6">
        <v>141.77483599999999</v>
      </c>
      <c r="I667" s="6">
        <v>42.098011999999997</v>
      </c>
      <c r="J667" s="6">
        <v>130.69294500000001</v>
      </c>
      <c r="K667" s="7">
        <f t="shared" si="20"/>
        <v>5.9609594999999995</v>
      </c>
      <c r="L667" s="8">
        <f t="shared" si="21"/>
        <v>104.85526433333332</v>
      </c>
      <c r="M667" s="9">
        <v>1.1774641616466701E-5</v>
      </c>
      <c r="N667">
        <v>1.03784821658806E-4</v>
      </c>
      <c r="O667" s="2">
        <v>4.01464754666973</v>
      </c>
      <c r="P667" t="s">
        <v>2506</v>
      </c>
      <c r="Q667" s="10">
        <f>IF(N667&lt;='[1]statistical criteria'!$B$2,IF(O667&gt;=LOG('[1]statistical criteria'!$B$3,2),1,IF(O667&lt;=-1*LOG('[1]statistical criteria'!$B$3,2),2,"-")),"-")</f>
        <v>1</v>
      </c>
    </row>
    <row r="668" spans="1:21" x14ac:dyDescent="0.35">
      <c r="A668" t="s">
        <v>2507</v>
      </c>
      <c r="B668" t="s">
        <v>2508</v>
      </c>
      <c r="C668">
        <v>393</v>
      </c>
      <c r="D668" s="5">
        <v>3.7187579999999998</v>
      </c>
      <c r="E668" s="4">
        <v>0</v>
      </c>
      <c r="F668" s="4">
        <v>0</v>
      </c>
      <c r="G668" s="4">
        <v>0</v>
      </c>
      <c r="H668" s="6">
        <v>19.109475</v>
      </c>
      <c r="I668" s="6">
        <v>15.246003999999999</v>
      </c>
      <c r="J668" s="6">
        <v>41.710514000000003</v>
      </c>
      <c r="K668" s="7">
        <f t="shared" si="20"/>
        <v>0.92968949999999995</v>
      </c>
      <c r="L668" s="8">
        <f t="shared" si="21"/>
        <v>25.355331000000003</v>
      </c>
      <c r="M668">
        <v>1.69005435952511E-4</v>
      </c>
      <c r="N668">
        <v>1.0813573435501901E-3</v>
      </c>
      <c r="O668" s="2">
        <v>4.0127090783517403</v>
      </c>
      <c r="P668" t="s">
        <v>2507</v>
      </c>
      <c r="Q668" s="10">
        <f>IF(N668&lt;='[1]statistical criteria'!$B$2,IF(O668&gt;=LOG('[1]statistical criteria'!$B$3,2),1,IF(O668&lt;=-1*LOG('[1]statistical criteria'!$B$3,2),2,"-")),"-")</f>
        <v>1</v>
      </c>
      <c r="R668" t="s">
        <v>2509</v>
      </c>
    </row>
    <row r="669" spans="1:21" x14ac:dyDescent="0.35">
      <c r="A669" t="s">
        <v>2510</v>
      </c>
      <c r="B669" t="s">
        <v>2511</v>
      </c>
      <c r="C669">
        <v>987</v>
      </c>
      <c r="D669" s="5">
        <v>1.169314</v>
      </c>
      <c r="E669" s="4">
        <v>0</v>
      </c>
      <c r="F669" s="4">
        <v>0</v>
      </c>
      <c r="G669" s="5">
        <v>1.040578</v>
      </c>
      <c r="H669" s="6">
        <v>29.488047999999999</v>
      </c>
      <c r="I669" s="6">
        <v>12.710379</v>
      </c>
      <c r="J669" s="6">
        <v>11.595224</v>
      </c>
      <c r="K669" s="7">
        <f t="shared" si="20"/>
        <v>0.55247299999999999</v>
      </c>
      <c r="L669" s="8">
        <f t="shared" si="21"/>
        <v>17.931217</v>
      </c>
      <c r="M669" s="9">
        <v>8.9961221480496898E-8</v>
      </c>
      <c r="N669" s="9">
        <v>1.31089891562491E-6</v>
      </c>
      <c r="O669" s="2">
        <v>4.0110128325722201</v>
      </c>
      <c r="P669" t="s">
        <v>2510</v>
      </c>
      <c r="Q669" s="10">
        <f>IF(N669&lt;='[1]statistical criteria'!$B$2,IF(O669&gt;=LOG('[1]statistical criteria'!$B$3,2),1,IF(O669&lt;=-1*LOG('[1]statistical criteria'!$B$3,2),2,"-")),"-")</f>
        <v>1</v>
      </c>
      <c r="R669" t="s">
        <v>2512</v>
      </c>
      <c r="S669" t="s">
        <v>2513</v>
      </c>
      <c r="T669" s="9">
        <v>7.0000000000000001E-149</v>
      </c>
      <c r="U669" t="s">
        <v>2514</v>
      </c>
    </row>
    <row r="670" spans="1:21" x14ac:dyDescent="0.35">
      <c r="A670" t="s">
        <v>2515</v>
      </c>
      <c r="B670" t="s">
        <v>2516</v>
      </c>
      <c r="C670">
        <v>930</v>
      </c>
      <c r="D670" s="5">
        <v>0.59350599999999998</v>
      </c>
      <c r="E670" s="4">
        <v>0</v>
      </c>
      <c r="F670" s="4">
        <v>0</v>
      </c>
      <c r="G670" s="4">
        <v>0</v>
      </c>
      <c r="H670" s="6">
        <v>4.9622710000000003</v>
      </c>
      <c r="I670" s="6">
        <v>5.3108180000000003</v>
      </c>
      <c r="J670" s="6">
        <v>7.3622269999999999</v>
      </c>
      <c r="K670" s="7">
        <f t="shared" si="20"/>
        <v>0.14837649999999999</v>
      </c>
      <c r="L670" s="8">
        <f t="shared" si="21"/>
        <v>5.8784386666666668</v>
      </c>
      <c r="M670" s="9">
        <v>4.37378855860759E-6</v>
      </c>
      <c r="N670" s="9">
        <v>4.3215574387488302E-5</v>
      </c>
      <c r="O670" s="2">
        <v>4.0088626552358404</v>
      </c>
      <c r="P670" t="s">
        <v>2515</v>
      </c>
      <c r="Q670" s="10">
        <f>IF(N670&lt;='[1]statistical criteria'!$B$2,IF(O670&gt;=LOG('[1]statistical criteria'!$B$3,2),1,IF(O670&lt;=-1*LOG('[1]statistical criteria'!$B$3,2),2,"-")),"-")</f>
        <v>1</v>
      </c>
      <c r="R670" t="s">
        <v>310</v>
      </c>
      <c r="S670" t="s">
        <v>1405</v>
      </c>
      <c r="T670" s="9">
        <v>2.0000000000000001E-56</v>
      </c>
      <c r="U670" t="s">
        <v>311</v>
      </c>
    </row>
    <row r="671" spans="1:21" x14ac:dyDescent="0.35">
      <c r="A671" t="s">
        <v>230</v>
      </c>
      <c r="C671">
        <v>1614</v>
      </c>
      <c r="D671" s="5">
        <v>7.6224319999999999</v>
      </c>
      <c r="E671" s="4">
        <v>0</v>
      </c>
      <c r="F671" s="4">
        <v>0</v>
      </c>
      <c r="G671" s="4">
        <v>0</v>
      </c>
      <c r="H671" s="6">
        <v>6.6219409999999996</v>
      </c>
      <c r="I671" s="6">
        <v>8.5437119999999993</v>
      </c>
      <c r="J671" s="6">
        <v>9.4330660000000002</v>
      </c>
      <c r="K671" s="7">
        <f t="shared" si="20"/>
        <v>1.905608</v>
      </c>
      <c r="L671" s="8">
        <f t="shared" si="21"/>
        <v>8.1995729999999991</v>
      </c>
      <c r="M671" s="9">
        <v>6.43789683432175E-5</v>
      </c>
      <c r="N671">
        <v>4.65322809251778E-4</v>
      </c>
      <c r="O671" s="2">
        <v>4.0070926121500499</v>
      </c>
      <c r="P671" t="s">
        <v>230</v>
      </c>
      <c r="Q671" s="10">
        <f>IF(N671&lt;='[1]statistical criteria'!$B$2,IF(O671&gt;=LOG('[1]statistical criteria'!$B$3,2),1,IF(O671&lt;=-1*LOG('[1]statistical criteria'!$B$3,2),2,"-")),"-")</f>
        <v>1</v>
      </c>
      <c r="R671" t="s">
        <v>231</v>
      </c>
      <c r="S671" t="s">
        <v>232</v>
      </c>
      <c r="T671">
        <v>0</v>
      </c>
      <c r="U671" t="s">
        <v>233</v>
      </c>
    </row>
    <row r="672" spans="1:21" x14ac:dyDescent="0.35">
      <c r="A672" t="s">
        <v>2517</v>
      </c>
      <c r="B672" t="s">
        <v>2518</v>
      </c>
      <c r="C672">
        <v>1320</v>
      </c>
      <c r="D672" s="4">
        <v>0</v>
      </c>
      <c r="E672" s="4">
        <v>0</v>
      </c>
      <c r="F672" s="5">
        <v>1.4649970000000001</v>
      </c>
      <c r="G672" s="4">
        <v>0</v>
      </c>
      <c r="H672" s="6">
        <v>8.0847259999999999</v>
      </c>
      <c r="I672" s="6">
        <v>13.912573999999999</v>
      </c>
      <c r="J672" s="6">
        <v>1.9945109999999999</v>
      </c>
      <c r="K672" s="7">
        <f t="shared" si="20"/>
        <v>0.36624925000000003</v>
      </c>
      <c r="L672" s="8">
        <f t="shared" si="21"/>
        <v>7.9972703333333328</v>
      </c>
      <c r="M672" s="9">
        <v>1.10644737393034E-6</v>
      </c>
      <c r="N672" s="9">
        <v>1.25855908702297E-5</v>
      </c>
      <c r="O672" s="2">
        <v>4.0068394811647696</v>
      </c>
      <c r="P672" t="s">
        <v>2517</v>
      </c>
      <c r="Q672" s="10">
        <f>IF(N672&lt;='[1]statistical criteria'!$B$2,IF(O672&gt;=LOG('[1]statistical criteria'!$B$3,2),1,IF(O672&lt;=-1*LOG('[1]statistical criteria'!$B$3,2),2,"-")),"-")</f>
        <v>1</v>
      </c>
      <c r="R672" t="s">
        <v>241</v>
      </c>
      <c r="S672" t="s">
        <v>1773</v>
      </c>
      <c r="T672" s="9">
        <v>4.0000000000000001E-119</v>
      </c>
      <c r="U672" t="s">
        <v>242</v>
      </c>
    </row>
    <row r="673" spans="1:21" x14ac:dyDescent="0.35">
      <c r="A673" t="s">
        <v>2519</v>
      </c>
      <c r="B673" t="s">
        <v>2520</v>
      </c>
      <c r="C673">
        <v>967</v>
      </c>
      <c r="D673" s="5">
        <v>0.32266600000000001</v>
      </c>
      <c r="E673" s="4">
        <v>0</v>
      </c>
      <c r="F673" s="4">
        <v>0</v>
      </c>
      <c r="G673" s="5">
        <v>0.83712299999999995</v>
      </c>
      <c r="H673" s="6">
        <v>11.877193999999999</v>
      </c>
      <c r="I673" s="6">
        <v>9.9253940000000007</v>
      </c>
      <c r="J673" s="6">
        <v>6.2266870000000001</v>
      </c>
      <c r="K673" s="7">
        <f t="shared" si="20"/>
        <v>0.28994724999999999</v>
      </c>
      <c r="L673" s="8">
        <f t="shared" si="21"/>
        <v>9.3430916666666661</v>
      </c>
      <c r="M673" s="9">
        <v>7.9439788308946904E-7</v>
      </c>
      <c r="N673" s="9">
        <v>9.3867691494520906E-6</v>
      </c>
      <c r="O673" s="2">
        <v>4.0068307275598603</v>
      </c>
      <c r="P673" t="s">
        <v>2519</v>
      </c>
      <c r="Q673" s="10">
        <f>IF(N673&lt;='[1]statistical criteria'!$B$2,IF(O673&gt;=LOG('[1]statistical criteria'!$B$3,2),1,IF(O673&lt;=-1*LOG('[1]statistical criteria'!$B$3,2),2,"-")),"-")</f>
        <v>1</v>
      </c>
      <c r="S673" t="s">
        <v>1990</v>
      </c>
      <c r="T673" s="9">
        <v>4.0000000000000002E-27</v>
      </c>
      <c r="U673" t="s">
        <v>61</v>
      </c>
    </row>
    <row r="674" spans="1:21" x14ac:dyDescent="0.35">
      <c r="A674" t="s">
        <v>2521</v>
      </c>
      <c r="B674" t="s">
        <v>251</v>
      </c>
      <c r="C674">
        <v>1461</v>
      </c>
      <c r="D674" s="4">
        <v>0</v>
      </c>
      <c r="E674" s="4">
        <v>0</v>
      </c>
      <c r="F674" s="4">
        <v>0</v>
      </c>
      <c r="G674" s="4">
        <v>0</v>
      </c>
      <c r="H674" s="6">
        <v>1.4088229999999999</v>
      </c>
      <c r="I674" s="6">
        <v>1.220642</v>
      </c>
      <c r="J674" s="6">
        <v>2.5462660000000001</v>
      </c>
      <c r="K674" s="7">
        <f t="shared" si="20"/>
        <v>0</v>
      </c>
      <c r="L674" s="8">
        <f t="shared" si="21"/>
        <v>1.7252436666666666</v>
      </c>
      <c r="M674" s="9">
        <v>1.03326441418616E-7</v>
      </c>
      <c r="N674" s="9">
        <v>1.4800919685331301E-6</v>
      </c>
      <c r="O674" s="2">
        <v>4.0031878978056197</v>
      </c>
      <c r="P674" t="s">
        <v>2521</v>
      </c>
      <c r="Q674" s="10">
        <f>IF(N674&lt;='[1]statistical criteria'!$B$2,IF(O674&gt;=LOG('[1]statistical criteria'!$B$3,2),1,IF(O674&lt;=-1*LOG('[1]statistical criteria'!$B$3,2),2,"-")),"-")</f>
        <v>1</v>
      </c>
      <c r="R674" t="s">
        <v>252</v>
      </c>
      <c r="S674" t="s">
        <v>2522</v>
      </c>
      <c r="T674">
        <v>0</v>
      </c>
      <c r="U674" t="s">
        <v>2523</v>
      </c>
    </row>
    <row r="675" spans="1:21" x14ac:dyDescent="0.35">
      <c r="A675" t="s">
        <v>2524</v>
      </c>
      <c r="B675" t="s">
        <v>2525</v>
      </c>
      <c r="C675">
        <v>1089</v>
      </c>
      <c r="D675" s="4">
        <v>0</v>
      </c>
      <c r="E675" s="5">
        <v>8.419886</v>
      </c>
      <c r="F675" s="4">
        <v>0</v>
      </c>
      <c r="G675" s="5">
        <v>1.213746</v>
      </c>
      <c r="H675" s="6">
        <v>23.707470000000001</v>
      </c>
      <c r="I675" s="6">
        <v>23.659154000000001</v>
      </c>
      <c r="J675" s="6">
        <v>20.108183</v>
      </c>
      <c r="K675" s="7">
        <f t="shared" si="20"/>
        <v>2.4084080000000001</v>
      </c>
      <c r="L675" s="8">
        <f t="shared" si="21"/>
        <v>22.491602333333333</v>
      </c>
      <c r="M675" s="9">
        <v>4.6356699563895502E-5</v>
      </c>
      <c r="N675">
        <v>3.4958113441685402E-4</v>
      </c>
      <c r="O675" s="2">
        <v>4.0028439691892901</v>
      </c>
      <c r="P675" t="s">
        <v>2524</v>
      </c>
      <c r="Q675" s="10">
        <f>IF(N675&lt;='[1]statistical criteria'!$B$2,IF(O675&gt;=LOG('[1]statistical criteria'!$B$3,2),1,IF(O675&lt;=-1*LOG('[1]statistical criteria'!$B$3,2),2,"-")),"-")</f>
        <v>1</v>
      </c>
      <c r="R675" t="s">
        <v>2526</v>
      </c>
      <c r="S675" t="s">
        <v>2527</v>
      </c>
      <c r="T675">
        <v>0</v>
      </c>
      <c r="U675" t="s">
        <v>2528</v>
      </c>
    </row>
    <row r="676" spans="1:21" x14ac:dyDescent="0.35">
      <c r="A676" t="s">
        <v>2529</v>
      </c>
      <c r="C676">
        <v>309</v>
      </c>
      <c r="D676" s="5">
        <v>4.5962870000000002</v>
      </c>
      <c r="E676" s="4">
        <v>0</v>
      </c>
      <c r="F676" s="4">
        <v>0</v>
      </c>
      <c r="G676" s="4">
        <v>0</v>
      </c>
      <c r="H676" s="6">
        <v>33.105221999999998</v>
      </c>
      <c r="I676" s="6">
        <v>21.432789</v>
      </c>
      <c r="J676" s="6">
        <v>52.475197999999999</v>
      </c>
      <c r="K676" s="7">
        <f t="shared" si="20"/>
        <v>1.1490717500000001</v>
      </c>
      <c r="L676" s="8">
        <f t="shared" si="21"/>
        <v>35.671069666666661</v>
      </c>
      <c r="M676" s="9">
        <v>2.1501326109148399E-5</v>
      </c>
      <c r="N676">
        <v>1.77745541206383E-4</v>
      </c>
      <c r="O676" s="2">
        <v>4.0025415988204696</v>
      </c>
      <c r="P676" t="s">
        <v>2529</v>
      </c>
      <c r="Q676" s="10">
        <f>IF(N676&lt;='[1]statistical criteria'!$B$2,IF(O676&gt;=LOG('[1]statistical criteria'!$B$3,2),1,IF(O676&lt;=-1*LOG('[1]statistical criteria'!$B$3,2),2,"-")),"-")</f>
        <v>1</v>
      </c>
    </row>
    <row r="677" spans="1:21" x14ac:dyDescent="0.35">
      <c r="A677" t="s">
        <v>2530</v>
      </c>
      <c r="C677">
        <v>1035</v>
      </c>
      <c r="D677" s="4">
        <v>0</v>
      </c>
      <c r="E677" s="4">
        <v>0</v>
      </c>
      <c r="F677" s="5">
        <v>0.76637</v>
      </c>
      <c r="G677" s="4">
        <v>0</v>
      </c>
      <c r="H677" s="6">
        <v>3.0409090000000001</v>
      </c>
      <c r="I677" s="6">
        <v>3.9097900000000001</v>
      </c>
      <c r="J677" s="6">
        <v>10.502666</v>
      </c>
      <c r="K677" s="7">
        <f t="shared" si="20"/>
        <v>0.1915925</v>
      </c>
      <c r="L677" s="8">
        <f t="shared" si="21"/>
        <v>5.8177883333333327</v>
      </c>
      <c r="M677" s="9">
        <v>2.0788757518350502E-5</v>
      </c>
      <c r="N677">
        <v>1.7228000165152299E-4</v>
      </c>
      <c r="O677" s="2">
        <v>4.00014470864516</v>
      </c>
      <c r="P677" t="s">
        <v>2530</v>
      </c>
      <c r="Q677" s="10">
        <f>IF(N677&lt;='[1]statistical criteria'!$B$2,IF(O677&gt;=LOG('[1]statistical criteria'!$B$3,2),1,IF(O677&lt;=-1*LOG('[1]statistical criteria'!$B$3,2),2,"-")),"-")</f>
        <v>1</v>
      </c>
      <c r="R677" t="s">
        <v>2531</v>
      </c>
    </row>
    <row r="679" spans="1:21" x14ac:dyDescent="0.35">
      <c r="A679" t="s">
        <v>2532</v>
      </c>
      <c r="B679" t="s">
        <v>2533</v>
      </c>
      <c r="C679">
        <v>1635</v>
      </c>
      <c r="D679" s="5">
        <v>4.0321579999999999</v>
      </c>
      <c r="E679" s="5">
        <v>2.241355</v>
      </c>
      <c r="F679" s="5">
        <v>6.4720639999999996</v>
      </c>
      <c r="G679" s="5">
        <v>0.67180600000000001</v>
      </c>
      <c r="H679" s="11">
        <v>0</v>
      </c>
      <c r="I679" s="11">
        <v>0</v>
      </c>
      <c r="J679" s="11">
        <v>0</v>
      </c>
      <c r="K679" s="7">
        <f t="shared" ref="K679:K742" si="22">AVERAGE(D679:G679)</f>
        <v>3.3543457499999998</v>
      </c>
      <c r="L679" s="8">
        <f t="shared" ref="L679:L742" si="23">AVERAGE(H679:J679)</f>
        <v>0</v>
      </c>
      <c r="M679" s="9">
        <v>1.8329083656918199E-5</v>
      </c>
      <c r="N679">
        <v>1.5420091157875899E-4</v>
      </c>
      <c r="O679" s="2">
        <v>-4.0008283441875498</v>
      </c>
      <c r="P679" t="s">
        <v>2532</v>
      </c>
      <c r="Q679" s="10">
        <f>IF(N679&lt;='[1]statistical criteria'!$B$2,IF(O679&gt;=LOG('[1]statistical criteria'!$B$3,2),1,IF(O679&lt;=-1*LOG('[1]statistical criteria'!$B$3,2),2,"-")),"-")</f>
        <v>2</v>
      </c>
      <c r="R679" t="s">
        <v>336</v>
      </c>
      <c r="S679" t="s">
        <v>337</v>
      </c>
      <c r="T679">
        <v>0</v>
      </c>
      <c r="U679" t="s">
        <v>338</v>
      </c>
    </row>
    <row r="680" spans="1:21" x14ac:dyDescent="0.35">
      <c r="A680" t="s">
        <v>2534</v>
      </c>
      <c r="B680" t="s">
        <v>2535</v>
      </c>
      <c r="C680">
        <v>1711</v>
      </c>
      <c r="D680" s="5">
        <v>4.0765630000000002</v>
      </c>
      <c r="E680" s="5">
        <v>1.615807</v>
      </c>
      <c r="F680" s="5">
        <v>2.4184260000000002</v>
      </c>
      <c r="G680" s="5">
        <v>1.695444</v>
      </c>
      <c r="H680" s="11">
        <v>0</v>
      </c>
      <c r="I680" s="11">
        <v>0</v>
      </c>
      <c r="J680" s="11">
        <v>0</v>
      </c>
      <c r="K680" s="7">
        <f t="shared" si="22"/>
        <v>2.4515600000000002</v>
      </c>
      <c r="L680" s="8">
        <f t="shared" si="23"/>
        <v>0</v>
      </c>
      <c r="M680" s="9">
        <v>1.3256571807948599E-6</v>
      </c>
      <c r="N680" s="9">
        <v>1.48090731731883E-5</v>
      </c>
      <c r="O680" s="2">
        <v>-4.0019725249554003</v>
      </c>
      <c r="P680" t="s">
        <v>2534</v>
      </c>
      <c r="Q680" s="10">
        <f>IF(N680&lt;='[1]statistical criteria'!$B$2,IF(O680&gt;=LOG('[1]statistical criteria'!$B$3,2),1,IF(O680&lt;=-1*LOG('[1]statistical criteria'!$B$3,2),2,"-")),"-")</f>
        <v>2</v>
      </c>
      <c r="R680" t="s">
        <v>2536</v>
      </c>
      <c r="S680" t="s">
        <v>2537</v>
      </c>
      <c r="T680">
        <v>0</v>
      </c>
      <c r="U680" t="s">
        <v>2538</v>
      </c>
    </row>
    <row r="681" spans="1:21" x14ac:dyDescent="0.35">
      <c r="A681" t="s">
        <v>2539</v>
      </c>
      <c r="B681" t="s">
        <v>2540</v>
      </c>
      <c r="C681">
        <v>1542</v>
      </c>
      <c r="D681" s="5">
        <v>3.882959</v>
      </c>
      <c r="E681" s="5">
        <v>1.207433</v>
      </c>
      <c r="F681" s="5">
        <v>2.33256</v>
      </c>
      <c r="G681" s="5">
        <v>0.40684999999999999</v>
      </c>
      <c r="H681" s="11">
        <v>0</v>
      </c>
      <c r="I681" s="11">
        <v>0</v>
      </c>
      <c r="J681" s="11">
        <v>0</v>
      </c>
      <c r="K681" s="7">
        <f t="shared" si="22"/>
        <v>1.9574505</v>
      </c>
      <c r="L681" s="8">
        <f t="shared" si="23"/>
        <v>0</v>
      </c>
      <c r="M681" s="9">
        <v>1.5564667819527E-6</v>
      </c>
      <c r="N681" s="9">
        <v>1.7057061868980099E-5</v>
      </c>
      <c r="O681" s="2">
        <v>-4.0038489451932398</v>
      </c>
      <c r="P681" t="s">
        <v>2539</v>
      </c>
      <c r="Q681" s="10">
        <f>IF(N681&lt;='[1]statistical criteria'!$B$2,IF(O681&gt;=LOG('[1]statistical criteria'!$B$3,2),1,IF(O681&lt;=-1*LOG('[1]statistical criteria'!$B$3,2),2,"-")),"-")</f>
        <v>2</v>
      </c>
      <c r="R681" t="s">
        <v>2541</v>
      </c>
      <c r="S681" t="s">
        <v>2542</v>
      </c>
      <c r="T681">
        <v>0</v>
      </c>
      <c r="U681" t="s">
        <v>2543</v>
      </c>
    </row>
    <row r="682" spans="1:21" x14ac:dyDescent="0.35">
      <c r="A682" t="s">
        <v>2544</v>
      </c>
      <c r="B682" t="s">
        <v>2545</v>
      </c>
      <c r="C682">
        <v>1014</v>
      </c>
      <c r="D682" s="5">
        <v>0.91518999999999995</v>
      </c>
      <c r="E682" s="5">
        <v>4.7701890000000002</v>
      </c>
      <c r="F682" s="5">
        <v>3.3708870000000002</v>
      </c>
      <c r="G682" s="5">
        <v>0.756216</v>
      </c>
      <c r="H682" s="11">
        <v>0</v>
      </c>
      <c r="I682" s="11">
        <v>0</v>
      </c>
      <c r="J682" s="11">
        <v>0</v>
      </c>
      <c r="K682" s="7">
        <f t="shared" si="22"/>
        <v>2.4531205000000003</v>
      </c>
      <c r="L682" s="8">
        <f t="shared" si="23"/>
        <v>0</v>
      </c>
      <c r="M682" s="9">
        <v>3.8413076988452996E-6</v>
      </c>
      <c r="N682" s="9">
        <v>3.8392902053059901E-5</v>
      </c>
      <c r="O682" s="2">
        <v>-4.0039103579343802</v>
      </c>
      <c r="P682" t="s">
        <v>2544</v>
      </c>
      <c r="Q682" s="10">
        <f>IF(N682&lt;='[1]statistical criteria'!$B$2,IF(O682&gt;=LOG('[1]statistical criteria'!$B$3,2),1,IF(O682&lt;=-1*LOG('[1]statistical criteria'!$B$3,2),2,"-")),"-")</f>
        <v>2</v>
      </c>
      <c r="R682" t="s">
        <v>2546</v>
      </c>
    </row>
    <row r="683" spans="1:21" x14ac:dyDescent="0.35">
      <c r="A683" t="s">
        <v>2547</v>
      </c>
      <c r="B683" t="s">
        <v>2548</v>
      </c>
      <c r="C683">
        <v>1305</v>
      </c>
      <c r="D683" s="5">
        <v>1.5335110000000001</v>
      </c>
      <c r="E683" s="5">
        <v>5.2733879999999997</v>
      </c>
      <c r="F683" s="5">
        <v>0.68401400000000001</v>
      </c>
      <c r="G683" s="5">
        <v>2.1833</v>
      </c>
      <c r="H683" s="11">
        <v>0</v>
      </c>
      <c r="I683" s="11">
        <v>0</v>
      </c>
      <c r="J683" s="11">
        <v>0</v>
      </c>
      <c r="K683" s="7">
        <f t="shared" si="22"/>
        <v>2.41855325</v>
      </c>
      <c r="L683" s="8">
        <f t="shared" si="23"/>
        <v>0</v>
      </c>
      <c r="M683" s="9">
        <v>5.5823126494668798E-6</v>
      </c>
      <c r="N683" s="9">
        <v>5.3788055554103602E-5</v>
      </c>
      <c r="O683" s="2">
        <v>-4.0044159585542198</v>
      </c>
      <c r="P683" t="s">
        <v>2547</v>
      </c>
      <c r="Q683" s="10">
        <f>IF(N683&lt;='[1]statistical criteria'!$B$2,IF(O683&gt;=LOG('[1]statistical criteria'!$B$3,2),1,IF(O683&lt;=-1*LOG('[1]statistical criteria'!$B$3,2),2,"-")),"-")</f>
        <v>2</v>
      </c>
      <c r="R683" t="s">
        <v>2549</v>
      </c>
      <c r="S683" t="s">
        <v>2550</v>
      </c>
      <c r="T683">
        <v>0</v>
      </c>
      <c r="U683" t="s">
        <v>2551</v>
      </c>
    </row>
    <row r="684" spans="1:21" x14ac:dyDescent="0.35">
      <c r="A684" t="s">
        <v>2552</v>
      </c>
      <c r="B684" s="27" t="s">
        <v>2553</v>
      </c>
      <c r="C684">
        <v>636</v>
      </c>
      <c r="D684" s="5">
        <v>34.423181</v>
      </c>
      <c r="E684" s="5">
        <v>28.559421</v>
      </c>
      <c r="F684" s="5">
        <v>36.868754000000003</v>
      </c>
      <c r="G684" s="5">
        <v>31.536438</v>
      </c>
      <c r="H684" s="11">
        <v>0</v>
      </c>
      <c r="I684" s="6">
        <v>3.5423290000000001</v>
      </c>
      <c r="J684" s="6">
        <v>2.2098179999999998</v>
      </c>
      <c r="K684" s="7">
        <f t="shared" si="22"/>
        <v>32.846948500000003</v>
      </c>
      <c r="L684" s="8">
        <f t="shared" si="23"/>
        <v>1.9173823333333333</v>
      </c>
      <c r="M684" s="9">
        <v>7.3845334312424097E-9</v>
      </c>
      <c r="N684" s="9">
        <v>1.35057829117293E-7</v>
      </c>
      <c r="O684" s="2">
        <v>-4.0053200122783004</v>
      </c>
      <c r="P684" t="s">
        <v>2552</v>
      </c>
      <c r="Q684" s="10">
        <f>IF(N684&lt;='[1]statistical criteria'!$B$2,IF(O684&gt;=LOG('[1]statistical criteria'!$B$3,2),1,IF(O684&lt;=-1*LOG('[1]statistical criteria'!$B$3,2),2,"-")),"-")</f>
        <v>2</v>
      </c>
      <c r="R684" s="27"/>
      <c r="S684" s="27" t="s">
        <v>2554</v>
      </c>
      <c r="T684" s="28">
        <v>3.9999999999999998E-29</v>
      </c>
      <c r="U684" s="27" t="s">
        <v>2555</v>
      </c>
    </row>
    <row r="685" spans="1:21" x14ac:dyDescent="0.35">
      <c r="A685" t="s">
        <v>2556</v>
      </c>
      <c r="B685" t="s">
        <v>2557</v>
      </c>
      <c r="C685">
        <v>3438</v>
      </c>
      <c r="D685" s="5">
        <v>0.69936699999999996</v>
      </c>
      <c r="E685" s="5">
        <v>0.36578100000000002</v>
      </c>
      <c r="F685" s="5">
        <v>1.573555</v>
      </c>
      <c r="G685" s="5">
        <v>1.8032889999999999</v>
      </c>
      <c r="H685" s="11">
        <v>0</v>
      </c>
      <c r="I685" s="11">
        <v>0</v>
      </c>
      <c r="J685" s="11">
        <v>0</v>
      </c>
      <c r="K685" s="7">
        <f t="shared" si="22"/>
        <v>1.110498</v>
      </c>
      <c r="L685" s="8">
        <f t="shared" si="23"/>
        <v>0</v>
      </c>
      <c r="M685" s="9">
        <v>1.62742429490751E-5</v>
      </c>
      <c r="N685">
        <v>1.3890955071581E-4</v>
      </c>
      <c r="O685" s="2">
        <v>-4.0070855247235899</v>
      </c>
      <c r="P685" t="s">
        <v>2556</v>
      </c>
      <c r="Q685" s="10">
        <f>IF(N685&lt;='[1]statistical criteria'!$B$2,IF(O685&gt;=LOG('[1]statistical criteria'!$B$3,2),1,IF(O685&lt;=-1*LOG('[1]statistical criteria'!$B$3,2),2,"-")),"-")</f>
        <v>2</v>
      </c>
      <c r="S685" t="s">
        <v>2558</v>
      </c>
      <c r="T685" s="9">
        <v>4.0000000000000001E-58</v>
      </c>
      <c r="U685" t="s">
        <v>2559</v>
      </c>
    </row>
    <row r="686" spans="1:21" x14ac:dyDescent="0.35">
      <c r="A686" t="s">
        <v>2560</v>
      </c>
      <c r="B686" t="s">
        <v>2561</v>
      </c>
      <c r="C686">
        <v>1562</v>
      </c>
      <c r="D686" s="5">
        <v>1.680234</v>
      </c>
      <c r="E686" s="5">
        <v>4.9972459999999996</v>
      </c>
      <c r="F686" s="5">
        <v>0.49876199999999998</v>
      </c>
      <c r="G686" s="5">
        <v>1.86172</v>
      </c>
      <c r="H686" s="11">
        <v>0</v>
      </c>
      <c r="I686" s="11">
        <v>0</v>
      </c>
      <c r="J686" s="11">
        <v>0</v>
      </c>
      <c r="K686" s="7">
        <f t="shared" si="22"/>
        <v>2.2594905000000001</v>
      </c>
      <c r="L686" s="8">
        <f t="shared" si="23"/>
        <v>0</v>
      </c>
      <c r="M686" s="9">
        <v>2.8718531638652299E-5</v>
      </c>
      <c r="N686">
        <v>2.2996577196867399E-4</v>
      </c>
      <c r="O686" s="2">
        <v>-4.0076285280247204</v>
      </c>
      <c r="P686" t="s">
        <v>2560</v>
      </c>
      <c r="Q686" s="10">
        <f>IF(N686&lt;='[1]statistical criteria'!$B$2,IF(O686&gt;=LOG('[1]statistical criteria'!$B$3,2),1,IF(O686&lt;=-1*LOG('[1]statistical criteria'!$B$3,2),2,"-")),"-")</f>
        <v>2</v>
      </c>
      <c r="S686" t="s">
        <v>2562</v>
      </c>
      <c r="T686" s="9">
        <v>5.9999999999999999E-108</v>
      </c>
      <c r="U686" t="s">
        <v>2563</v>
      </c>
    </row>
    <row r="687" spans="1:21" x14ac:dyDescent="0.35">
      <c r="A687" t="s">
        <v>2564</v>
      </c>
      <c r="B687" t="s">
        <v>2565</v>
      </c>
      <c r="C687">
        <v>2046</v>
      </c>
      <c r="D687" s="5">
        <v>3.6932879999999999</v>
      </c>
      <c r="E687" s="5">
        <v>1.4118280000000001</v>
      </c>
      <c r="F687" s="5">
        <v>1.272494</v>
      </c>
      <c r="G687" s="5">
        <v>2.120428</v>
      </c>
      <c r="H687" s="11">
        <v>0</v>
      </c>
      <c r="I687" s="11">
        <v>0</v>
      </c>
      <c r="J687" s="11">
        <v>0</v>
      </c>
      <c r="K687" s="7">
        <f t="shared" si="22"/>
        <v>2.1245094999999998</v>
      </c>
      <c r="L687" s="8">
        <f t="shared" si="23"/>
        <v>0</v>
      </c>
      <c r="M687" s="9">
        <v>5.7659365396808203E-6</v>
      </c>
      <c r="N687" s="9">
        <v>5.5403066069238003E-5</v>
      </c>
      <c r="O687" s="2">
        <v>-4.0080033064324097</v>
      </c>
      <c r="P687" t="s">
        <v>2564</v>
      </c>
      <c r="Q687" s="10">
        <f>IF(N687&lt;='[1]statistical criteria'!$B$2,IF(O687&gt;=LOG('[1]statistical criteria'!$B$3,2),1,IF(O687&lt;=-1*LOG('[1]statistical criteria'!$B$3,2),2,"-")),"-")</f>
        <v>2</v>
      </c>
      <c r="R687" t="s">
        <v>2566</v>
      </c>
      <c r="S687" t="s">
        <v>2567</v>
      </c>
      <c r="T687" s="9">
        <v>5.9999999999999997E-75</v>
      </c>
      <c r="U687" t="s">
        <v>2568</v>
      </c>
    </row>
    <row r="688" spans="1:21" x14ac:dyDescent="0.35">
      <c r="A688" t="s">
        <v>2569</v>
      </c>
      <c r="B688" t="s">
        <v>2570</v>
      </c>
      <c r="C688">
        <v>2577</v>
      </c>
      <c r="D688" s="5">
        <v>3.5509309999999998</v>
      </c>
      <c r="E688" s="5">
        <v>1.6734770000000001</v>
      </c>
      <c r="F688" s="5">
        <v>0.64699700000000004</v>
      </c>
      <c r="G688" s="5">
        <v>0.88962399999999997</v>
      </c>
      <c r="H688" s="11">
        <v>0</v>
      </c>
      <c r="I688" s="11">
        <v>0</v>
      </c>
      <c r="J688" s="11">
        <v>0</v>
      </c>
      <c r="K688" s="7">
        <f t="shared" si="22"/>
        <v>1.6902572500000002</v>
      </c>
      <c r="L688" s="8">
        <f t="shared" si="23"/>
        <v>0</v>
      </c>
      <c r="M688" s="9">
        <v>2.2089520181096899E-7</v>
      </c>
      <c r="N688" s="9">
        <v>2.9426921179298201E-6</v>
      </c>
      <c r="O688" s="2">
        <v>-4.0106375542749104</v>
      </c>
      <c r="P688" t="s">
        <v>2569</v>
      </c>
      <c r="Q688" s="10">
        <f>IF(N688&lt;='[1]statistical criteria'!$B$2,IF(O688&gt;=LOG('[1]statistical criteria'!$B$3,2),1,IF(O688&lt;=-1*LOG('[1]statistical criteria'!$B$3,2),2,"-")),"-")</f>
        <v>2</v>
      </c>
      <c r="R688" t="s">
        <v>2571</v>
      </c>
      <c r="S688" t="s">
        <v>2572</v>
      </c>
      <c r="T688" s="9">
        <v>4E-174</v>
      </c>
      <c r="U688" t="s">
        <v>2573</v>
      </c>
    </row>
    <row r="689" spans="1:21" x14ac:dyDescent="0.35">
      <c r="A689" t="s">
        <v>2574</v>
      </c>
      <c r="B689" s="27" t="s">
        <v>2575</v>
      </c>
      <c r="C689">
        <v>806</v>
      </c>
      <c r="D689" s="5">
        <v>32.525644</v>
      </c>
      <c r="E689" s="5">
        <v>25.948232999999998</v>
      </c>
      <c r="F689" s="5">
        <v>22.704733999999998</v>
      </c>
      <c r="G689" s="5">
        <v>23.224664000000001</v>
      </c>
      <c r="H689" s="6">
        <v>4.3129330000000001</v>
      </c>
      <c r="I689" s="11">
        <v>0</v>
      </c>
      <c r="J689" s="6">
        <v>1.4169670000000001</v>
      </c>
      <c r="K689" s="7">
        <f t="shared" si="22"/>
        <v>26.100818750000002</v>
      </c>
      <c r="L689" s="8">
        <f t="shared" si="23"/>
        <v>1.9099666666666668</v>
      </c>
      <c r="M689" s="9">
        <v>1.0108525827588301E-8</v>
      </c>
      <c r="N689" s="9">
        <v>1.8096448400659001E-7</v>
      </c>
      <c r="O689" s="2">
        <v>-4.0175877715899899</v>
      </c>
      <c r="P689" t="s">
        <v>2574</v>
      </c>
      <c r="Q689" s="10">
        <f>IF(N689&lt;='[1]statistical criteria'!$B$2,IF(O689&gt;=LOG('[1]statistical criteria'!$B$3,2),1,IF(O689&lt;=-1*LOG('[1]statistical criteria'!$B$3,2),2,"-")),"-")</f>
        <v>2</v>
      </c>
      <c r="R689" s="27" t="s">
        <v>2576</v>
      </c>
      <c r="S689" s="27" t="s">
        <v>2577</v>
      </c>
      <c r="T689" s="28">
        <v>5.0000000000000001E-60</v>
      </c>
      <c r="U689" s="27" t="s">
        <v>2578</v>
      </c>
    </row>
    <row r="690" spans="1:21" x14ac:dyDescent="0.35">
      <c r="A690" t="s">
        <v>2579</v>
      </c>
      <c r="B690" t="s">
        <v>2580</v>
      </c>
      <c r="C690">
        <v>6753</v>
      </c>
      <c r="D690" s="5">
        <v>0.87201099999999998</v>
      </c>
      <c r="E690" s="5">
        <v>0.44362800000000002</v>
      </c>
      <c r="F690" s="5">
        <v>0.54565399999999997</v>
      </c>
      <c r="G690" s="5">
        <v>1.4362649999999999</v>
      </c>
      <c r="H690" s="11">
        <v>0</v>
      </c>
      <c r="I690" s="11">
        <v>0</v>
      </c>
      <c r="J690" s="6">
        <v>8.1184999999999993E-2</v>
      </c>
      <c r="K690" s="7">
        <f t="shared" si="22"/>
        <v>0.82438949999999989</v>
      </c>
      <c r="L690" s="8">
        <f t="shared" si="23"/>
        <v>2.7061666666666664E-2</v>
      </c>
      <c r="M690" s="9">
        <v>7.8741715619606298E-6</v>
      </c>
      <c r="N690" s="9">
        <v>7.32382623773758E-5</v>
      </c>
      <c r="O690" s="2">
        <v>-4.01968723641391</v>
      </c>
      <c r="P690" t="s">
        <v>2579</v>
      </c>
      <c r="Q690" s="10">
        <f>IF(N690&lt;='[1]statistical criteria'!$B$2,IF(O690&gt;=LOG('[1]statistical criteria'!$B$3,2),1,IF(O690&lt;=-1*LOG('[1]statistical criteria'!$B$3,2),2,"-")),"-")</f>
        <v>2</v>
      </c>
      <c r="S690" t="s">
        <v>2480</v>
      </c>
      <c r="T690" s="9">
        <v>4E-14</v>
      </c>
      <c r="U690" t="s">
        <v>1523</v>
      </c>
    </row>
    <row r="691" spans="1:21" x14ac:dyDescent="0.35">
      <c r="A691" t="s">
        <v>2581</v>
      </c>
      <c r="B691" t="s">
        <v>2582</v>
      </c>
      <c r="C691">
        <v>3067</v>
      </c>
      <c r="D691" s="5">
        <v>4.7270880000000002</v>
      </c>
      <c r="E691" s="5">
        <v>1.7400230000000001</v>
      </c>
      <c r="F691" s="5">
        <v>5.5724220000000004</v>
      </c>
      <c r="G691" s="5">
        <v>8.4527830000000002</v>
      </c>
      <c r="H691" s="6">
        <v>1.0901099999999999</v>
      </c>
      <c r="I691" s="11">
        <v>0</v>
      </c>
      <c r="J691" s="11">
        <v>0</v>
      </c>
      <c r="K691" s="7">
        <f t="shared" si="22"/>
        <v>5.1230790000000006</v>
      </c>
      <c r="L691" s="8">
        <f t="shared" si="23"/>
        <v>0.36336999999999997</v>
      </c>
      <c r="M691" s="9">
        <v>1.7987725364623699E-8</v>
      </c>
      <c r="N691" s="9">
        <v>3.06314464151041E-7</v>
      </c>
      <c r="O691" s="2">
        <v>-4.0212756726004297</v>
      </c>
      <c r="P691" t="s">
        <v>2581</v>
      </c>
      <c r="Q691" s="10">
        <f>IF(N691&lt;='[1]statistical criteria'!$B$2,IF(O691&gt;=LOG('[1]statistical criteria'!$B$3,2),1,IF(O691&lt;=-1*LOG('[1]statistical criteria'!$B$3,2),2,"-")),"-")</f>
        <v>2</v>
      </c>
      <c r="R691" t="s">
        <v>2583</v>
      </c>
      <c r="S691" t="s">
        <v>2584</v>
      </c>
      <c r="T691" s="9">
        <v>8.0000000000000001E-150</v>
      </c>
      <c r="U691" t="s">
        <v>2585</v>
      </c>
    </row>
    <row r="692" spans="1:21" x14ac:dyDescent="0.35">
      <c r="A692" t="s">
        <v>2586</v>
      </c>
      <c r="B692" t="s">
        <v>2587</v>
      </c>
      <c r="C692">
        <v>711</v>
      </c>
      <c r="D692" s="5">
        <v>9.7753599999999992</v>
      </c>
      <c r="E692" s="5">
        <v>15.272377000000001</v>
      </c>
      <c r="F692" s="5">
        <v>16.889081000000001</v>
      </c>
      <c r="G692" s="5">
        <v>21.767040000000001</v>
      </c>
      <c r="H692" s="11">
        <v>0</v>
      </c>
      <c r="I692" s="11">
        <v>0</v>
      </c>
      <c r="J692" s="6">
        <v>6.6831950000000004</v>
      </c>
      <c r="K692" s="7">
        <f t="shared" si="22"/>
        <v>15.925964500000001</v>
      </c>
      <c r="L692" s="8">
        <f t="shared" si="23"/>
        <v>2.2277316666666667</v>
      </c>
      <c r="M692" s="9">
        <v>9.8602132862615792E-6</v>
      </c>
      <c r="N692" s="9">
        <v>8.9140075457272202E-5</v>
      </c>
      <c r="O692" s="2">
        <v>-4.0213291720628002</v>
      </c>
      <c r="P692" t="s">
        <v>2586</v>
      </c>
      <c r="Q692" s="10">
        <f>IF(N692&lt;='[1]statistical criteria'!$B$2,IF(O692&gt;=LOG('[1]statistical criteria'!$B$3,2),1,IF(O692&lt;=-1*LOG('[1]statistical criteria'!$B$3,2),2,"-")),"-")</f>
        <v>2</v>
      </c>
      <c r="R692" t="s">
        <v>2588</v>
      </c>
      <c r="S692" t="s">
        <v>2589</v>
      </c>
      <c r="T692" s="9">
        <v>2E-52</v>
      </c>
      <c r="U692" t="s">
        <v>2590</v>
      </c>
    </row>
    <row r="693" spans="1:21" x14ac:dyDescent="0.35">
      <c r="A693" t="s">
        <v>2591</v>
      </c>
      <c r="B693" t="s">
        <v>2592</v>
      </c>
      <c r="C693">
        <v>2064</v>
      </c>
      <c r="D693" s="5">
        <v>1.970275</v>
      </c>
      <c r="E693" s="5">
        <v>2.0030429999999999</v>
      </c>
      <c r="F693" s="5">
        <v>2.2702300000000002</v>
      </c>
      <c r="G693" s="5">
        <v>1.579072</v>
      </c>
      <c r="H693" s="11">
        <v>0</v>
      </c>
      <c r="I693" s="11">
        <v>0</v>
      </c>
      <c r="J693" s="11">
        <v>0</v>
      </c>
      <c r="K693" s="7">
        <f t="shared" si="22"/>
        <v>1.9556550000000001</v>
      </c>
      <c r="L693" s="8">
        <f t="shared" si="23"/>
        <v>0</v>
      </c>
      <c r="M693" s="9">
        <v>2.2032609197061701E-5</v>
      </c>
      <c r="N693">
        <v>1.8146745423937801E-4</v>
      </c>
      <c r="O693" s="2">
        <v>-4.0223986047131604</v>
      </c>
      <c r="P693" t="s">
        <v>2591</v>
      </c>
      <c r="Q693" s="10">
        <f>IF(N693&lt;='[1]statistical criteria'!$B$2,IF(O693&gt;=LOG('[1]statistical criteria'!$B$3,2),1,IF(O693&lt;=-1*LOG('[1]statistical criteria'!$B$3,2),2,"-")),"-")</f>
        <v>2</v>
      </c>
      <c r="R693" t="s">
        <v>1521</v>
      </c>
      <c r="S693" t="s">
        <v>2593</v>
      </c>
      <c r="T693">
        <v>0</v>
      </c>
      <c r="U693" t="s">
        <v>1523</v>
      </c>
    </row>
    <row r="694" spans="1:21" x14ac:dyDescent="0.35">
      <c r="A694" t="s">
        <v>2594</v>
      </c>
      <c r="B694" t="s">
        <v>2595</v>
      </c>
      <c r="C694">
        <v>591</v>
      </c>
      <c r="D694" s="5">
        <v>9.0772239999999993</v>
      </c>
      <c r="E694" s="5">
        <v>12.133406000000001</v>
      </c>
      <c r="F694" s="5">
        <v>13.779284000000001</v>
      </c>
      <c r="G694" s="5">
        <v>7.7307620000000004</v>
      </c>
      <c r="H694" s="6">
        <v>1.708853</v>
      </c>
      <c r="I694" s="11">
        <v>0</v>
      </c>
      <c r="J694" s="11">
        <v>0</v>
      </c>
      <c r="K694" s="7">
        <f t="shared" si="22"/>
        <v>10.680168999999999</v>
      </c>
      <c r="L694" s="8">
        <f t="shared" si="23"/>
        <v>0.56961766666666669</v>
      </c>
      <c r="M694" s="9">
        <v>2.9958753339086599E-9</v>
      </c>
      <c r="N694" s="9">
        <v>5.9201980897488797E-8</v>
      </c>
      <c r="O694" s="2">
        <v>-4.0226222780910899</v>
      </c>
      <c r="P694" t="s">
        <v>2594</v>
      </c>
      <c r="Q694" s="10">
        <f>IF(N694&lt;='[1]statistical criteria'!$B$2,IF(O694&gt;=LOG('[1]statistical criteria'!$B$3,2),1,IF(O694&lt;=-1*LOG('[1]statistical criteria'!$B$3,2),2,"-")),"-")</f>
        <v>2</v>
      </c>
      <c r="R694" t="s">
        <v>2596</v>
      </c>
    </row>
    <row r="695" spans="1:21" x14ac:dyDescent="0.35">
      <c r="A695" t="s">
        <v>2597</v>
      </c>
      <c r="B695" t="s">
        <v>2598</v>
      </c>
      <c r="C695">
        <v>1018</v>
      </c>
      <c r="D695" s="5">
        <v>2.0113850000000002</v>
      </c>
      <c r="E695" s="5">
        <v>5.793812</v>
      </c>
      <c r="F695" s="5">
        <v>1.1721200000000001</v>
      </c>
      <c r="G695" s="5">
        <v>1.2600499999999999</v>
      </c>
      <c r="H695" s="11">
        <v>0</v>
      </c>
      <c r="I695" s="11">
        <v>0</v>
      </c>
      <c r="J695" s="11">
        <v>0</v>
      </c>
      <c r="K695" s="7">
        <f t="shared" si="22"/>
        <v>2.5593417499999997</v>
      </c>
      <c r="L695" s="8">
        <f t="shared" si="23"/>
        <v>0</v>
      </c>
      <c r="M695" s="9">
        <v>1.17218870130781E-5</v>
      </c>
      <c r="N695">
        <v>1.0334376180629E-4</v>
      </c>
      <c r="O695" s="2">
        <v>-4.0253760474976099</v>
      </c>
      <c r="P695" t="s">
        <v>2597</v>
      </c>
      <c r="Q695" s="10">
        <f>IF(N695&lt;='[1]statistical criteria'!$B$2,IF(O695&gt;=LOG('[1]statistical criteria'!$B$3,2),1,IF(O695&lt;=-1*LOG('[1]statistical criteria'!$B$3,2),2,"-")),"-")</f>
        <v>2</v>
      </c>
      <c r="R695" t="s">
        <v>387</v>
      </c>
      <c r="S695" t="s">
        <v>2599</v>
      </c>
      <c r="T695">
        <v>0</v>
      </c>
      <c r="U695" t="s">
        <v>389</v>
      </c>
    </row>
    <row r="696" spans="1:21" x14ac:dyDescent="0.35">
      <c r="A696" t="s">
        <v>2600</v>
      </c>
      <c r="B696" t="s">
        <v>2601</v>
      </c>
      <c r="C696">
        <v>717</v>
      </c>
      <c r="D696" s="5">
        <v>17.922749</v>
      </c>
      <c r="E696" s="5">
        <v>27.135255999999998</v>
      </c>
      <c r="F696" s="5">
        <v>8.9021469999999994</v>
      </c>
      <c r="G696" s="5">
        <v>20.911431</v>
      </c>
      <c r="H696" s="11">
        <v>0</v>
      </c>
      <c r="I696" s="6">
        <v>9.2300939999999994</v>
      </c>
      <c r="J696" s="11">
        <v>0</v>
      </c>
      <c r="K696" s="7">
        <f t="shared" si="22"/>
        <v>18.717895749999997</v>
      </c>
      <c r="L696" s="8">
        <f t="shared" si="23"/>
        <v>3.0766979999999999</v>
      </c>
      <c r="M696" s="9">
        <v>3.3576979335226002E-7</v>
      </c>
      <c r="N696" s="9">
        <v>4.3086305917016298E-6</v>
      </c>
      <c r="O696" s="2">
        <v>-4.0284756909248598</v>
      </c>
      <c r="P696" t="s">
        <v>2600</v>
      </c>
      <c r="Q696" s="10">
        <f>IF(N696&lt;='[1]statistical criteria'!$B$2,IF(O696&gt;=LOG('[1]statistical criteria'!$B$3,2),1,IF(O696&lt;=-1*LOG('[1]statistical criteria'!$B$3,2),2,"-")),"-")</f>
        <v>2</v>
      </c>
      <c r="R696" t="s">
        <v>2602</v>
      </c>
      <c r="S696" t="s">
        <v>2603</v>
      </c>
      <c r="T696" s="9">
        <v>7.9999999999999996E-57</v>
      </c>
      <c r="U696" t="s">
        <v>2604</v>
      </c>
    </row>
    <row r="697" spans="1:21" x14ac:dyDescent="0.35">
      <c r="A697" t="s">
        <v>2605</v>
      </c>
      <c r="B697" t="s">
        <v>2606</v>
      </c>
      <c r="C697">
        <v>798</v>
      </c>
      <c r="D697" s="5">
        <v>2.1090819999999999</v>
      </c>
      <c r="E697" s="5">
        <v>5.6896409999999999</v>
      </c>
      <c r="F697" s="5">
        <v>1.054986</v>
      </c>
      <c r="G697" s="5">
        <v>5.269476</v>
      </c>
      <c r="H697" s="11">
        <v>0</v>
      </c>
      <c r="I697" s="11">
        <v>0</v>
      </c>
      <c r="J697" s="11">
        <v>0</v>
      </c>
      <c r="K697" s="7">
        <f t="shared" si="22"/>
        <v>3.5307962499999999</v>
      </c>
      <c r="L697" s="8">
        <f t="shared" si="23"/>
        <v>0</v>
      </c>
      <c r="M697" s="9">
        <v>1.5922181056793701E-5</v>
      </c>
      <c r="N697">
        <v>1.3620998224804899E-4</v>
      </c>
      <c r="O697" s="2">
        <v>-4.03047866633454</v>
      </c>
      <c r="P697" t="s">
        <v>2605</v>
      </c>
      <c r="Q697" s="10">
        <f>IF(N697&lt;='[1]statistical criteria'!$B$2,IF(O697&gt;=LOG('[1]statistical criteria'!$B$3,2),1,IF(O697&lt;=-1*LOG('[1]statistical criteria'!$B$3,2),2,"-")),"-")</f>
        <v>2</v>
      </c>
      <c r="R697" t="s">
        <v>2607</v>
      </c>
      <c r="S697" t="s">
        <v>2608</v>
      </c>
      <c r="T697" s="9">
        <v>2.9999999999999998E-63</v>
      </c>
      <c r="U697" t="s">
        <v>2609</v>
      </c>
    </row>
    <row r="698" spans="1:21" x14ac:dyDescent="0.35">
      <c r="A698" t="s">
        <v>2610</v>
      </c>
      <c r="B698" t="s">
        <v>2611</v>
      </c>
      <c r="C698">
        <v>1260</v>
      </c>
      <c r="D698" s="5">
        <v>1.9719519999999999</v>
      </c>
      <c r="E698" s="5">
        <v>2.2701989999999999</v>
      </c>
      <c r="F698" s="5">
        <v>2.5325250000000001</v>
      </c>
      <c r="G698" s="5">
        <v>4.0273260000000004</v>
      </c>
      <c r="H698" s="11">
        <v>0</v>
      </c>
      <c r="I698" s="11">
        <v>0</v>
      </c>
      <c r="J698" s="11">
        <v>0</v>
      </c>
      <c r="K698" s="7">
        <f t="shared" si="22"/>
        <v>2.7005005</v>
      </c>
      <c r="L698" s="8">
        <f t="shared" si="23"/>
        <v>0</v>
      </c>
      <c r="M698" s="9">
        <v>9.9238658890073406E-6</v>
      </c>
      <c r="N698" s="9">
        <v>8.9511506567189906E-5</v>
      </c>
      <c r="O698" s="2">
        <v>-4.0306534094386297</v>
      </c>
      <c r="P698" t="s">
        <v>2610</v>
      </c>
      <c r="Q698" s="10">
        <f>IF(N698&lt;='[1]statistical criteria'!$B$2,IF(O698&gt;=LOG('[1]statistical criteria'!$B$3,2),1,IF(O698&lt;=-1*LOG('[1]statistical criteria'!$B$3,2),2,"-")),"-")</f>
        <v>2</v>
      </c>
      <c r="R698" t="s">
        <v>2612</v>
      </c>
      <c r="S698" t="s">
        <v>2613</v>
      </c>
      <c r="T698">
        <v>0</v>
      </c>
      <c r="U698" t="s">
        <v>2614</v>
      </c>
    </row>
    <row r="699" spans="1:21" x14ac:dyDescent="0.35">
      <c r="A699" t="s">
        <v>2615</v>
      </c>
      <c r="B699" t="s">
        <v>2616</v>
      </c>
      <c r="C699">
        <v>1521</v>
      </c>
      <c r="D699" s="5">
        <v>2.6310570000000002</v>
      </c>
      <c r="E699" s="5">
        <v>3.255986</v>
      </c>
      <c r="F699" s="5">
        <v>0.61166399999999999</v>
      </c>
      <c r="G699" s="5">
        <v>1.269393</v>
      </c>
      <c r="H699" s="11">
        <v>0</v>
      </c>
      <c r="I699" s="11">
        <v>0</v>
      </c>
      <c r="J699" s="11">
        <v>0</v>
      </c>
      <c r="K699" s="7">
        <f t="shared" si="22"/>
        <v>1.9420250000000001</v>
      </c>
      <c r="L699" s="8">
        <f t="shared" si="23"/>
        <v>0</v>
      </c>
      <c r="M699" s="9">
        <v>1.21598570888398E-6</v>
      </c>
      <c r="N699" s="9">
        <v>1.37208467477392E-5</v>
      </c>
      <c r="O699" s="2">
        <v>-4.0307170915663901</v>
      </c>
      <c r="P699" t="s">
        <v>2615</v>
      </c>
      <c r="Q699" s="10">
        <f>IF(N699&lt;='[1]statistical criteria'!$B$2,IF(O699&gt;=LOG('[1]statistical criteria'!$B$3,2),1,IF(O699&lt;=-1*LOG('[1]statistical criteria'!$B$3,2),2,"-")),"-")</f>
        <v>2</v>
      </c>
      <c r="R699" t="s">
        <v>175</v>
      </c>
      <c r="S699" t="s">
        <v>2617</v>
      </c>
      <c r="T699">
        <v>0</v>
      </c>
      <c r="U699" t="s">
        <v>176</v>
      </c>
    </row>
    <row r="700" spans="1:21" x14ac:dyDescent="0.35">
      <c r="A700" t="s">
        <v>2618</v>
      </c>
      <c r="B700" t="s">
        <v>2619</v>
      </c>
      <c r="C700">
        <v>1760</v>
      </c>
      <c r="D700" s="5">
        <v>5.2978300000000003</v>
      </c>
      <c r="E700" s="5">
        <v>1.7437339999999999</v>
      </c>
      <c r="F700" s="5">
        <v>2.199719</v>
      </c>
      <c r="G700" s="5">
        <v>0.92509399999999997</v>
      </c>
      <c r="H700" s="11">
        <v>0</v>
      </c>
      <c r="I700" s="11">
        <v>0</v>
      </c>
      <c r="J700" s="11">
        <v>0</v>
      </c>
      <c r="K700" s="7">
        <f t="shared" si="22"/>
        <v>2.5415942499999997</v>
      </c>
      <c r="L700" s="8">
        <f t="shared" si="23"/>
        <v>0</v>
      </c>
      <c r="M700" s="9">
        <v>7.0504538614569996E-6</v>
      </c>
      <c r="N700" s="9">
        <v>6.6404423154430505E-5</v>
      </c>
      <c r="O700" s="2">
        <v>-4.03127725399575</v>
      </c>
      <c r="P700" t="s">
        <v>2618</v>
      </c>
      <c r="Q700" s="10">
        <f>IF(N700&lt;='[1]statistical criteria'!$B$2,IF(O700&gt;=LOG('[1]statistical criteria'!$B$3,2),1,IF(O700&lt;=-1*LOG('[1]statistical criteria'!$B$3,2),2,"-")),"-")</f>
        <v>2</v>
      </c>
      <c r="R700" t="s">
        <v>980</v>
      </c>
      <c r="S700" t="s">
        <v>2620</v>
      </c>
      <c r="T700" s="9">
        <v>4.9999999999999997E-127</v>
      </c>
      <c r="U700" t="s">
        <v>982</v>
      </c>
    </row>
    <row r="701" spans="1:21" x14ac:dyDescent="0.35">
      <c r="A701" t="s">
        <v>2621</v>
      </c>
      <c r="B701" t="s">
        <v>2622</v>
      </c>
      <c r="C701">
        <v>2154</v>
      </c>
      <c r="D701" s="5">
        <v>0.60445800000000005</v>
      </c>
      <c r="E701" s="5">
        <v>3.4884050000000002</v>
      </c>
      <c r="F701" s="5">
        <v>1.9587140000000001</v>
      </c>
      <c r="G701" s="5">
        <v>1.472367</v>
      </c>
      <c r="H701" s="11">
        <v>0</v>
      </c>
      <c r="I701" s="11">
        <v>0</v>
      </c>
      <c r="J701" s="11">
        <v>0</v>
      </c>
      <c r="K701" s="7">
        <f t="shared" si="22"/>
        <v>1.880986</v>
      </c>
      <c r="L701" s="8">
        <f t="shared" si="23"/>
        <v>0</v>
      </c>
      <c r="M701" s="9">
        <v>1.0038661917665699E-5</v>
      </c>
      <c r="N701" s="9">
        <v>9.0452526653967202E-5</v>
      </c>
      <c r="O701" s="2">
        <v>-4.0327561730708297</v>
      </c>
      <c r="P701" t="s">
        <v>2621</v>
      </c>
      <c r="Q701" s="10">
        <f>IF(N701&lt;='[1]statistical criteria'!$B$2,IF(O701&gt;=LOG('[1]statistical criteria'!$B$3,2),1,IF(O701&lt;=-1*LOG('[1]statistical criteria'!$B$3,2),2,"-")),"-")</f>
        <v>2</v>
      </c>
    </row>
    <row r="702" spans="1:21" x14ac:dyDescent="0.35">
      <c r="A702" t="s">
        <v>2623</v>
      </c>
      <c r="B702" t="s">
        <v>2624</v>
      </c>
      <c r="C702">
        <v>1179</v>
      </c>
      <c r="D702" s="5">
        <v>1.3736740000000001</v>
      </c>
      <c r="E702" s="5">
        <v>3.870962</v>
      </c>
      <c r="F702" s="5">
        <v>5.0457970000000003</v>
      </c>
      <c r="G702" s="5">
        <v>1.476486</v>
      </c>
      <c r="H702" s="11">
        <v>0</v>
      </c>
      <c r="I702" s="11">
        <v>0</v>
      </c>
      <c r="J702" s="11">
        <v>0</v>
      </c>
      <c r="K702" s="7">
        <f t="shared" si="22"/>
        <v>2.9417297499999999</v>
      </c>
      <c r="L702" s="8">
        <f t="shared" si="23"/>
        <v>0</v>
      </c>
      <c r="M702" s="9">
        <v>7.3385503135291898E-6</v>
      </c>
      <c r="N702" s="9">
        <v>6.8794390377566799E-5</v>
      </c>
      <c r="O702" s="2">
        <v>-4.0359594408652599</v>
      </c>
      <c r="P702" t="s">
        <v>2623</v>
      </c>
      <c r="Q702" s="10">
        <f>IF(N702&lt;='[1]statistical criteria'!$B$2,IF(O702&gt;=LOG('[1]statistical criteria'!$B$3,2),1,IF(O702&lt;=-1*LOG('[1]statistical criteria'!$B$3,2),2,"-")),"-")</f>
        <v>2</v>
      </c>
      <c r="R702" t="s">
        <v>2625</v>
      </c>
      <c r="S702" t="s">
        <v>2626</v>
      </c>
      <c r="T702" s="9">
        <v>1.9999999999999999E-81</v>
      </c>
      <c r="U702" t="s">
        <v>2627</v>
      </c>
    </row>
    <row r="703" spans="1:21" x14ac:dyDescent="0.35">
      <c r="A703" t="s">
        <v>2628</v>
      </c>
      <c r="B703" t="s">
        <v>2629</v>
      </c>
      <c r="C703">
        <v>1407</v>
      </c>
      <c r="D703" s="5">
        <v>1.932272</v>
      </c>
      <c r="E703" s="5">
        <v>2.3717649999999999</v>
      </c>
      <c r="F703" s="5">
        <v>1.146676</v>
      </c>
      <c r="G703" s="5">
        <v>3.5489190000000002</v>
      </c>
      <c r="H703" s="11">
        <v>0</v>
      </c>
      <c r="I703" s="11">
        <v>0</v>
      </c>
      <c r="J703" s="11">
        <v>0</v>
      </c>
      <c r="K703" s="7">
        <f t="shared" si="22"/>
        <v>2.249908</v>
      </c>
      <c r="L703" s="8">
        <f t="shared" si="23"/>
        <v>0</v>
      </c>
      <c r="M703" s="9">
        <v>1.5955621345786799E-5</v>
      </c>
      <c r="N703">
        <v>1.36465381667561E-4</v>
      </c>
      <c r="O703" s="2">
        <v>-4.0384965122419896</v>
      </c>
      <c r="P703" t="s">
        <v>2628</v>
      </c>
      <c r="Q703" s="10">
        <f>IF(N703&lt;='[1]statistical criteria'!$B$2,IF(O703&gt;=LOG('[1]statistical criteria'!$B$3,2),1,IF(O703&lt;=-1*LOG('[1]statistical criteria'!$B$3,2),2,"-")),"-")</f>
        <v>2</v>
      </c>
      <c r="S703" t="s">
        <v>2630</v>
      </c>
      <c r="T703" s="9">
        <v>3.0000000000000001E-113</v>
      </c>
      <c r="U703" t="s">
        <v>61</v>
      </c>
    </row>
    <row r="704" spans="1:21" x14ac:dyDescent="0.35">
      <c r="A704" t="s">
        <v>2631</v>
      </c>
      <c r="B704" t="s">
        <v>2632</v>
      </c>
      <c r="C704">
        <v>2214</v>
      </c>
      <c r="D704" s="5">
        <v>6.1301100000000002</v>
      </c>
      <c r="E704" s="5">
        <v>3.7073239999999998</v>
      </c>
      <c r="F704" s="5">
        <v>10.125851000000001</v>
      </c>
      <c r="G704" s="5">
        <v>6.3990939999999998</v>
      </c>
      <c r="H704" s="6">
        <v>1.501406</v>
      </c>
      <c r="I704" s="11">
        <v>0</v>
      </c>
      <c r="J704" s="11">
        <v>0</v>
      </c>
      <c r="K704" s="7">
        <f t="shared" si="22"/>
        <v>6.5905947499999993</v>
      </c>
      <c r="L704" s="8">
        <f t="shared" si="23"/>
        <v>0.50046866666666667</v>
      </c>
      <c r="M704" s="9">
        <v>4.4984661024645999E-5</v>
      </c>
      <c r="N704">
        <v>3.4011048839849501E-4</v>
      </c>
      <c r="O704" s="2">
        <v>-4.0386750997987999</v>
      </c>
      <c r="P704" t="s">
        <v>2631</v>
      </c>
      <c r="Q704" s="10">
        <f>IF(N704&lt;='[1]statistical criteria'!$B$2,IF(O704&gt;=LOG('[1]statistical criteria'!$B$3,2),1,IF(O704&lt;=-1*LOG('[1]statistical criteria'!$B$3,2),2,"-")),"-")</f>
        <v>2</v>
      </c>
      <c r="R704" t="s">
        <v>2633</v>
      </c>
      <c r="S704" t="s">
        <v>2634</v>
      </c>
      <c r="T704">
        <v>0</v>
      </c>
      <c r="U704" t="s">
        <v>2635</v>
      </c>
    </row>
    <row r="705" spans="1:21" x14ac:dyDescent="0.35">
      <c r="A705" t="s">
        <v>2636</v>
      </c>
      <c r="B705" t="s">
        <v>2637</v>
      </c>
      <c r="C705">
        <v>1025</v>
      </c>
      <c r="D705" s="5">
        <v>9.0723029999999998</v>
      </c>
      <c r="E705" s="5">
        <v>2.6623070000000002</v>
      </c>
      <c r="F705" s="5">
        <v>9.0299800000000001</v>
      </c>
      <c r="G705" s="5">
        <v>6.074211</v>
      </c>
      <c r="H705" s="6">
        <v>1.6781889999999999</v>
      </c>
      <c r="I705" s="11">
        <v>0</v>
      </c>
      <c r="J705" s="11">
        <v>0</v>
      </c>
      <c r="K705" s="7">
        <f t="shared" si="22"/>
        <v>6.7097002499999991</v>
      </c>
      <c r="L705" s="8">
        <f t="shared" si="23"/>
        <v>0.55939633333333327</v>
      </c>
      <c r="M705" s="9">
        <v>1.2317651540383E-8</v>
      </c>
      <c r="N705" s="9">
        <v>2.1684080371275401E-7</v>
      </c>
      <c r="O705" s="2">
        <v>-4.0429072011625502</v>
      </c>
      <c r="P705" t="s">
        <v>2636</v>
      </c>
      <c r="Q705" s="10">
        <f>IF(N705&lt;='[1]statistical criteria'!$B$2,IF(O705&gt;=LOG('[1]statistical criteria'!$B$3,2),1,IF(O705&lt;=-1*LOG('[1]statistical criteria'!$B$3,2),2,"-")),"-")</f>
        <v>2</v>
      </c>
      <c r="R705" t="s">
        <v>2638</v>
      </c>
      <c r="S705" t="s">
        <v>2639</v>
      </c>
      <c r="T705">
        <v>0.4</v>
      </c>
      <c r="U705" t="s">
        <v>2640</v>
      </c>
    </row>
    <row r="706" spans="1:21" x14ac:dyDescent="0.35">
      <c r="A706" t="s">
        <v>2641</v>
      </c>
      <c r="B706" t="s">
        <v>2642</v>
      </c>
      <c r="C706">
        <v>1878</v>
      </c>
      <c r="D706" s="5">
        <v>6.8324720000000001</v>
      </c>
      <c r="E706" s="5">
        <v>6.103548</v>
      </c>
      <c r="F706" s="5">
        <v>6.7281979999999999</v>
      </c>
      <c r="G706" s="5">
        <v>14.20097</v>
      </c>
      <c r="H706" s="6">
        <v>1.1586209999999999</v>
      </c>
      <c r="I706" s="11">
        <v>0</v>
      </c>
      <c r="J706" s="11">
        <v>0</v>
      </c>
      <c r="K706" s="7">
        <f t="shared" si="22"/>
        <v>8.4662969999999991</v>
      </c>
      <c r="L706" s="8">
        <f t="shared" si="23"/>
        <v>0.38620699999999997</v>
      </c>
      <c r="M706" s="9">
        <v>1.2747676706676899E-6</v>
      </c>
      <c r="N706" s="9">
        <v>1.42993390939028E-5</v>
      </c>
      <c r="O706" s="2">
        <v>-4.0451012397930599</v>
      </c>
      <c r="P706" t="s">
        <v>2641</v>
      </c>
      <c r="Q706" s="10">
        <f>IF(N706&lt;='[1]statistical criteria'!$B$2,IF(O706&gt;=LOG('[1]statistical criteria'!$B$3,2),1,IF(O706&lt;=-1*LOG('[1]statistical criteria'!$B$3,2),2,"-")),"-")</f>
        <v>2</v>
      </c>
      <c r="R706" t="s">
        <v>2643</v>
      </c>
      <c r="S706" t="s">
        <v>2644</v>
      </c>
      <c r="T706">
        <v>0</v>
      </c>
      <c r="U706" t="s">
        <v>1883</v>
      </c>
    </row>
    <row r="707" spans="1:21" x14ac:dyDescent="0.35">
      <c r="A707" t="s">
        <v>2645</v>
      </c>
      <c r="B707" t="s">
        <v>2646</v>
      </c>
      <c r="C707">
        <v>564</v>
      </c>
      <c r="D707" s="5">
        <v>11.362939000000001</v>
      </c>
      <c r="E707" s="5">
        <v>8.8986830000000001</v>
      </c>
      <c r="F707" s="5">
        <v>5.8217679999999996</v>
      </c>
      <c r="G707" s="5">
        <v>3.354409</v>
      </c>
      <c r="H707" s="11">
        <v>0</v>
      </c>
      <c r="I707" s="11">
        <v>0</v>
      </c>
      <c r="J707" s="11">
        <v>0</v>
      </c>
      <c r="K707" s="7">
        <f t="shared" si="22"/>
        <v>7.3594497500000005</v>
      </c>
      <c r="L707" s="8">
        <f t="shared" si="23"/>
        <v>0</v>
      </c>
      <c r="M707" s="9">
        <v>3.4304815249699801E-6</v>
      </c>
      <c r="N707" s="9">
        <v>3.4586800690499299E-5</v>
      </c>
      <c r="O707" s="2">
        <v>-4.0452777992140101</v>
      </c>
      <c r="P707" t="s">
        <v>2645</v>
      </c>
      <c r="Q707" s="10">
        <f>IF(N707&lt;='[1]statistical criteria'!$B$2,IF(O707&gt;=LOG('[1]statistical criteria'!$B$3,2),1,IF(O707&lt;=-1*LOG('[1]statistical criteria'!$B$3,2),2,"-")),"-")</f>
        <v>2</v>
      </c>
    </row>
    <row r="708" spans="1:21" x14ac:dyDescent="0.35">
      <c r="A708" t="s">
        <v>2647</v>
      </c>
      <c r="B708" t="s">
        <v>2648</v>
      </c>
      <c r="C708">
        <v>2178</v>
      </c>
      <c r="D708" s="5">
        <v>1.1677230000000001</v>
      </c>
      <c r="E708" s="5">
        <v>1.343747</v>
      </c>
      <c r="F708" s="5">
        <v>2.0789840000000002</v>
      </c>
      <c r="G708" s="5">
        <v>1.982664</v>
      </c>
      <c r="H708" s="11">
        <v>0</v>
      </c>
      <c r="I708" s="11">
        <v>0</v>
      </c>
      <c r="J708" s="11">
        <v>0</v>
      </c>
      <c r="K708" s="7">
        <f t="shared" si="22"/>
        <v>1.6432795</v>
      </c>
      <c r="L708" s="8">
        <f t="shared" si="23"/>
        <v>0</v>
      </c>
      <c r="M708" s="9">
        <v>2.0686661785759698E-6</v>
      </c>
      <c r="N708" s="9">
        <v>2.19987244360439E-5</v>
      </c>
      <c r="O708" s="2">
        <v>-4.0465324041919599</v>
      </c>
      <c r="P708" t="s">
        <v>2647</v>
      </c>
      <c r="Q708" s="10">
        <f>IF(N708&lt;='[1]statistical criteria'!$B$2,IF(O708&gt;=LOG('[1]statistical criteria'!$B$3,2),1,IF(O708&lt;=-1*LOG('[1]statistical criteria'!$B$3,2),2,"-")),"-")</f>
        <v>2</v>
      </c>
      <c r="R708" t="s">
        <v>2649</v>
      </c>
      <c r="S708" t="s">
        <v>2650</v>
      </c>
      <c r="T708" s="9">
        <v>3.9999999999999998E-103</v>
      </c>
      <c r="U708" t="s">
        <v>2651</v>
      </c>
    </row>
    <row r="709" spans="1:21" x14ac:dyDescent="0.35">
      <c r="A709" t="s">
        <v>2652</v>
      </c>
      <c r="B709" t="s">
        <v>2653</v>
      </c>
      <c r="C709">
        <v>1803</v>
      </c>
      <c r="D709" s="5">
        <v>8.6870139999999996</v>
      </c>
      <c r="E709" s="5">
        <v>13.394852999999999</v>
      </c>
      <c r="F709" s="4">
        <v>0</v>
      </c>
      <c r="G709" s="5">
        <v>7.0327919999999997</v>
      </c>
      <c r="H709" s="11">
        <v>0</v>
      </c>
      <c r="I709" s="11">
        <v>0</v>
      </c>
      <c r="J709" s="11">
        <v>0</v>
      </c>
      <c r="K709" s="7">
        <f t="shared" si="22"/>
        <v>7.2786647499999999</v>
      </c>
      <c r="L709" s="8">
        <f t="shared" si="23"/>
        <v>0</v>
      </c>
      <c r="M709" s="9">
        <v>3.5317536317550599E-5</v>
      </c>
      <c r="N709">
        <v>2.76297108375329E-4</v>
      </c>
      <c r="O709" s="2">
        <v>-4.0487064800628803</v>
      </c>
      <c r="P709" t="s">
        <v>2652</v>
      </c>
      <c r="Q709" s="10">
        <f>IF(N709&lt;='[1]statistical criteria'!$B$2,IF(O709&gt;=LOG('[1]statistical criteria'!$B$3,2),1,IF(O709&lt;=-1*LOG('[1]statistical criteria'!$B$3,2),2,"-")),"-")</f>
        <v>2</v>
      </c>
      <c r="S709" t="s">
        <v>2654</v>
      </c>
      <c r="T709">
        <v>0.75</v>
      </c>
      <c r="U709" t="s">
        <v>2655</v>
      </c>
    </row>
    <row r="710" spans="1:21" x14ac:dyDescent="0.35">
      <c r="A710" t="s">
        <v>2656</v>
      </c>
      <c r="B710" t="s">
        <v>2657</v>
      </c>
      <c r="C710">
        <v>1397</v>
      </c>
      <c r="D710" s="5">
        <v>1.1631560000000001</v>
      </c>
      <c r="E710" s="5">
        <v>1.6959949999999999</v>
      </c>
      <c r="F710" s="5">
        <v>1.597685</v>
      </c>
      <c r="G710" s="5">
        <v>1.684979</v>
      </c>
      <c r="H710" s="11">
        <v>0</v>
      </c>
      <c r="I710" s="11">
        <v>0</v>
      </c>
      <c r="J710" s="11">
        <v>0</v>
      </c>
      <c r="K710" s="7">
        <f t="shared" si="22"/>
        <v>1.5354537500000001</v>
      </c>
      <c r="L710" s="8">
        <f t="shared" si="23"/>
        <v>0</v>
      </c>
      <c r="M710" s="9">
        <v>8.6168916809151504E-6</v>
      </c>
      <c r="N710" s="9">
        <v>7.9389711298869599E-5</v>
      </c>
      <c r="O710" s="2">
        <v>-4.0499793251980902</v>
      </c>
      <c r="P710" t="s">
        <v>2656</v>
      </c>
      <c r="Q710" s="10">
        <f>IF(N710&lt;='[1]statistical criteria'!$B$2,IF(O710&gt;=LOG('[1]statistical criteria'!$B$3,2),1,IF(O710&lt;=-1*LOG('[1]statistical criteria'!$B$3,2),2,"-")),"-")</f>
        <v>2</v>
      </c>
      <c r="S710" t="s">
        <v>2658</v>
      </c>
      <c r="T710" s="9">
        <v>2.0000000000000001E-138</v>
      </c>
      <c r="U710" t="s">
        <v>2659</v>
      </c>
    </row>
    <row r="711" spans="1:21" x14ac:dyDescent="0.35">
      <c r="A711" t="s">
        <v>2660</v>
      </c>
      <c r="B711" t="s">
        <v>2661</v>
      </c>
      <c r="C711">
        <v>960</v>
      </c>
      <c r="D711" s="5">
        <v>2.6231450000000001</v>
      </c>
      <c r="E711" s="5">
        <v>9.6609130000000007</v>
      </c>
      <c r="F711" s="5">
        <v>4.0260170000000004</v>
      </c>
      <c r="G711" s="5">
        <v>3.928607</v>
      </c>
      <c r="H711" s="6">
        <v>0.602491</v>
      </c>
      <c r="I711" s="11">
        <v>0</v>
      </c>
      <c r="J711" s="11">
        <v>0</v>
      </c>
      <c r="K711" s="7">
        <f t="shared" si="22"/>
        <v>5.0596705000000002</v>
      </c>
      <c r="L711" s="8">
        <f t="shared" si="23"/>
        <v>0.20083033333333333</v>
      </c>
      <c r="M711" s="9">
        <v>1.71177339638435E-7</v>
      </c>
      <c r="N711" s="9">
        <v>2.3334561413462902E-6</v>
      </c>
      <c r="O711" s="2">
        <v>-4.0510328934267701</v>
      </c>
      <c r="P711" t="s">
        <v>2660</v>
      </c>
      <c r="Q711" s="10">
        <f>IF(N711&lt;='[1]statistical criteria'!$B$2,IF(O711&gt;=LOG('[1]statistical criteria'!$B$3,2),1,IF(O711&lt;=-1*LOG('[1]statistical criteria'!$B$3,2),2,"-")),"-")</f>
        <v>2</v>
      </c>
      <c r="R711" t="s">
        <v>2662</v>
      </c>
    </row>
    <row r="712" spans="1:21" x14ac:dyDescent="0.35">
      <c r="A712" t="s">
        <v>2663</v>
      </c>
      <c r="B712" t="s">
        <v>2664</v>
      </c>
      <c r="C712">
        <v>4275</v>
      </c>
      <c r="D712" s="5">
        <v>0.43868299999999999</v>
      </c>
      <c r="E712" s="5">
        <v>0.56392900000000001</v>
      </c>
      <c r="F712" s="5">
        <v>0.83328800000000003</v>
      </c>
      <c r="G712" s="5">
        <v>0.74920799999999999</v>
      </c>
      <c r="H712" s="11">
        <v>0</v>
      </c>
      <c r="I712" s="11">
        <v>0</v>
      </c>
      <c r="J712" s="11">
        <v>0</v>
      </c>
      <c r="K712" s="7">
        <f t="shared" si="22"/>
        <v>0.64627699999999999</v>
      </c>
      <c r="L712" s="8">
        <f t="shared" si="23"/>
        <v>0</v>
      </c>
      <c r="M712" s="9">
        <v>1.6402268075918299E-5</v>
      </c>
      <c r="N712">
        <v>1.3981418207602501E-4</v>
      </c>
      <c r="O712" s="2">
        <v>-4.0525294225886999</v>
      </c>
      <c r="P712" t="s">
        <v>2663</v>
      </c>
      <c r="Q712" s="10">
        <f>IF(N712&lt;='[1]statistical criteria'!$B$2,IF(O712&gt;=LOG('[1]statistical criteria'!$B$3,2),1,IF(O712&lt;=-1*LOG('[1]statistical criteria'!$B$3,2),2,"-")),"-")</f>
        <v>2</v>
      </c>
      <c r="S712" t="s">
        <v>2665</v>
      </c>
      <c r="T712" s="9">
        <v>1.9999999999999999E-64</v>
      </c>
      <c r="U712" t="s">
        <v>2666</v>
      </c>
    </row>
    <row r="713" spans="1:21" x14ac:dyDescent="0.35">
      <c r="A713" t="s">
        <v>2667</v>
      </c>
      <c r="B713" t="s">
        <v>2668</v>
      </c>
      <c r="C713">
        <v>2076</v>
      </c>
      <c r="D713" s="5">
        <v>4.652158</v>
      </c>
      <c r="E713" s="5">
        <v>3.440185</v>
      </c>
      <c r="F713" s="5">
        <v>2.9062899999999998</v>
      </c>
      <c r="G713" s="5">
        <v>4.569483</v>
      </c>
      <c r="H713" s="6">
        <v>0.53704099999999999</v>
      </c>
      <c r="I713" s="11">
        <v>0</v>
      </c>
      <c r="J713" s="11">
        <v>0</v>
      </c>
      <c r="K713" s="7">
        <f t="shared" si="22"/>
        <v>3.892029</v>
      </c>
      <c r="L713" s="8">
        <f t="shared" si="23"/>
        <v>0.17901366666666665</v>
      </c>
      <c r="M713" s="9">
        <v>1.02328835204408E-7</v>
      </c>
      <c r="N713" s="9">
        <v>1.4691193767935799E-6</v>
      </c>
      <c r="O713" s="2">
        <v>-4.0535619124888704</v>
      </c>
      <c r="P713" t="s">
        <v>2667</v>
      </c>
      <c r="Q713" s="10">
        <f>IF(N713&lt;='[1]statistical criteria'!$B$2,IF(O713&gt;=LOG('[1]statistical criteria'!$B$3,2),1,IF(O713&lt;=-1*LOG('[1]statistical criteria'!$B$3,2),2,"-")),"-")</f>
        <v>2</v>
      </c>
      <c r="S713" t="s">
        <v>2669</v>
      </c>
      <c r="T713" s="9">
        <v>9.9999999999999998E-20</v>
      </c>
      <c r="U713" t="s">
        <v>2670</v>
      </c>
    </row>
    <row r="714" spans="1:21" x14ac:dyDescent="0.35">
      <c r="A714" t="s">
        <v>2671</v>
      </c>
      <c r="B714" t="s">
        <v>2672</v>
      </c>
      <c r="C714">
        <v>2016</v>
      </c>
      <c r="D714" s="5">
        <v>1.6967890000000001</v>
      </c>
      <c r="E714" s="5">
        <v>1.574835</v>
      </c>
      <c r="F714" s="5">
        <v>5.2455790000000002</v>
      </c>
      <c r="G714" s="5">
        <v>0.83241200000000004</v>
      </c>
      <c r="H714" s="11">
        <v>0</v>
      </c>
      <c r="I714" s="11">
        <v>0</v>
      </c>
      <c r="J714" s="11">
        <v>0</v>
      </c>
      <c r="K714" s="7">
        <f t="shared" si="22"/>
        <v>2.33740375</v>
      </c>
      <c r="L714" s="8">
        <f t="shared" si="23"/>
        <v>0</v>
      </c>
      <c r="M714" s="9">
        <v>1.1564161345567599E-5</v>
      </c>
      <c r="N714">
        <v>1.0209510109308801E-4</v>
      </c>
      <c r="O714" s="2">
        <v>-4.0544531386911604</v>
      </c>
      <c r="P714" t="s">
        <v>2671</v>
      </c>
      <c r="Q714" s="10">
        <f>IF(N714&lt;='[1]statistical criteria'!$B$2,IF(O714&gt;=LOG('[1]statistical criteria'!$B$3,2),1,IF(O714&lt;=-1*LOG('[1]statistical criteria'!$B$3,2),2,"-")),"-")</f>
        <v>2</v>
      </c>
      <c r="R714" t="s">
        <v>980</v>
      </c>
      <c r="S714" t="s">
        <v>2673</v>
      </c>
      <c r="T714">
        <v>0</v>
      </c>
      <c r="U714" t="s">
        <v>982</v>
      </c>
    </row>
    <row r="715" spans="1:21" x14ac:dyDescent="0.35">
      <c r="A715" t="s">
        <v>2674</v>
      </c>
      <c r="B715" t="s">
        <v>2675</v>
      </c>
      <c r="C715">
        <v>565</v>
      </c>
      <c r="D715" s="5">
        <v>29.460208999999999</v>
      </c>
      <c r="E715" s="5">
        <v>18.396439999999998</v>
      </c>
      <c r="F715" s="5">
        <v>18.936831000000002</v>
      </c>
      <c r="G715" s="5">
        <v>37.738047000000002</v>
      </c>
      <c r="H715" s="6">
        <v>2.2348189999999999</v>
      </c>
      <c r="I715" s="11">
        <v>0</v>
      </c>
      <c r="J715" s="6">
        <v>0.84831100000000004</v>
      </c>
      <c r="K715" s="7">
        <f t="shared" si="22"/>
        <v>26.132881750000003</v>
      </c>
      <c r="L715" s="8">
        <f t="shared" si="23"/>
        <v>1.0277099999999999</v>
      </c>
      <c r="M715" s="9">
        <v>9.0433359670041996E-6</v>
      </c>
      <c r="N715" s="9">
        <v>8.2724523651281695E-5</v>
      </c>
      <c r="O715" s="2">
        <v>-4.0600295290155701</v>
      </c>
      <c r="P715" t="s">
        <v>2674</v>
      </c>
      <c r="Q715" s="10">
        <f>IF(N715&lt;='[1]statistical criteria'!$B$2,IF(O715&gt;=LOG('[1]statistical criteria'!$B$3,2),1,IF(O715&lt;=-1*LOG('[1]statistical criteria'!$B$3,2),2,"-")),"-")</f>
        <v>2</v>
      </c>
      <c r="R715" t="s">
        <v>2676</v>
      </c>
      <c r="S715" t="s">
        <v>5031</v>
      </c>
    </row>
    <row r="716" spans="1:21" x14ac:dyDescent="0.35">
      <c r="A716" t="s">
        <v>2677</v>
      </c>
      <c r="B716" t="s">
        <v>2678</v>
      </c>
      <c r="C716">
        <v>759</v>
      </c>
      <c r="D716" s="5">
        <v>1.4849000000000001</v>
      </c>
      <c r="E716" s="5">
        <v>3.159815</v>
      </c>
      <c r="F716" s="5">
        <v>2.4356870000000002</v>
      </c>
      <c r="G716" s="5">
        <v>2.2300789999999999</v>
      </c>
      <c r="H716" s="11">
        <v>0</v>
      </c>
      <c r="I716" s="11">
        <v>0</v>
      </c>
      <c r="J716" s="11">
        <v>0</v>
      </c>
      <c r="K716" s="7">
        <f t="shared" si="22"/>
        <v>2.3276202499999998</v>
      </c>
      <c r="L716" s="8">
        <f t="shared" si="23"/>
        <v>0</v>
      </c>
      <c r="M716" s="9">
        <v>1.12925801544597E-5</v>
      </c>
      <c r="N716">
        <v>1.0011544390373599E-4</v>
      </c>
      <c r="O716" s="2">
        <v>-4.0623166863112798</v>
      </c>
      <c r="P716" t="s">
        <v>2677</v>
      </c>
      <c r="Q716" s="10">
        <f>IF(N716&lt;='[1]statistical criteria'!$B$2,IF(O716&gt;=LOG('[1]statistical criteria'!$B$3,2),1,IF(O716&lt;=-1*LOG('[1]statistical criteria'!$B$3,2),2,"-")),"-")</f>
        <v>2</v>
      </c>
    </row>
    <row r="717" spans="1:21" x14ac:dyDescent="0.35">
      <c r="A717" t="s">
        <v>2679</v>
      </c>
      <c r="B717" t="s">
        <v>2680</v>
      </c>
      <c r="C717">
        <v>879</v>
      </c>
      <c r="D717" s="5">
        <v>1.881445</v>
      </c>
      <c r="E717" s="5">
        <v>2.463991</v>
      </c>
      <c r="F717" s="5">
        <v>1.8265929999999999</v>
      </c>
      <c r="G717" s="5">
        <v>1.5893079999999999</v>
      </c>
      <c r="H717" s="11">
        <v>0</v>
      </c>
      <c r="I717" s="11">
        <v>0</v>
      </c>
      <c r="J717" s="11">
        <v>0</v>
      </c>
      <c r="K717" s="7">
        <f t="shared" si="22"/>
        <v>1.94033425</v>
      </c>
      <c r="L717" s="8">
        <f t="shared" si="23"/>
        <v>0</v>
      </c>
      <c r="M717" s="9">
        <v>7.5414694636406301E-6</v>
      </c>
      <c r="N717" s="9">
        <v>7.0453688705488998E-5</v>
      </c>
      <c r="O717" s="2">
        <v>-4.0667057512217797</v>
      </c>
      <c r="P717" t="s">
        <v>2679</v>
      </c>
      <c r="Q717" s="10">
        <f>IF(N717&lt;='[1]statistical criteria'!$B$2,IF(O717&gt;=LOG('[1]statistical criteria'!$B$3,2),1,IF(O717&lt;=-1*LOG('[1]statistical criteria'!$B$3,2),2,"-")),"-")</f>
        <v>2</v>
      </c>
      <c r="S717" t="s">
        <v>2681</v>
      </c>
      <c r="T717" s="9">
        <v>1E-52</v>
      </c>
      <c r="U717" t="s">
        <v>61</v>
      </c>
    </row>
    <row r="718" spans="1:21" x14ac:dyDescent="0.35">
      <c r="A718" t="s">
        <v>2682</v>
      </c>
      <c r="B718" t="s">
        <v>2683</v>
      </c>
      <c r="C718">
        <v>1016</v>
      </c>
      <c r="D718" s="5">
        <v>67.091566</v>
      </c>
      <c r="E718" s="5">
        <v>72.640985000000001</v>
      </c>
      <c r="F718" s="5">
        <v>34.882455999999998</v>
      </c>
      <c r="G718" s="5">
        <v>41.917658000000003</v>
      </c>
      <c r="H718" s="6">
        <v>6.1223939999999999</v>
      </c>
      <c r="I718" s="11">
        <v>0</v>
      </c>
      <c r="J718" s="6">
        <v>8.526249</v>
      </c>
      <c r="K718" s="7">
        <f t="shared" si="22"/>
        <v>54.133166250000002</v>
      </c>
      <c r="L718" s="8">
        <f t="shared" si="23"/>
        <v>4.8828810000000002</v>
      </c>
      <c r="M718" s="9">
        <v>1.29423653895769E-6</v>
      </c>
      <c r="N718" s="9">
        <v>1.44920984621153E-5</v>
      </c>
      <c r="O718" s="2">
        <v>-4.0711104818116199</v>
      </c>
      <c r="P718" t="s">
        <v>2682</v>
      </c>
      <c r="Q718" s="10">
        <f>IF(N718&lt;='[1]statistical criteria'!$B$2,IF(O718&gt;=LOG('[1]statistical criteria'!$B$3,2),1,IF(O718&lt;=-1*LOG('[1]statistical criteria'!$B$3,2),2,"-")),"-")</f>
        <v>2</v>
      </c>
      <c r="R718" t="s">
        <v>2684</v>
      </c>
      <c r="S718" t="s">
        <v>2685</v>
      </c>
      <c r="T718" s="9">
        <v>4.0000000000000001E-10</v>
      </c>
      <c r="U718" t="s">
        <v>2686</v>
      </c>
    </row>
    <row r="719" spans="1:21" x14ac:dyDescent="0.35">
      <c r="A719" t="s">
        <v>2687</v>
      </c>
      <c r="B719" t="s">
        <v>2688</v>
      </c>
      <c r="C719">
        <v>492</v>
      </c>
      <c r="D719" s="5">
        <v>19.445357999999999</v>
      </c>
      <c r="E719" s="5">
        <v>15.401284</v>
      </c>
      <c r="F719" s="5">
        <v>14.85736</v>
      </c>
      <c r="G719" s="5">
        <v>23.576042000000001</v>
      </c>
      <c r="H719" s="6">
        <v>4.8732660000000001</v>
      </c>
      <c r="I719" s="11">
        <v>0</v>
      </c>
      <c r="J719" s="11">
        <v>0</v>
      </c>
      <c r="K719" s="7">
        <f t="shared" si="22"/>
        <v>18.320011000000001</v>
      </c>
      <c r="L719" s="8">
        <f t="shared" si="23"/>
        <v>1.624422</v>
      </c>
      <c r="M719" s="9">
        <v>2.6647197299704702E-6</v>
      </c>
      <c r="N719" s="9">
        <v>2.7597070183041101E-5</v>
      </c>
      <c r="O719" s="2">
        <v>-4.0746500364014304</v>
      </c>
      <c r="P719" t="s">
        <v>2687</v>
      </c>
      <c r="Q719" s="10">
        <f>IF(N719&lt;='[1]statistical criteria'!$B$2,IF(O719&gt;=LOG('[1]statistical criteria'!$B$3,2),1,IF(O719&lt;=-1*LOG('[1]statistical criteria'!$B$3,2),2,"-")),"-")</f>
        <v>2</v>
      </c>
      <c r="R719" t="s">
        <v>2689</v>
      </c>
      <c r="S719" t="s">
        <v>2690</v>
      </c>
      <c r="T719" s="9">
        <v>5.9999999999999998E-50</v>
      </c>
      <c r="U719" t="s">
        <v>61</v>
      </c>
    </row>
    <row r="720" spans="1:21" x14ac:dyDescent="0.35">
      <c r="A720" t="s">
        <v>2691</v>
      </c>
      <c r="B720" t="s">
        <v>2692</v>
      </c>
      <c r="C720">
        <v>556</v>
      </c>
      <c r="D720" s="5">
        <v>7.1113850000000003</v>
      </c>
      <c r="E720" s="5">
        <v>11.442745</v>
      </c>
      <c r="F720" s="5">
        <v>14.12947</v>
      </c>
      <c r="G720" s="5">
        <v>8.8252220000000001</v>
      </c>
      <c r="H720" s="11">
        <v>0</v>
      </c>
      <c r="I720" s="6">
        <v>0.87808900000000001</v>
      </c>
      <c r="J720" s="11">
        <v>0</v>
      </c>
      <c r="K720" s="7">
        <f t="shared" si="22"/>
        <v>10.377205499999999</v>
      </c>
      <c r="L720" s="8">
        <f t="shared" si="23"/>
        <v>0.29269633333333334</v>
      </c>
      <c r="M720" s="9">
        <v>1.2524557281886499E-5</v>
      </c>
      <c r="N720">
        <v>1.09495981576352E-4</v>
      </c>
      <c r="O720" s="2">
        <v>-4.07666450646221</v>
      </c>
      <c r="P720" t="s">
        <v>2691</v>
      </c>
      <c r="Q720" s="10">
        <f>IF(N720&lt;='[1]statistical criteria'!$B$2,IF(O720&gt;=LOG('[1]statistical criteria'!$B$3,2),1,IF(O720&lt;=-1*LOG('[1]statistical criteria'!$B$3,2),2,"-")),"-")</f>
        <v>2</v>
      </c>
    </row>
    <row r="721" spans="1:21" x14ac:dyDescent="0.35">
      <c r="A721" t="s">
        <v>2693</v>
      </c>
      <c r="B721" t="s">
        <v>2694</v>
      </c>
      <c r="C721">
        <v>246</v>
      </c>
      <c r="D721" s="5">
        <v>40.815029000000003</v>
      </c>
      <c r="E721" s="5">
        <v>45.811599999999999</v>
      </c>
      <c r="F721" s="5">
        <v>48.327072999999999</v>
      </c>
      <c r="G721" s="5">
        <v>46.902512000000002</v>
      </c>
      <c r="H721" s="11">
        <v>0</v>
      </c>
      <c r="I721" s="11">
        <v>0</v>
      </c>
      <c r="J721" s="6">
        <v>1.81518</v>
      </c>
      <c r="K721" s="7">
        <f t="shared" si="22"/>
        <v>45.464053500000006</v>
      </c>
      <c r="L721" s="8">
        <f t="shared" si="23"/>
        <v>0.60506000000000004</v>
      </c>
      <c r="M721" s="9">
        <v>9.4392655544904395E-6</v>
      </c>
      <c r="N721" s="9">
        <v>8.5803307142084096E-5</v>
      </c>
      <c r="O721" s="2">
        <v>-4.0794977201364002</v>
      </c>
      <c r="P721" t="s">
        <v>2693</v>
      </c>
      <c r="Q721" s="10">
        <f>IF(N721&lt;='[1]statistical criteria'!$B$2,IF(O721&gt;=LOG('[1]statistical criteria'!$B$3,2),1,IF(O721&lt;=-1*LOG('[1]statistical criteria'!$B$3,2),2,"-")),"-")</f>
        <v>2</v>
      </c>
    </row>
    <row r="722" spans="1:21" x14ac:dyDescent="0.35">
      <c r="A722" t="s">
        <v>2695</v>
      </c>
      <c r="B722" t="s">
        <v>2696</v>
      </c>
      <c r="C722">
        <v>4074</v>
      </c>
      <c r="D722" s="5">
        <v>0.86111599999999999</v>
      </c>
      <c r="E722" s="5">
        <v>3.0686450000000001</v>
      </c>
      <c r="F722" s="5">
        <v>4.8505209999999996</v>
      </c>
      <c r="G722" s="5">
        <v>1.429656</v>
      </c>
      <c r="H722" s="6">
        <v>0.26864100000000002</v>
      </c>
      <c r="I722" s="11">
        <v>0</v>
      </c>
      <c r="J722" s="11">
        <v>0</v>
      </c>
      <c r="K722" s="7">
        <f t="shared" si="22"/>
        <v>2.5524844999999998</v>
      </c>
      <c r="L722" s="8">
        <f t="shared" si="23"/>
        <v>8.9547000000000002E-2</v>
      </c>
      <c r="M722" s="9">
        <v>1.7171999172579199E-6</v>
      </c>
      <c r="N722" s="9">
        <v>1.86409458647892E-5</v>
      </c>
      <c r="O722" s="2">
        <v>-4.0798548028847597</v>
      </c>
      <c r="P722" t="s">
        <v>2695</v>
      </c>
      <c r="Q722" s="10">
        <f>IF(N722&lt;='[1]statistical criteria'!$B$2,IF(O722&gt;=LOG('[1]statistical criteria'!$B$3,2),1,IF(O722&lt;=-1*LOG('[1]statistical criteria'!$B$3,2),2,"-")),"-")</f>
        <v>2</v>
      </c>
      <c r="R722" t="s">
        <v>2697</v>
      </c>
      <c r="S722" t="s">
        <v>2698</v>
      </c>
      <c r="T722">
        <v>0</v>
      </c>
      <c r="U722" t="s">
        <v>2699</v>
      </c>
    </row>
    <row r="723" spans="1:21" x14ac:dyDescent="0.35">
      <c r="A723" t="s">
        <v>2700</v>
      </c>
      <c r="B723" t="s">
        <v>2701</v>
      </c>
      <c r="C723">
        <v>339</v>
      </c>
      <c r="D723" s="5">
        <v>407.25002699999999</v>
      </c>
      <c r="E723" s="5">
        <v>567.70072600000003</v>
      </c>
      <c r="F723" s="5">
        <v>494.65794</v>
      </c>
      <c r="G723" s="5">
        <v>378.96334899999999</v>
      </c>
      <c r="H723" s="6">
        <v>4.3959979999999996</v>
      </c>
      <c r="I723" s="6">
        <v>18.056502999999999</v>
      </c>
      <c r="J723" s="6">
        <v>13.040644</v>
      </c>
      <c r="K723" s="7">
        <f t="shared" si="22"/>
        <v>462.14301050000006</v>
      </c>
      <c r="L723" s="8">
        <f t="shared" si="23"/>
        <v>11.831048333333333</v>
      </c>
      <c r="M723" s="9">
        <v>2.1387810661157302E-34</v>
      </c>
      <c r="N723" s="9">
        <v>6.8405048215432398E-32</v>
      </c>
      <c r="O723" s="2">
        <v>-4.0837814191272699</v>
      </c>
      <c r="P723" t="s">
        <v>2700</v>
      </c>
      <c r="Q723" s="10">
        <f>IF(N723&lt;='[1]statistical criteria'!$B$2,IF(O723&gt;=LOG('[1]statistical criteria'!$B$3,2),1,IF(O723&lt;=-1*LOG('[1]statistical criteria'!$B$3,2),2,"-")),"-")</f>
        <v>2</v>
      </c>
    </row>
    <row r="724" spans="1:21" x14ac:dyDescent="0.35">
      <c r="A724" t="s">
        <v>2702</v>
      </c>
      <c r="B724" t="s">
        <v>2703</v>
      </c>
      <c r="C724">
        <v>2392</v>
      </c>
      <c r="D724" s="5">
        <v>3.6460309999999998</v>
      </c>
      <c r="E724" s="5">
        <v>6.5978339999999998</v>
      </c>
      <c r="F724" s="5">
        <v>7.7804960000000003</v>
      </c>
      <c r="G724" s="5">
        <v>12.993596999999999</v>
      </c>
      <c r="H724" s="11">
        <v>0</v>
      </c>
      <c r="I724" s="11">
        <v>0</v>
      </c>
      <c r="J724" s="6">
        <v>2.1278169999999998</v>
      </c>
      <c r="K724" s="7">
        <f t="shared" si="22"/>
        <v>7.7544895</v>
      </c>
      <c r="L724" s="8">
        <f t="shared" si="23"/>
        <v>0.70927233333333328</v>
      </c>
      <c r="M724">
        <v>2.41497119349638E-4</v>
      </c>
      <c r="N724">
        <v>1.4649952761312101E-3</v>
      </c>
      <c r="O724" s="2">
        <v>-4.0876675515621601</v>
      </c>
      <c r="P724" t="s">
        <v>2702</v>
      </c>
      <c r="Q724" s="10">
        <f>IF(N724&lt;='[1]statistical criteria'!$B$2,IF(O724&gt;=LOG('[1]statistical criteria'!$B$3,2),1,IF(O724&lt;=-1*LOG('[1]statistical criteria'!$B$3,2),2,"-")),"-")</f>
        <v>2</v>
      </c>
      <c r="S724" t="s">
        <v>2704</v>
      </c>
      <c r="T724" s="9">
        <v>6.0000000000000003E-94</v>
      </c>
      <c r="U724" t="s">
        <v>311</v>
      </c>
    </row>
    <row r="725" spans="1:21" x14ac:dyDescent="0.35">
      <c r="A725" t="s">
        <v>2705</v>
      </c>
      <c r="B725" t="s">
        <v>2706</v>
      </c>
      <c r="C725">
        <v>659</v>
      </c>
      <c r="D725" s="5">
        <v>11.128935</v>
      </c>
      <c r="E725" s="5">
        <v>24.892766000000002</v>
      </c>
      <c r="F725" s="5">
        <v>0.41931800000000002</v>
      </c>
      <c r="G725" s="5">
        <v>3.6532819999999999</v>
      </c>
      <c r="H725" s="11">
        <v>0</v>
      </c>
      <c r="I725" s="11">
        <v>0</v>
      </c>
      <c r="J725" s="11">
        <v>0</v>
      </c>
      <c r="K725" s="7">
        <f t="shared" si="22"/>
        <v>10.023575249999999</v>
      </c>
      <c r="L725" s="8">
        <f t="shared" si="23"/>
        <v>0</v>
      </c>
      <c r="M725" s="9">
        <v>1.4212647581309E-5</v>
      </c>
      <c r="N725">
        <v>1.2277198523482E-4</v>
      </c>
      <c r="O725" s="2">
        <v>-4.0899324909895904</v>
      </c>
      <c r="P725" t="s">
        <v>2705</v>
      </c>
      <c r="Q725" s="10">
        <f>IF(N725&lt;='[1]statistical criteria'!$B$2,IF(O725&gt;=LOG('[1]statistical criteria'!$B$3,2),1,IF(O725&lt;=-1*LOG('[1]statistical criteria'!$B$3,2),2,"-")),"-")</f>
        <v>2</v>
      </c>
      <c r="R725" t="s">
        <v>2707</v>
      </c>
      <c r="S725" t="s">
        <v>2708</v>
      </c>
      <c r="T725" s="9">
        <v>1E-46</v>
      </c>
      <c r="U725" t="s">
        <v>2709</v>
      </c>
    </row>
    <row r="726" spans="1:21" x14ac:dyDescent="0.35">
      <c r="A726" t="s">
        <v>2710</v>
      </c>
      <c r="B726" t="s">
        <v>2711</v>
      </c>
      <c r="C726">
        <v>1104</v>
      </c>
      <c r="D726" s="5">
        <v>1.1597649999999999</v>
      </c>
      <c r="E726" s="5">
        <v>2.7130740000000002</v>
      </c>
      <c r="F726" s="5">
        <v>4.2311699999999997</v>
      </c>
      <c r="G726" s="5">
        <v>1.615443</v>
      </c>
      <c r="H726" s="11">
        <v>0</v>
      </c>
      <c r="I726" s="11">
        <v>0</v>
      </c>
      <c r="J726" s="11">
        <v>0</v>
      </c>
      <c r="K726" s="7">
        <f t="shared" si="22"/>
        <v>2.4298630000000001</v>
      </c>
      <c r="L726" s="8">
        <f t="shared" si="23"/>
        <v>0</v>
      </c>
      <c r="M726" s="9">
        <v>3.7231153342119102E-6</v>
      </c>
      <c r="N726" s="9">
        <v>3.7280128813497902E-5</v>
      </c>
      <c r="O726" s="2">
        <v>-4.0904408861885004</v>
      </c>
      <c r="P726" t="s">
        <v>2710</v>
      </c>
      <c r="Q726" s="10">
        <f>IF(N726&lt;='[1]statistical criteria'!$B$2,IF(O726&gt;=LOG('[1]statistical criteria'!$B$3,2),1,IF(O726&lt;=-1*LOG('[1]statistical criteria'!$B$3,2),2,"-")),"-")</f>
        <v>2</v>
      </c>
    </row>
    <row r="727" spans="1:21" x14ac:dyDescent="0.35">
      <c r="A727" t="s">
        <v>2712</v>
      </c>
      <c r="B727" t="s">
        <v>2713</v>
      </c>
      <c r="C727">
        <v>1515</v>
      </c>
      <c r="D727" s="5">
        <v>2.8362829999999999</v>
      </c>
      <c r="E727" s="5">
        <v>2.3948429999999998</v>
      </c>
      <c r="F727" s="5">
        <v>0.68981899999999996</v>
      </c>
      <c r="G727" s="5">
        <v>2.9793440000000002</v>
      </c>
      <c r="H727" s="11">
        <v>0</v>
      </c>
      <c r="I727" s="11">
        <v>0</v>
      </c>
      <c r="J727" s="11">
        <v>0</v>
      </c>
      <c r="K727" s="7">
        <f t="shared" si="22"/>
        <v>2.2250722500000002</v>
      </c>
      <c r="L727" s="8">
        <f t="shared" si="23"/>
        <v>0</v>
      </c>
      <c r="M727" s="9">
        <v>1.0752992504821399E-5</v>
      </c>
      <c r="N727" s="9">
        <v>9.5890087800726994E-5</v>
      </c>
      <c r="O727" s="2">
        <v>-4.0905523469698597</v>
      </c>
      <c r="P727" t="s">
        <v>2712</v>
      </c>
      <c r="Q727" s="10">
        <f>IF(N727&lt;='[1]statistical criteria'!$B$2,IF(O727&gt;=LOG('[1]statistical criteria'!$B$3,2),1,IF(O727&lt;=-1*LOG('[1]statistical criteria'!$B$3,2),2,"-")),"-")</f>
        <v>2</v>
      </c>
      <c r="S727" t="s">
        <v>2714</v>
      </c>
      <c r="T727" s="9">
        <v>3.9999999999999999E-60</v>
      </c>
      <c r="U727" t="s">
        <v>61</v>
      </c>
    </row>
    <row r="728" spans="1:21" x14ac:dyDescent="0.35">
      <c r="A728" t="s">
        <v>2715</v>
      </c>
      <c r="B728" t="s">
        <v>2716</v>
      </c>
      <c r="C728">
        <v>1462</v>
      </c>
      <c r="D728" s="5">
        <v>6.3194790000000003</v>
      </c>
      <c r="E728" s="5">
        <v>4.5179260000000001</v>
      </c>
      <c r="F728" s="5">
        <v>0.32113900000000001</v>
      </c>
      <c r="G728" s="5">
        <v>2.5953379999999999</v>
      </c>
      <c r="H728" s="11">
        <v>0</v>
      </c>
      <c r="I728" s="11">
        <v>0</v>
      </c>
      <c r="J728" s="11">
        <v>0</v>
      </c>
      <c r="K728" s="7">
        <f t="shared" si="22"/>
        <v>3.4384705000000002</v>
      </c>
      <c r="L728" s="8">
        <f t="shared" si="23"/>
        <v>0</v>
      </c>
      <c r="M728" s="9">
        <v>1.26078028790434E-5</v>
      </c>
      <c r="N728">
        <v>1.10184380614556E-4</v>
      </c>
      <c r="O728" s="2">
        <v>-4.0907651154811502</v>
      </c>
      <c r="P728" t="s">
        <v>2715</v>
      </c>
      <c r="Q728" s="10">
        <f>IF(N728&lt;='[1]statistical criteria'!$B$2,IF(O728&gt;=LOG('[1]statistical criteria'!$B$3,2),1,IF(O728&lt;=-1*LOG('[1]statistical criteria'!$B$3,2),2,"-")),"-")</f>
        <v>2</v>
      </c>
      <c r="R728" t="s">
        <v>2717</v>
      </c>
      <c r="S728" t="s">
        <v>2718</v>
      </c>
      <c r="T728">
        <v>0</v>
      </c>
      <c r="U728" t="s">
        <v>2719</v>
      </c>
    </row>
    <row r="729" spans="1:21" x14ac:dyDescent="0.35">
      <c r="A729" t="s">
        <v>2720</v>
      </c>
      <c r="B729" t="s">
        <v>2721</v>
      </c>
      <c r="C729">
        <v>651</v>
      </c>
      <c r="D729" s="5">
        <v>0.87029999999999996</v>
      </c>
      <c r="E729" s="5">
        <v>18.768160000000002</v>
      </c>
      <c r="F729" s="5">
        <v>2.1033080000000002</v>
      </c>
      <c r="G729" s="5">
        <v>4.3764560000000001</v>
      </c>
      <c r="H729" s="11">
        <v>0</v>
      </c>
      <c r="I729" s="11">
        <v>0</v>
      </c>
      <c r="J729" s="11">
        <v>0</v>
      </c>
      <c r="K729" s="7">
        <f t="shared" si="22"/>
        <v>6.5295560000000004</v>
      </c>
      <c r="L729" s="8">
        <f t="shared" si="23"/>
        <v>0</v>
      </c>
      <c r="M729" s="9">
        <v>1.2629768996670201E-5</v>
      </c>
      <c r="N729">
        <v>1.10325684648443E-4</v>
      </c>
      <c r="O729" s="2">
        <v>-4.0916579118617404</v>
      </c>
      <c r="P729" t="s">
        <v>2720</v>
      </c>
      <c r="Q729" s="10">
        <f>IF(N729&lt;='[1]statistical criteria'!$B$2,IF(O729&gt;=LOG('[1]statistical criteria'!$B$3,2),1,IF(O729&lt;=-1*LOG('[1]statistical criteria'!$B$3,2),2,"-")),"-")</f>
        <v>2</v>
      </c>
      <c r="R729" t="s">
        <v>2722</v>
      </c>
      <c r="S729" t="s">
        <v>2723</v>
      </c>
      <c r="T729" s="9">
        <v>3.0000000000000001E-84</v>
      </c>
      <c r="U729" t="s">
        <v>2724</v>
      </c>
    </row>
    <row r="730" spans="1:21" x14ac:dyDescent="0.35">
      <c r="A730" t="s">
        <v>2725</v>
      </c>
      <c r="B730" t="s">
        <v>2726</v>
      </c>
      <c r="C730">
        <v>294</v>
      </c>
      <c r="D730" s="5">
        <v>15.868886</v>
      </c>
      <c r="E730" s="5">
        <v>27.062778000000002</v>
      </c>
      <c r="F730" s="5">
        <v>51.081007</v>
      </c>
      <c r="G730" s="5">
        <v>38.876412999999999</v>
      </c>
      <c r="H730" s="11">
        <v>0</v>
      </c>
      <c r="I730" s="6">
        <v>1.6109610000000001</v>
      </c>
      <c r="J730" s="11">
        <v>0</v>
      </c>
      <c r="K730" s="7">
        <f t="shared" si="22"/>
        <v>33.222270999999999</v>
      </c>
      <c r="L730" s="8">
        <f t="shared" si="23"/>
        <v>0.53698699999999999</v>
      </c>
      <c r="M730" s="9">
        <v>1.6266579999142101E-5</v>
      </c>
      <c r="N730">
        <v>1.38875288193662E-4</v>
      </c>
      <c r="O730" s="2">
        <v>-4.0919829307570303</v>
      </c>
      <c r="P730" t="s">
        <v>2725</v>
      </c>
      <c r="Q730" s="10">
        <f>IF(N730&lt;='[1]statistical criteria'!$B$2,IF(O730&gt;=LOG('[1]statistical criteria'!$B$3,2),1,IF(O730&lt;=-1*LOG('[1]statistical criteria'!$B$3,2),2,"-")),"-")</f>
        <v>2</v>
      </c>
    </row>
    <row r="731" spans="1:21" x14ac:dyDescent="0.35">
      <c r="A731" t="s">
        <v>2727</v>
      </c>
      <c r="B731" t="s">
        <v>2728</v>
      </c>
      <c r="C731">
        <v>973</v>
      </c>
      <c r="D731" s="5">
        <v>64.086406999999994</v>
      </c>
      <c r="E731" s="5">
        <v>84.796293000000006</v>
      </c>
      <c r="F731" s="5">
        <v>80.051179000000005</v>
      </c>
      <c r="G731" s="5">
        <v>53.152406999999997</v>
      </c>
      <c r="H731" s="6">
        <v>7.9348879999999999</v>
      </c>
      <c r="I731" s="11">
        <v>0</v>
      </c>
      <c r="J731" s="6">
        <v>6.5642630000000004</v>
      </c>
      <c r="K731" s="7">
        <f t="shared" si="22"/>
        <v>70.521571499999993</v>
      </c>
      <c r="L731" s="8">
        <f t="shared" si="23"/>
        <v>4.8330503333333334</v>
      </c>
      <c r="M731" s="9">
        <v>1.53925011843104E-6</v>
      </c>
      <c r="N731" s="9">
        <v>1.6887823438306601E-5</v>
      </c>
      <c r="O731" s="2">
        <v>-4.0939760361654196</v>
      </c>
      <c r="P731" t="s">
        <v>2727</v>
      </c>
      <c r="Q731" s="10">
        <f>IF(N731&lt;='[1]statistical criteria'!$B$2,IF(O731&gt;=LOG('[1]statistical criteria'!$B$3,2),1,IF(O731&lt;=-1*LOG('[1]statistical criteria'!$B$3,2),2,"-")),"-")</f>
        <v>2</v>
      </c>
      <c r="R731" t="s">
        <v>2729</v>
      </c>
      <c r="S731" t="s">
        <v>2730</v>
      </c>
      <c r="T731">
        <v>0</v>
      </c>
      <c r="U731" t="s">
        <v>2731</v>
      </c>
    </row>
    <row r="732" spans="1:21" x14ac:dyDescent="0.35">
      <c r="A732" t="s">
        <v>2732</v>
      </c>
      <c r="B732" t="s">
        <v>2733</v>
      </c>
      <c r="C732">
        <v>1793</v>
      </c>
      <c r="D732" s="5">
        <v>0.64891600000000005</v>
      </c>
      <c r="E732" s="5">
        <v>1.824471</v>
      </c>
      <c r="F732" s="5">
        <v>4.6986610000000004</v>
      </c>
      <c r="G732" s="5">
        <v>4.3540299999999998</v>
      </c>
      <c r="H732" s="11">
        <v>0</v>
      </c>
      <c r="I732" s="11">
        <v>0</v>
      </c>
      <c r="J732" s="11">
        <v>0</v>
      </c>
      <c r="K732" s="7">
        <f t="shared" si="22"/>
        <v>2.8815195</v>
      </c>
      <c r="L732" s="8">
        <f t="shared" si="23"/>
        <v>0</v>
      </c>
      <c r="M732" s="9">
        <v>1.31862502406463E-5</v>
      </c>
      <c r="N732">
        <v>1.14686628007084E-4</v>
      </c>
      <c r="O732" s="2">
        <v>-4.0959129576498698</v>
      </c>
      <c r="P732" t="s">
        <v>2732</v>
      </c>
      <c r="Q732" s="10">
        <f>IF(N732&lt;='[1]statistical criteria'!$B$2,IF(O732&gt;=LOG('[1]statistical criteria'!$B$3,2),1,IF(O732&lt;=-1*LOG('[1]statistical criteria'!$B$3,2),2,"-")),"-")</f>
        <v>2</v>
      </c>
      <c r="R732" t="s">
        <v>2734</v>
      </c>
      <c r="S732" t="s">
        <v>2735</v>
      </c>
      <c r="T732">
        <v>0</v>
      </c>
      <c r="U732" t="s">
        <v>2736</v>
      </c>
    </row>
    <row r="733" spans="1:21" x14ac:dyDescent="0.35">
      <c r="A733" t="s">
        <v>2737</v>
      </c>
      <c r="B733" t="s">
        <v>2738</v>
      </c>
      <c r="C733">
        <v>1404</v>
      </c>
      <c r="D733" s="5">
        <v>4.280532</v>
      </c>
      <c r="E733" s="5">
        <v>2.9168699999999999</v>
      </c>
      <c r="F733" s="5">
        <v>7.736688</v>
      </c>
      <c r="G733" s="5">
        <v>7.02501</v>
      </c>
      <c r="H733" s="6">
        <v>0.46832200000000002</v>
      </c>
      <c r="I733" s="11">
        <v>0</v>
      </c>
      <c r="J733" s="11">
        <v>0</v>
      </c>
      <c r="K733" s="7">
        <f t="shared" si="22"/>
        <v>5.4897749999999998</v>
      </c>
      <c r="L733" s="8">
        <f t="shared" si="23"/>
        <v>0.15610733333333335</v>
      </c>
      <c r="M733" s="9">
        <v>1.5458367401537599E-9</v>
      </c>
      <c r="N733" s="9">
        <v>3.2255781979304799E-8</v>
      </c>
      <c r="O733" s="2">
        <v>-4.0981620891981096</v>
      </c>
      <c r="P733" t="s">
        <v>2737</v>
      </c>
      <c r="Q733" s="10">
        <f>IF(N733&lt;='[1]statistical criteria'!$B$2,IF(O733&gt;=LOG('[1]statistical criteria'!$B$3,2),1,IF(O733&lt;=-1*LOG('[1]statistical criteria'!$B$3,2),2,"-")),"-")</f>
        <v>2</v>
      </c>
      <c r="S733" t="s">
        <v>2739</v>
      </c>
      <c r="T733" s="9">
        <v>9.0000000000000006E-5</v>
      </c>
      <c r="U733" t="s">
        <v>2699</v>
      </c>
    </row>
    <row r="734" spans="1:21" x14ac:dyDescent="0.35">
      <c r="A734" t="s">
        <v>2740</v>
      </c>
      <c r="B734" t="s">
        <v>2741</v>
      </c>
      <c r="C734">
        <v>565</v>
      </c>
      <c r="D734" s="5">
        <v>22.09695</v>
      </c>
      <c r="E734" s="5">
        <v>32.292547999999996</v>
      </c>
      <c r="F734" s="5">
        <v>45.937140999999997</v>
      </c>
      <c r="G734" s="5">
        <v>30.334637000000001</v>
      </c>
      <c r="H734" s="11">
        <v>0</v>
      </c>
      <c r="I734" s="11">
        <v>0</v>
      </c>
      <c r="J734" s="6">
        <v>20.226519</v>
      </c>
      <c r="K734" s="7">
        <f t="shared" si="22"/>
        <v>32.665318999999997</v>
      </c>
      <c r="L734" s="8">
        <f t="shared" si="23"/>
        <v>6.7421730000000002</v>
      </c>
      <c r="M734" s="9">
        <v>2.19517052849672E-6</v>
      </c>
      <c r="N734" s="9">
        <v>2.32271866318002E-5</v>
      </c>
      <c r="O734" s="2">
        <v>-4.0988531861648401</v>
      </c>
      <c r="P734" t="s">
        <v>2740</v>
      </c>
      <c r="Q734" s="10">
        <f>IF(N734&lt;='[1]statistical criteria'!$B$2,IF(O734&gt;=LOG('[1]statistical criteria'!$B$3,2),1,IF(O734&lt;=-1*LOG('[1]statistical criteria'!$B$3,2),2,"-")),"-")</f>
        <v>2</v>
      </c>
      <c r="R734" t="s">
        <v>2742</v>
      </c>
      <c r="S734" t="s">
        <v>2743</v>
      </c>
      <c r="T734" s="9">
        <v>5E-51</v>
      </c>
      <c r="U734" t="s">
        <v>2744</v>
      </c>
    </row>
    <row r="735" spans="1:21" x14ac:dyDescent="0.35">
      <c r="A735" t="s">
        <v>2745</v>
      </c>
      <c r="B735" t="s">
        <v>2746</v>
      </c>
      <c r="C735">
        <v>1047</v>
      </c>
      <c r="D735" s="5">
        <v>6.0125840000000004</v>
      </c>
      <c r="E735" s="5">
        <v>19.110973000000001</v>
      </c>
      <c r="F735" s="5">
        <v>8.7406039999999994</v>
      </c>
      <c r="G735" s="5">
        <v>8.4400870000000001</v>
      </c>
      <c r="H735" s="6">
        <v>3.956137</v>
      </c>
      <c r="I735" s="11">
        <v>0</v>
      </c>
      <c r="J735" s="11">
        <v>0</v>
      </c>
      <c r="K735" s="7">
        <f t="shared" si="22"/>
        <v>10.576062</v>
      </c>
      <c r="L735" s="8">
        <f t="shared" si="23"/>
        <v>1.3187123333333333</v>
      </c>
      <c r="M735" s="9">
        <v>8.8919790831673802E-8</v>
      </c>
      <c r="N735" s="9">
        <v>1.2971587731136499E-6</v>
      </c>
      <c r="O735" s="2">
        <v>-4.0992439098721301</v>
      </c>
      <c r="P735" t="s">
        <v>2745</v>
      </c>
      <c r="Q735" s="10">
        <f>IF(N735&lt;='[1]statistical criteria'!$B$2,IF(O735&gt;=LOG('[1]statistical criteria'!$B$3,2),1,IF(O735&lt;=-1*LOG('[1]statistical criteria'!$B$3,2),2,"-")),"-")</f>
        <v>2</v>
      </c>
      <c r="R735" t="s">
        <v>419</v>
      </c>
      <c r="S735" t="s">
        <v>2747</v>
      </c>
      <c r="T735" s="9">
        <v>2.0000000000000001E-134</v>
      </c>
      <c r="U735" t="s">
        <v>421</v>
      </c>
    </row>
    <row r="736" spans="1:21" x14ac:dyDescent="0.35">
      <c r="A736" t="s">
        <v>2748</v>
      </c>
      <c r="B736" t="s">
        <v>2749</v>
      </c>
      <c r="C736">
        <v>2007</v>
      </c>
      <c r="D736" s="5">
        <v>1.3840140000000001</v>
      </c>
      <c r="E736" s="5">
        <v>1.7696829999999999</v>
      </c>
      <c r="F736" s="5">
        <v>2.4149250000000002</v>
      </c>
      <c r="G736" s="5">
        <v>1.93546</v>
      </c>
      <c r="H736" s="11">
        <v>0</v>
      </c>
      <c r="I736" s="11">
        <v>0</v>
      </c>
      <c r="J736" s="11">
        <v>0</v>
      </c>
      <c r="K736" s="7">
        <f t="shared" si="22"/>
        <v>1.8760205000000001</v>
      </c>
      <c r="L736" s="8">
        <f t="shared" si="23"/>
        <v>0</v>
      </c>
      <c r="M736" s="9">
        <v>9.6414580024357E-6</v>
      </c>
      <c r="N736" s="9">
        <v>8.7494966993968202E-5</v>
      </c>
      <c r="O736" s="2">
        <v>-4.0993927104574803</v>
      </c>
      <c r="P736" t="s">
        <v>2748</v>
      </c>
      <c r="Q736" s="10">
        <f>IF(N736&lt;='[1]statistical criteria'!$B$2,IF(O736&gt;=LOG('[1]statistical criteria'!$B$3,2),1,IF(O736&lt;=-1*LOG('[1]statistical criteria'!$B$3,2),2,"-")),"-")</f>
        <v>2</v>
      </c>
      <c r="S736" t="s">
        <v>2750</v>
      </c>
      <c r="T736" s="9">
        <v>4.0000000000000003E-63</v>
      </c>
      <c r="U736" t="s">
        <v>61</v>
      </c>
    </row>
    <row r="737" spans="1:21" x14ac:dyDescent="0.35">
      <c r="A737" t="s">
        <v>2751</v>
      </c>
      <c r="B737" t="s">
        <v>2752</v>
      </c>
      <c r="C737">
        <v>1374</v>
      </c>
      <c r="D737" s="5">
        <v>1.0676220000000001</v>
      </c>
      <c r="E737" s="5">
        <v>8.9339010000000005</v>
      </c>
      <c r="F737" s="5">
        <v>1.311534</v>
      </c>
      <c r="G737" s="5">
        <v>1.4753890000000001</v>
      </c>
      <c r="H737" s="11">
        <v>0</v>
      </c>
      <c r="I737" s="11">
        <v>0</v>
      </c>
      <c r="J737" s="11">
        <v>0</v>
      </c>
      <c r="K737" s="7">
        <f t="shared" si="22"/>
        <v>3.1971115000000001</v>
      </c>
      <c r="L737" s="8">
        <f t="shared" si="23"/>
        <v>0</v>
      </c>
      <c r="M737" s="9">
        <v>1.16044889978815E-5</v>
      </c>
      <c r="N737">
        <v>1.02403628856798E-4</v>
      </c>
      <c r="O737" s="2">
        <v>-4.0996995796173801</v>
      </c>
      <c r="P737" t="s">
        <v>2751</v>
      </c>
      <c r="Q737" s="10">
        <f>IF(N737&lt;='[1]statistical criteria'!$B$2,IF(O737&gt;=LOG('[1]statistical criteria'!$B$3,2),1,IF(O737&lt;=-1*LOG('[1]statistical criteria'!$B$3,2),2,"-")),"-")</f>
        <v>2</v>
      </c>
      <c r="R737" t="s">
        <v>2753</v>
      </c>
      <c r="S737" t="s">
        <v>2754</v>
      </c>
      <c r="T737" s="9">
        <v>2.9999999999999997E-4</v>
      </c>
      <c r="U737" t="s">
        <v>529</v>
      </c>
    </row>
    <row r="738" spans="1:21" x14ac:dyDescent="0.35">
      <c r="A738" t="s">
        <v>365</v>
      </c>
      <c r="B738" t="s">
        <v>366</v>
      </c>
      <c r="C738">
        <v>1194</v>
      </c>
      <c r="D738" s="4">
        <v>0</v>
      </c>
      <c r="E738" s="5">
        <v>1.72435</v>
      </c>
      <c r="F738" s="5">
        <v>22.861702000000001</v>
      </c>
      <c r="G738" s="5">
        <v>23.583185</v>
      </c>
      <c r="H738" s="11">
        <v>0</v>
      </c>
      <c r="I738" s="11">
        <v>0</v>
      </c>
      <c r="J738" s="11">
        <v>0</v>
      </c>
      <c r="K738" s="7">
        <f t="shared" si="22"/>
        <v>12.042309250000001</v>
      </c>
      <c r="L738" s="8">
        <f t="shared" si="23"/>
        <v>0</v>
      </c>
      <c r="M738">
        <v>1.8508246330891501E-4</v>
      </c>
      <c r="N738">
        <v>1.1689742040387201E-3</v>
      </c>
      <c r="O738" s="2">
        <v>-4.10035805867712</v>
      </c>
      <c r="P738" t="s">
        <v>365</v>
      </c>
      <c r="Q738" s="10">
        <f>IF(N738&lt;='[1]statistical criteria'!$B$2,IF(O738&gt;=LOG('[1]statistical criteria'!$B$3,2),1,IF(O738&lt;=-1*LOG('[1]statistical criteria'!$B$3,2),2,"-")),"-")</f>
        <v>2</v>
      </c>
      <c r="R738" t="s">
        <v>419</v>
      </c>
      <c r="S738" t="s">
        <v>420</v>
      </c>
      <c r="T738" s="9">
        <v>4.0000000000000003E-152</v>
      </c>
      <c r="U738" t="s">
        <v>421</v>
      </c>
    </row>
    <row r="739" spans="1:21" x14ac:dyDescent="0.35">
      <c r="A739" t="s">
        <v>2755</v>
      </c>
      <c r="B739" t="s">
        <v>2756</v>
      </c>
      <c r="C739">
        <v>1767</v>
      </c>
      <c r="D739" s="5">
        <v>8.9670129999999997</v>
      </c>
      <c r="E739" s="5">
        <v>12.942088</v>
      </c>
      <c r="F739" s="5">
        <v>5.3914819999999999</v>
      </c>
      <c r="G739" s="5">
        <v>13.558211</v>
      </c>
      <c r="H739" s="11">
        <v>0</v>
      </c>
      <c r="I739" s="11">
        <v>0</v>
      </c>
      <c r="J739" s="6">
        <v>1.788429</v>
      </c>
      <c r="K739" s="7">
        <f t="shared" si="22"/>
        <v>10.214698500000001</v>
      </c>
      <c r="L739" s="8">
        <f t="shared" si="23"/>
        <v>0.59614299999999998</v>
      </c>
      <c r="M739" s="9">
        <v>3.4464515875075001E-10</v>
      </c>
      <c r="N739" s="9">
        <v>7.9691341081734707E-9</v>
      </c>
      <c r="O739" s="2">
        <v>-4.1015573203059601</v>
      </c>
      <c r="P739" t="s">
        <v>2755</v>
      </c>
      <c r="Q739" s="10">
        <f>IF(N739&lt;='[1]statistical criteria'!$B$2,IF(O739&gt;=LOG('[1]statistical criteria'!$B$3,2),1,IF(O739&lt;=-1*LOG('[1]statistical criteria'!$B$3,2),2,"-")),"-")</f>
        <v>2</v>
      </c>
      <c r="R739" t="s">
        <v>1228</v>
      </c>
      <c r="S739" t="s">
        <v>2757</v>
      </c>
      <c r="T739">
        <v>0</v>
      </c>
      <c r="U739" t="s">
        <v>393</v>
      </c>
    </row>
    <row r="740" spans="1:21" x14ac:dyDescent="0.35">
      <c r="A740" t="s">
        <v>2758</v>
      </c>
      <c r="B740" t="s">
        <v>2759</v>
      </c>
      <c r="C740">
        <v>562</v>
      </c>
      <c r="D740" s="5">
        <v>9.1426719999999992</v>
      </c>
      <c r="E740" s="5">
        <v>0.25429299999999999</v>
      </c>
      <c r="F740" s="5">
        <v>10.5906</v>
      </c>
      <c r="G740" s="5">
        <v>9.7090219999999992</v>
      </c>
      <c r="H740" s="11">
        <v>0</v>
      </c>
      <c r="I740" s="11">
        <v>0</v>
      </c>
      <c r="J740" s="11">
        <v>0</v>
      </c>
      <c r="K740" s="7">
        <f t="shared" si="22"/>
        <v>7.4241467500000002</v>
      </c>
      <c r="L740" s="8">
        <f t="shared" si="23"/>
        <v>0</v>
      </c>
      <c r="M740" s="9">
        <v>1.5067394970963499E-5</v>
      </c>
      <c r="N740">
        <v>1.2962591604766499E-4</v>
      </c>
      <c r="O740" s="2">
        <v>-4.1018089254102801</v>
      </c>
      <c r="P740" t="s">
        <v>2758</v>
      </c>
      <c r="Q740" s="10">
        <f>IF(N740&lt;='[1]statistical criteria'!$B$2,IF(O740&gt;=LOG('[1]statistical criteria'!$B$3,2),1,IF(O740&lt;=-1*LOG('[1]statistical criteria'!$B$3,2),2,"-")),"-")</f>
        <v>2</v>
      </c>
    </row>
    <row r="741" spans="1:21" x14ac:dyDescent="0.35">
      <c r="A741" t="s">
        <v>2760</v>
      </c>
      <c r="B741" t="s">
        <v>2761</v>
      </c>
      <c r="C741">
        <v>321</v>
      </c>
      <c r="D741" s="5">
        <v>79.455487000000005</v>
      </c>
      <c r="E741" s="5">
        <v>34.189777999999997</v>
      </c>
      <c r="F741" s="5">
        <v>56.505499999999998</v>
      </c>
      <c r="G741" s="5">
        <v>47.556755000000003</v>
      </c>
      <c r="H741" s="11">
        <v>0</v>
      </c>
      <c r="I741" s="11">
        <v>0</v>
      </c>
      <c r="J741" s="6">
        <v>13.501336999999999</v>
      </c>
      <c r="K741" s="7">
        <f t="shared" si="22"/>
        <v>54.426879999999997</v>
      </c>
      <c r="L741" s="8">
        <f t="shared" si="23"/>
        <v>4.5004456666666668</v>
      </c>
      <c r="M741" s="9">
        <v>7.0665129020574297E-9</v>
      </c>
      <c r="N741" s="9">
        <v>1.29802838345707E-7</v>
      </c>
      <c r="O741" s="2">
        <v>-4.1018635410342004</v>
      </c>
      <c r="P741" t="s">
        <v>2760</v>
      </c>
      <c r="Q741" s="10">
        <f>IF(N741&lt;='[1]statistical criteria'!$B$2,IF(O741&gt;=LOG('[1]statistical criteria'!$B$3,2),1,IF(O741&lt;=-1*LOG('[1]statistical criteria'!$B$3,2),2,"-")),"-")</f>
        <v>2</v>
      </c>
    </row>
    <row r="742" spans="1:21" x14ac:dyDescent="0.35">
      <c r="A742" t="s">
        <v>2762</v>
      </c>
      <c r="B742" t="s">
        <v>2763</v>
      </c>
      <c r="C742">
        <v>1892</v>
      </c>
      <c r="D742" s="5">
        <v>26.707170000000001</v>
      </c>
      <c r="E742" s="5">
        <v>56.606425000000002</v>
      </c>
      <c r="F742" s="5">
        <v>26.471169</v>
      </c>
      <c r="G742" s="5">
        <v>14.496485</v>
      </c>
      <c r="H742" s="6">
        <v>0.66656700000000002</v>
      </c>
      <c r="I742" s="6">
        <v>1.522845</v>
      </c>
      <c r="J742" s="11">
        <v>0</v>
      </c>
      <c r="K742" s="7">
        <f t="shared" si="22"/>
        <v>31.070312250000001</v>
      </c>
      <c r="L742" s="8">
        <f t="shared" si="23"/>
        <v>0.72980400000000001</v>
      </c>
      <c r="M742" s="9">
        <v>2.7769185989171602E-10</v>
      </c>
      <c r="N742" s="9">
        <v>6.5039705769099799E-9</v>
      </c>
      <c r="O742" s="2">
        <v>-4.1026101686972902</v>
      </c>
      <c r="P742" t="s">
        <v>2762</v>
      </c>
      <c r="Q742" s="10">
        <f>IF(N742&lt;='[1]statistical criteria'!$B$2,IF(O742&gt;=LOG('[1]statistical criteria'!$B$3,2),1,IF(O742&lt;=-1*LOG('[1]statistical criteria'!$B$3,2),2,"-")),"-")</f>
        <v>2</v>
      </c>
      <c r="R742" t="s">
        <v>2764</v>
      </c>
      <c r="S742" t="s">
        <v>2765</v>
      </c>
      <c r="T742">
        <v>0</v>
      </c>
      <c r="U742" t="s">
        <v>2766</v>
      </c>
    </row>
    <row r="743" spans="1:21" x14ac:dyDescent="0.35">
      <c r="A743" t="s">
        <v>2767</v>
      </c>
      <c r="B743" t="s">
        <v>2768</v>
      </c>
      <c r="C743">
        <v>1884</v>
      </c>
      <c r="D743" s="5">
        <v>28.753741999999999</v>
      </c>
      <c r="E743" s="5">
        <v>22.142213999999999</v>
      </c>
      <c r="F743" s="5">
        <v>20.361312999999999</v>
      </c>
      <c r="G743" s="5">
        <v>14.92418</v>
      </c>
      <c r="H743" s="6">
        <v>0.80023200000000005</v>
      </c>
      <c r="I743" s="6">
        <v>1.3011919999999999</v>
      </c>
      <c r="J743" s="11">
        <v>0</v>
      </c>
      <c r="K743" s="7">
        <f t="shared" ref="K743:K806" si="24">AVERAGE(D743:G743)</f>
        <v>21.545362249999997</v>
      </c>
      <c r="L743" s="8">
        <f t="shared" ref="L743:L806" si="25">AVERAGE(H743:J743)</f>
        <v>0.70047466666666658</v>
      </c>
      <c r="M743" s="9">
        <v>1.9401682572158999E-9</v>
      </c>
      <c r="N743" s="9">
        <v>3.98934650835425E-8</v>
      </c>
      <c r="O743" s="2">
        <v>-4.1028842012572904</v>
      </c>
      <c r="P743" t="s">
        <v>2767</v>
      </c>
      <c r="Q743" s="10">
        <f>IF(N743&lt;='[1]statistical criteria'!$B$2,IF(O743&gt;=LOG('[1]statistical criteria'!$B$3,2),1,IF(O743&lt;=-1*LOG('[1]statistical criteria'!$B$3,2),2,"-")),"-")</f>
        <v>2</v>
      </c>
      <c r="R743" t="s">
        <v>2769</v>
      </c>
      <c r="S743" t="s">
        <v>2770</v>
      </c>
      <c r="T743" s="9">
        <v>3.0000000000000003E-29</v>
      </c>
      <c r="U743" t="s">
        <v>2771</v>
      </c>
    </row>
    <row r="744" spans="1:21" x14ac:dyDescent="0.35">
      <c r="A744" t="s">
        <v>2772</v>
      </c>
      <c r="B744" t="s">
        <v>2773</v>
      </c>
      <c r="C744">
        <v>1074</v>
      </c>
      <c r="D744" s="5">
        <v>10.685858</v>
      </c>
      <c r="E744" s="5">
        <v>6.4091500000000003</v>
      </c>
      <c r="F744" s="5">
        <v>9.6383489999999998</v>
      </c>
      <c r="G744" s="5">
        <v>5.2767879999999998</v>
      </c>
      <c r="H744" s="6">
        <v>2.2858269999999998</v>
      </c>
      <c r="I744" s="11">
        <v>0</v>
      </c>
      <c r="J744" s="11">
        <v>0</v>
      </c>
      <c r="K744" s="7">
        <f t="shared" si="24"/>
        <v>8.0025362499999986</v>
      </c>
      <c r="L744" s="8">
        <f t="shared" si="25"/>
        <v>0.76194233333333328</v>
      </c>
      <c r="M744" s="9">
        <v>9.9650684119817994E-9</v>
      </c>
      <c r="N744" s="9">
        <v>1.7856426730698099E-7</v>
      </c>
      <c r="O744" s="2">
        <v>-4.1036764113505599</v>
      </c>
      <c r="P744" t="s">
        <v>2772</v>
      </c>
      <c r="Q744" s="10">
        <f>IF(N744&lt;='[1]statistical criteria'!$B$2,IF(O744&gt;=LOG('[1]statistical criteria'!$B$3,2),1,IF(O744&lt;=-1*LOG('[1]statistical criteria'!$B$3,2),2,"-")),"-")</f>
        <v>2</v>
      </c>
      <c r="R744" t="s">
        <v>2774</v>
      </c>
    </row>
    <row r="745" spans="1:21" x14ac:dyDescent="0.35">
      <c r="A745" t="s">
        <v>2775</v>
      </c>
      <c r="B745" t="s">
        <v>2776</v>
      </c>
      <c r="C745">
        <v>1521</v>
      </c>
      <c r="D745" s="5">
        <v>7.9333039999999997</v>
      </c>
      <c r="E745" s="5">
        <v>7.5788399999999996</v>
      </c>
      <c r="F745" s="5">
        <v>6.3198309999999998</v>
      </c>
      <c r="G745" s="5">
        <v>2.9217870000000001</v>
      </c>
      <c r="H745" s="11">
        <v>0</v>
      </c>
      <c r="I745" s="11">
        <v>0</v>
      </c>
      <c r="J745" s="6">
        <v>0.47615600000000002</v>
      </c>
      <c r="K745" s="7">
        <f t="shared" si="24"/>
        <v>6.1884405000000005</v>
      </c>
      <c r="L745" s="8">
        <f t="shared" si="25"/>
        <v>0.15871866666666667</v>
      </c>
      <c r="M745" s="9">
        <v>1.9226915376526401E-8</v>
      </c>
      <c r="N745" s="9">
        <v>3.2581317864229398E-7</v>
      </c>
      <c r="O745" s="2">
        <v>-4.1049869632146896</v>
      </c>
      <c r="P745" t="s">
        <v>2775</v>
      </c>
      <c r="Q745" s="10">
        <f>IF(N745&lt;='[1]statistical criteria'!$B$2,IF(O745&gt;=LOG('[1]statistical criteria'!$B$3,2),1,IF(O745&lt;=-1*LOG('[1]statistical criteria'!$B$3,2),2,"-")),"-")</f>
        <v>2</v>
      </c>
      <c r="R745" t="s">
        <v>2777</v>
      </c>
      <c r="S745" t="s">
        <v>2778</v>
      </c>
      <c r="T745" s="9">
        <v>1.9999999999999999E-77</v>
      </c>
      <c r="U745" t="s">
        <v>2779</v>
      </c>
    </row>
    <row r="746" spans="1:21" x14ac:dyDescent="0.35">
      <c r="A746" t="s">
        <v>2780</v>
      </c>
      <c r="B746" t="s">
        <v>2781</v>
      </c>
      <c r="C746">
        <v>789</v>
      </c>
      <c r="D746" s="5">
        <v>121.435867</v>
      </c>
      <c r="E746" s="5">
        <v>121.05543400000001</v>
      </c>
      <c r="F746" s="5">
        <v>116.487516</v>
      </c>
      <c r="G746" s="5">
        <v>125.133495</v>
      </c>
      <c r="H746" s="6">
        <v>9.6638730000000006</v>
      </c>
      <c r="I746" s="6">
        <v>23.973223999999998</v>
      </c>
      <c r="J746" s="11">
        <v>0</v>
      </c>
      <c r="K746" s="7">
        <f t="shared" si="24"/>
        <v>121.02807800000001</v>
      </c>
      <c r="L746" s="8">
        <f t="shared" si="25"/>
        <v>11.212365666666665</v>
      </c>
      <c r="M746" s="9">
        <v>2.6215637317758801E-5</v>
      </c>
      <c r="N746">
        <v>2.12381259326075E-4</v>
      </c>
      <c r="O746" s="2">
        <v>-4.10655379603676</v>
      </c>
      <c r="P746" t="s">
        <v>2780</v>
      </c>
      <c r="Q746" s="10">
        <f>IF(N746&lt;='[1]statistical criteria'!$B$2,IF(O746&gt;=LOG('[1]statistical criteria'!$B$3,2),1,IF(O746&lt;=-1*LOG('[1]statistical criteria'!$B$3,2),2,"-")),"-")</f>
        <v>2</v>
      </c>
      <c r="R746" t="s">
        <v>2782</v>
      </c>
      <c r="S746" t="s">
        <v>2783</v>
      </c>
      <c r="T746" s="9">
        <v>3.9999999999999999E-120</v>
      </c>
      <c r="U746" t="s">
        <v>2784</v>
      </c>
    </row>
    <row r="747" spans="1:21" x14ac:dyDescent="0.35">
      <c r="A747" t="s">
        <v>2785</v>
      </c>
      <c r="B747" t="s">
        <v>2786</v>
      </c>
      <c r="C747">
        <v>983</v>
      </c>
      <c r="D747" s="5">
        <v>11.271509</v>
      </c>
      <c r="E747" s="5">
        <v>5.7411490000000001</v>
      </c>
      <c r="F747" s="5">
        <v>11.189582</v>
      </c>
      <c r="G747" s="5">
        <v>13.358984</v>
      </c>
      <c r="H747" s="6">
        <v>4.5591720000000002</v>
      </c>
      <c r="I747" s="11">
        <v>0</v>
      </c>
      <c r="J747" s="11">
        <v>0</v>
      </c>
      <c r="K747" s="7">
        <f t="shared" si="24"/>
        <v>10.390306000000001</v>
      </c>
      <c r="L747" s="8">
        <f t="shared" si="25"/>
        <v>1.5197240000000001</v>
      </c>
      <c r="M747" s="9">
        <v>6.8312091487250802E-8</v>
      </c>
      <c r="N747" s="9">
        <v>1.0272454373784099E-6</v>
      </c>
      <c r="O747" s="2">
        <v>-4.1078502567429602</v>
      </c>
      <c r="P747" t="s">
        <v>2785</v>
      </c>
      <c r="Q747" s="10">
        <f>IF(N747&lt;='[1]statistical criteria'!$B$2,IF(O747&gt;=LOG('[1]statistical criteria'!$B$3,2),1,IF(O747&lt;=-1*LOG('[1]statistical criteria'!$B$3,2),2,"-")),"-")</f>
        <v>2</v>
      </c>
      <c r="R747" t="s">
        <v>2787</v>
      </c>
      <c r="S747" t="s">
        <v>133</v>
      </c>
      <c r="T747" t="s">
        <v>133</v>
      </c>
      <c r="U747" t="s">
        <v>134</v>
      </c>
    </row>
    <row r="748" spans="1:21" x14ac:dyDescent="0.35">
      <c r="A748" t="s">
        <v>2788</v>
      </c>
      <c r="B748" t="s">
        <v>2789</v>
      </c>
      <c r="C748">
        <v>1467</v>
      </c>
      <c r="D748" s="5">
        <v>7.6229069999999997</v>
      </c>
      <c r="E748" s="5">
        <v>18.491917999999998</v>
      </c>
      <c r="F748" s="5">
        <v>11.411728</v>
      </c>
      <c r="G748" s="5">
        <v>6.821453</v>
      </c>
      <c r="H748" s="11">
        <v>0</v>
      </c>
      <c r="I748" s="6">
        <v>2.1571199999999999</v>
      </c>
      <c r="J748" s="11">
        <v>0</v>
      </c>
      <c r="K748" s="7">
        <f t="shared" si="24"/>
        <v>11.087001499999998</v>
      </c>
      <c r="L748" s="8">
        <f t="shared" si="25"/>
        <v>0.71904000000000001</v>
      </c>
      <c r="M748" s="9">
        <v>6.48586480441827E-8</v>
      </c>
      <c r="N748" s="9">
        <v>9.8073903240428895E-7</v>
      </c>
      <c r="O748" s="2">
        <v>-4.1079599321665903</v>
      </c>
      <c r="P748" t="s">
        <v>2788</v>
      </c>
      <c r="Q748" s="10">
        <f>IF(N748&lt;='[1]statistical criteria'!$B$2,IF(O748&gt;=LOG('[1]statistical criteria'!$B$3,2),1,IF(O748&lt;=-1*LOG('[1]statistical criteria'!$B$3,2),2,"-")),"-")</f>
        <v>2</v>
      </c>
      <c r="R748" t="s">
        <v>241</v>
      </c>
    </row>
    <row r="749" spans="1:21" x14ac:dyDescent="0.35">
      <c r="A749" t="s">
        <v>2790</v>
      </c>
      <c r="B749" t="s">
        <v>2791</v>
      </c>
      <c r="C749">
        <v>918</v>
      </c>
      <c r="D749" s="5">
        <v>6.1282670000000001</v>
      </c>
      <c r="E749" s="5">
        <v>10.823683000000001</v>
      </c>
      <c r="F749" s="5">
        <v>13.554741999999999</v>
      </c>
      <c r="G749" s="5">
        <v>5.0876089999999996</v>
      </c>
      <c r="H749" s="6">
        <v>2.1393719999999998</v>
      </c>
      <c r="I749" s="11">
        <v>0</v>
      </c>
      <c r="J749" s="11">
        <v>0</v>
      </c>
      <c r="K749" s="7">
        <f t="shared" si="24"/>
        <v>8.8985752500000004</v>
      </c>
      <c r="L749" s="8">
        <f t="shared" si="25"/>
        <v>0.71312399999999998</v>
      </c>
      <c r="M749" s="9">
        <v>2.1944155471567299E-10</v>
      </c>
      <c r="N749" s="9">
        <v>5.2264991066824301E-9</v>
      </c>
      <c r="O749" s="2">
        <v>-4.1103094818075299</v>
      </c>
      <c r="P749" t="s">
        <v>2790</v>
      </c>
      <c r="Q749" s="10">
        <f>IF(N749&lt;='[1]statistical criteria'!$B$2,IF(O749&gt;=LOG('[1]statistical criteria'!$B$3,2),1,IF(O749&lt;=-1*LOG('[1]statistical criteria'!$B$3,2),2,"-")),"-")</f>
        <v>2</v>
      </c>
      <c r="S749" t="s">
        <v>2792</v>
      </c>
      <c r="T749" s="9">
        <v>1.9999999999999999E-28</v>
      </c>
      <c r="U749" t="s">
        <v>2793</v>
      </c>
    </row>
    <row r="750" spans="1:21" x14ac:dyDescent="0.35">
      <c r="A750" t="s">
        <v>2794</v>
      </c>
      <c r="B750" t="s">
        <v>2795</v>
      </c>
      <c r="C750">
        <v>1941</v>
      </c>
      <c r="D750" s="5">
        <v>5.8249649999999997</v>
      </c>
      <c r="E750" s="5">
        <v>7.5725100000000003</v>
      </c>
      <c r="F750" s="5">
        <v>12.768763999999999</v>
      </c>
      <c r="G750" s="5">
        <v>8.9015690000000003</v>
      </c>
      <c r="H750" s="11">
        <v>0</v>
      </c>
      <c r="I750" s="11">
        <v>0</v>
      </c>
      <c r="J750" s="6">
        <v>1.636066</v>
      </c>
      <c r="K750" s="7">
        <f t="shared" si="24"/>
        <v>8.7669519999999999</v>
      </c>
      <c r="L750" s="8">
        <f t="shared" si="25"/>
        <v>0.5453553333333333</v>
      </c>
      <c r="M750" s="9">
        <v>8.7001340370693394E-6</v>
      </c>
      <c r="N750" s="9">
        <v>8.0040391938810494E-5</v>
      </c>
      <c r="O750" s="2">
        <v>-4.1140866097392701</v>
      </c>
      <c r="P750" t="s">
        <v>2794</v>
      </c>
      <c r="Q750" s="10">
        <f>IF(N750&lt;='[1]statistical criteria'!$B$2,IF(O750&gt;=LOG('[1]statistical criteria'!$B$3,2),1,IF(O750&lt;=-1*LOG('[1]statistical criteria'!$B$3,2),2,"-")),"-")</f>
        <v>2</v>
      </c>
      <c r="R750" t="s">
        <v>2796</v>
      </c>
      <c r="S750" t="s">
        <v>2797</v>
      </c>
      <c r="T750" s="9">
        <v>3.0000000000000002E-156</v>
      </c>
      <c r="U750" t="s">
        <v>2798</v>
      </c>
    </row>
    <row r="751" spans="1:21" x14ac:dyDescent="0.35">
      <c r="A751" t="s">
        <v>2799</v>
      </c>
      <c r="B751" t="s">
        <v>2800</v>
      </c>
      <c r="C751">
        <v>777</v>
      </c>
      <c r="D751" s="5">
        <v>5.4540439999999997</v>
      </c>
      <c r="E751" s="5">
        <v>29.655794</v>
      </c>
      <c r="F751" s="5">
        <v>14.234423</v>
      </c>
      <c r="G751" s="5">
        <v>12.230263000000001</v>
      </c>
      <c r="H751" s="11">
        <v>0</v>
      </c>
      <c r="I751" s="11">
        <v>0</v>
      </c>
      <c r="J751" s="6">
        <v>4.2048459999999999</v>
      </c>
      <c r="K751" s="7">
        <f t="shared" si="24"/>
        <v>15.393630999999999</v>
      </c>
      <c r="L751" s="8">
        <f t="shared" si="25"/>
        <v>1.4016153333333332</v>
      </c>
      <c r="M751" s="9">
        <v>3.5251026122198602E-6</v>
      </c>
      <c r="N751" s="9">
        <v>3.5427886300788998E-5</v>
      </c>
      <c r="O751" s="2">
        <v>-4.1158724728749103</v>
      </c>
      <c r="P751" t="s">
        <v>2799</v>
      </c>
      <c r="Q751" s="10">
        <f>IF(N751&lt;='[1]statistical criteria'!$B$2,IF(O751&gt;=LOG('[1]statistical criteria'!$B$3,2),1,IF(O751&lt;=-1*LOG('[1]statistical criteria'!$B$3,2),2,"-")),"-")</f>
        <v>2</v>
      </c>
      <c r="R751" t="s">
        <v>2801</v>
      </c>
      <c r="S751" t="s">
        <v>2802</v>
      </c>
      <c r="T751" s="9">
        <v>3.9999999999999998E-151</v>
      </c>
      <c r="U751" t="s">
        <v>2803</v>
      </c>
    </row>
    <row r="752" spans="1:21" x14ac:dyDescent="0.35">
      <c r="A752" t="s">
        <v>2804</v>
      </c>
      <c r="B752" t="s">
        <v>2805</v>
      </c>
      <c r="C752">
        <v>1722</v>
      </c>
      <c r="D752" s="5">
        <v>1.8603620000000001</v>
      </c>
      <c r="E752" s="5">
        <v>10.950136000000001</v>
      </c>
      <c r="F752" s="5">
        <v>8.3697870000000005</v>
      </c>
      <c r="G752" s="5">
        <v>7.4200100000000004</v>
      </c>
      <c r="H752" s="6">
        <v>0.39197599999999999</v>
      </c>
      <c r="I752" s="11">
        <v>0</v>
      </c>
      <c r="J752" s="11">
        <v>0</v>
      </c>
      <c r="K752" s="7">
        <f t="shared" si="24"/>
        <v>7.1500737500000007</v>
      </c>
      <c r="L752" s="8">
        <f t="shared" si="25"/>
        <v>0.13065866666666667</v>
      </c>
      <c r="M752" s="9">
        <v>2.30038337751979E-6</v>
      </c>
      <c r="N752" s="9">
        <v>2.4232657444894299E-5</v>
      </c>
      <c r="O752" s="2">
        <v>-4.1163261944287699</v>
      </c>
      <c r="P752" t="s">
        <v>2804</v>
      </c>
      <c r="Q752" s="10">
        <f>IF(N752&lt;='[1]statistical criteria'!$B$2,IF(O752&gt;=LOG('[1]statistical criteria'!$B$3,2),1,IF(O752&lt;=-1*LOG('[1]statistical criteria'!$B$3,2),2,"-")),"-")</f>
        <v>2</v>
      </c>
      <c r="S752" t="s">
        <v>2806</v>
      </c>
      <c r="T752" s="9">
        <v>4E-79</v>
      </c>
      <c r="U752" t="s">
        <v>61</v>
      </c>
    </row>
    <row r="753" spans="1:21" x14ac:dyDescent="0.35">
      <c r="A753" t="s">
        <v>2807</v>
      </c>
      <c r="B753" t="s">
        <v>2808</v>
      </c>
      <c r="C753">
        <v>1079</v>
      </c>
      <c r="D753" s="5">
        <v>2.5957309999999998</v>
      </c>
      <c r="E753" s="5">
        <v>1.809601</v>
      </c>
      <c r="F753" s="5">
        <v>0.92869900000000005</v>
      </c>
      <c r="G753" s="5">
        <v>4.9091690000000003</v>
      </c>
      <c r="H753" s="11">
        <v>0</v>
      </c>
      <c r="I753" s="11">
        <v>0</v>
      </c>
      <c r="J753" s="11">
        <v>0</v>
      </c>
      <c r="K753" s="7">
        <f t="shared" si="24"/>
        <v>2.5608</v>
      </c>
      <c r="L753" s="8">
        <f t="shared" si="25"/>
        <v>0</v>
      </c>
      <c r="M753" s="9">
        <v>3.1573416848445002E-6</v>
      </c>
      <c r="N753" s="9">
        <v>3.21736076372642E-5</v>
      </c>
      <c r="O753" s="2">
        <v>-4.1163831744010597</v>
      </c>
      <c r="P753" t="s">
        <v>2807</v>
      </c>
      <c r="Q753" s="10">
        <f>IF(N753&lt;='[1]statistical criteria'!$B$2,IF(O753&gt;=LOG('[1]statistical criteria'!$B$3,2),1,IF(O753&lt;=-1*LOG('[1]statistical criteria'!$B$3,2),2,"-")),"-")</f>
        <v>2</v>
      </c>
      <c r="R753" t="s">
        <v>2809</v>
      </c>
      <c r="S753" t="s">
        <v>2810</v>
      </c>
      <c r="T753" s="9">
        <v>1.0000000000000001E-122</v>
      </c>
      <c r="U753" t="s">
        <v>61</v>
      </c>
    </row>
    <row r="754" spans="1:21" x14ac:dyDescent="0.35">
      <c r="A754" t="s">
        <v>2811</v>
      </c>
      <c r="B754" t="s">
        <v>2812</v>
      </c>
      <c r="C754">
        <v>1449</v>
      </c>
      <c r="D754" s="5">
        <v>12.432916000000001</v>
      </c>
      <c r="E754" s="5">
        <v>5.7522479999999998</v>
      </c>
      <c r="F754" s="5">
        <v>9.9482520000000001</v>
      </c>
      <c r="G754" s="5">
        <v>6.6635299999999997</v>
      </c>
      <c r="H754" s="6">
        <v>1.4622740000000001</v>
      </c>
      <c r="I754" s="11">
        <v>0</v>
      </c>
      <c r="J754" s="11">
        <v>0</v>
      </c>
      <c r="K754" s="7">
        <f t="shared" si="24"/>
        <v>8.6992364999999996</v>
      </c>
      <c r="L754" s="8">
        <f t="shared" si="25"/>
        <v>0.48742466666666667</v>
      </c>
      <c r="M754" s="9">
        <v>8.8989823281355694E-6</v>
      </c>
      <c r="N754" s="9">
        <v>8.1554362487079102E-5</v>
      </c>
      <c r="O754" s="2">
        <v>-4.1164411820567501</v>
      </c>
      <c r="P754" t="s">
        <v>2811</v>
      </c>
      <c r="Q754" s="10">
        <f>IF(N754&lt;='[1]statistical criteria'!$B$2,IF(O754&gt;=LOG('[1]statistical criteria'!$B$3,2),1,IF(O754&lt;=-1*LOG('[1]statistical criteria'!$B$3,2),2,"-")),"-")</f>
        <v>2</v>
      </c>
      <c r="R754" t="s">
        <v>2813</v>
      </c>
      <c r="S754" t="s">
        <v>2814</v>
      </c>
      <c r="T754">
        <v>0</v>
      </c>
      <c r="U754" t="s">
        <v>2815</v>
      </c>
    </row>
    <row r="755" spans="1:21" x14ac:dyDescent="0.35">
      <c r="A755" t="s">
        <v>2816</v>
      </c>
      <c r="B755" t="s">
        <v>2817</v>
      </c>
      <c r="C755">
        <v>987</v>
      </c>
      <c r="D755" s="5">
        <v>1.5572010000000001</v>
      </c>
      <c r="E755" s="5">
        <v>3.7712490000000001</v>
      </c>
      <c r="F755" s="5">
        <v>0.80781999999999998</v>
      </c>
      <c r="G755" s="5">
        <v>3.3852720000000001</v>
      </c>
      <c r="H755" s="11">
        <v>0</v>
      </c>
      <c r="I755" s="11">
        <v>0</v>
      </c>
      <c r="J755" s="11">
        <v>0</v>
      </c>
      <c r="K755" s="7">
        <f t="shared" si="24"/>
        <v>2.3803855</v>
      </c>
      <c r="L755" s="8">
        <f t="shared" si="25"/>
        <v>0</v>
      </c>
      <c r="M755" s="9">
        <v>5.0698202872176804E-6</v>
      </c>
      <c r="N755" s="9">
        <v>4.93749642096994E-5</v>
      </c>
      <c r="O755" s="2">
        <v>-4.1172012628791101</v>
      </c>
      <c r="P755" t="s">
        <v>2816</v>
      </c>
      <c r="Q755" s="10">
        <f>IF(N755&lt;='[1]statistical criteria'!$B$2,IF(O755&gt;=LOG('[1]statistical criteria'!$B$3,2),1,IF(O755&lt;=-1*LOG('[1]statistical criteria'!$B$3,2),2,"-")),"-")</f>
        <v>2</v>
      </c>
      <c r="R755" t="s">
        <v>2818</v>
      </c>
      <c r="S755" t="s">
        <v>2819</v>
      </c>
      <c r="T755">
        <v>0</v>
      </c>
      <c r="U755" t="s">
        <v>2820</v>
      </c>
    </row>
    <row r="756" spans="1:21" x14ac:dyDescent="0.35">
      <c r="A756" t="s">
        <v>2821</v>
      </c>
      <c r="B756" t="s">
        <v>2822</v>
      </c>
      <c r="C756">
        <v>594</v>
      </c>
      <c r="D756" s="5">
        <v>6.5959770000000004</v>
      </c>
      <c r="E756" s="5">
        <v>4.3562320000000003</v>
      </c>
      <c r="F756" s="5">
        <v>1.15469</v>
      </c>
      <c r="G756" s="5">
        <v>13.697412999999999</v>
      </c>
      <c r="H756" s="11">
        <v>0</v>
      </c>
      <c r="I756" s="11">
        <v>0</v>
      </c>
      <c r="J756" s="11">
        <v>0</v>
      </c>
      <c r="K756" s="7">
        <f t="shared" si="24"/>
        <v>6.4510779999999999</v>
      </c>
      <c r="L756" s="8">
        <f t="shared" si="25"/>
        <v>0</v>
      </c>
      <c r="M756" s="9">
        <v>2.1974326079317199E-6</v>
      </c>
      <c r="N756" s="9">
        <v>2.3244659549161E-5</v>
      </c>
      <c r="O756" s="2">
        <v>-4.1187533015189297</v>
      </c>
      <c r="P756" t="s">
        <v>2821</v>
      </c>
      <c r="Q756" s="10">
        <f>IF(N756&lt;='[1]statistical criteria'!$B$2,IF(O756&gt;=LOG('[1]statistical criteria'!$B$3,2),1,IF(O756&lt;=-1*LOG('[1]statistical criteria'!$B$3,2),2,"-")),"-")</f>
        <v>2</v>
      </c>
      <c r="R756" t="s">
        <v>2823</v>
      </c>
      <c r="S756" t="s">
        <v>2824</v>
      </c>
      <c r="T756" s="9">
        <v>9.9999999999999996E-95</v>
      </c>
      <c r="U756" t="s">
        <v>2825</v>
      </c>
    </row>
    <row r="757" spans="1:21" x14ac:dyDescent="0.35">
      <c r="A757" t="s">
        <v>2826</v>
      </c>
      <c r="B757" t="s">
        <v>2827</v>
      </c>
      <c r="C757">
        <v>768</v>
      </c>
      <c r="D757" s="5">
        <v>22.080966</v>
      </c>
      <c r="E757" s="5">
        <v>22.898655000000002</v>
      </c>
      <c r="F757" s="5">
        <v>15.893946</v>
      </c>
      <c r="G757" s="5">
        <v>9.7799569999999996</v>
      </c>
      <c r="H757" s="11">
        <v>0</v>
      </c>
      <c r="I757" s="11">
        <v>0</v>
      </c>
      <c r="J757" s="6">
        <v>8.6758699999999997</v>
      </c>
      <c r="K757" s="7">
        <f t="shared" si="24"/>
        <v>17.663381000000001</v>
      </c>
      <c r="L757" s="8">
        <f t="shared" si="25"/>
        <v>2.8919566666666667</v>
      </c>
      <c r="M757" s="9">
        <v>3.6500464616490902E-7</v>
      </c>
      <c r="N757" s="9">
        <v>4.6508459434337003E-6</v>
      </c>
      <c r="O757" s="2">
        <v>-4.1193747297135204</v>
      </c>
      <c r="P757" t="s">
        <v>2826</v>
      </c>
      <c r="Q757" s="10">
        <f>IF(N757&lt;='[1]statistical criteria'!$B$2,IF(O757&gt;=LOG('[1]statistical criteria'!$B$3,2),1,IF(O757&lt;=-1*LOG('[1]statistical criteria'!$B$3,2),2,"-")),"-")</f>
        <v>2</v>
      </c>
      <c r="R757" t="s">
        <v>2828</v>
      </c>
      <c r="S757" t="s">
        <v>2829</v>
      </c>
      <c r="T757" s="9">
        <v>2E-118</v>
      </c>
      <c r="U757" t="s">
        <v>2830</v>
      </c>
    </row>
    <row r="758" spans="1:21" x14ac:dyDescent="0.35">
      <c r="A758" t="s">
        <v>2831</v>
      </c>
      <c r="B758" t="s">
        <v>2832</v>
      </c>
      <c r="C758">
        <v>1116</v>
      </c>
      <c r="D758" s="5">
        <v>6.0415010000000002</v>
      </c>
      <c r="E758" s="5">
        <v>2.6595680000000002</v>
      </c>
      <c r="F758" s="5">
        <v>5.1492180000000003</v>
      </c>
      <c r="G758" s="5">
        <v>1.8386400000000001</v>
      </c>
      <c r="H758" s="11">
        <v>0</v>
      </c>
      <c r="I758" s="11">
        <v>0</v>
      </c>
      <c r="J758" s="11">
        <v>0</v>
      </c>
      <c r="K758" s="7">
        <f t="shared" si="24"/>
        <v>3.9222317500000003</v>
      </c>
      <c r="L758" s="8">
        <f t="shared" si="25"/>
        <v>0</v>
      </c>
      <c r="M758" s="9">
        <v>8.1210330434664707E-6</v>
      </c>
      <c r="N758" s="9">
        <v>7.5331834665935598E-5</v>
      </c>
      <c r="O758" s="2">
        <v>-4.1199124526678901</v>
      </c>
      <c r="P758" t="s">
        <v>2831</v>
      </c>
      <c r="Q758" s="10">
        <f>IF(N758&lt;='[1]statistical criteria'!$B$2,IF(O758&gt;=LOG('[1]statistical criteria'!$B$3,2),1,IF(O758&lt;=-1*LOG('[1]statistical criteria'!$B$3,2),2,"-")),"-")</f>
        <v>2</v>
      </c>
      <c r="R758" t="s">
        <v>2833</v>
      </c>
      <c r="S758" t="s">
        <v>2834</v>
      </c>
      <c r="T758" s="9">
        <v>7.9999999999999997E-105</v>
      </c>
      <c r="U758" t="s">
        <v>61</v>
      </c>
    </row>
    <row r="759" spans="1:21" x14ac:dyDescent="0.35">
      <c r="A759" t="s">
        <v>2835</v>
      </c>
      <c r="B759" t="s">
        <v>2836</v>
      </c>
      <c r="C759">
        <v>829</v>
      </c>
      <c r="D759" s="5">
        <v>2.4484430000000001</v>
      </c>
      <c r="E759" s="5">
        <v>3.4480339999999998</v>
      </c>
      <c r="F759" s="5">
        <v>1.178669</v>
      </c>
      <c r="G759" s="5">
        <v>1.2389220000000001</v>
      </c>
      <c r="H759" s="11">
        <v>0</v>
      </c>
      <c r="I759" s="11">
        <v>0</v>
      </c>
      <c r="J759" s="11">
        <v>0</v>
      </c>
      <c r="K759" s="7">
        <f t="shared" si="24"/>
        <v>2.0785170000000002</v>
      </c>
      <c r="L759" s="8">
        <f t="shared" si="25"/>
        <v>0</v>
      </c>
      <c r="M759" s="9">
        <v>9.7241160874473895E-6</v>
      </c>
      <c r="N759" s="9">
        <v>8.8139999592342903E-5</v>
      </c>
      <c r="O759" s="2">
        <v>-4.1199727693118096</v>
      </c>
      <c r="P759" t="s">
        <v>2835</v>
      </c>
      <c r="Q759" s="10">
        <f>IF(N759&lt;='[1]statistical criteria'!$B$2,IF(O759&gt;=LOG('[1]statistical criteria'!$B$3,2),1,IF(O759&lt;=-1*LOG('[1]statistical criteria'!$B$3,2),2,"-")),"-")</f>
        <v>2</v>
      </c>
      <c r="R759" t="s">
        <v>2837</v>
      </c>
      <c r="S759" t="s">
        <v>2838</v>
      </c>
      <c r="T759" s="9">
        <v>9.9999999999999992E-25</v>
      </c>
      <c r="U759" t="s">
        <v>61</v>
      </c>
    </row>
    <row r="760" spans="1:21" x14ac:dyDescent="0.35">
      <c r="A760" t="s">
        <v>2839</v>
      </c>
      <c r="B760" t="s">
        <v>2840</v>
      </c>
      <c r="C760">
        <v>1512</v>
      </c>
      <c r="D760" s="5">
        <v>6.9631160000000003</v>
      </c>
      <c r="E760" s="5">
        <v>5.3282280000000002</v>
      </c>
      <c r="F760" s="5">
        <v>5.9217399999999998</v>
      </c>
      <c r="G760" s="5">
        <v>9.6810939999999999</v>
      </c>
      <c r="H760" s="6">
        <v>1.112088</v>
      </c>
      <c r="I760" s="11">
        <v>0</v>
      </c>
      <c r="J760" s="11">
        <v>0</v>
      </c>
      <c r="K760" s="7">
        <f t="shared" si="24"/>
        <v>6.9735445000000009</v>
      </c>
      <c r="L760" s="8">
        <f t="shared" si="25"/>
        <v>0.37069599999999997</v>
      </c>
      <c r="M760" s="9">
        <v>5.2575047264269601E-6</v>
      </c>
      <c r="N760" s="9">
        <v>5.1072136265393102E-5</v>
      </c>
      <c r="O760" s="2">
        <v>-4.12116090958376</v>
      </c>
      <c r="P760" t="s">
        <v>2839</v>
      </c>
      <c r="Q760" s="10">
        <f>IF(N760&lt;='[1]statistical criteria'!$B$2,IF(O760&gt;=LOG('[1]statistical criteria'!$B$3,2),1,IF(O760&lt;=-1*LOG('[1]statistical criteria'!$B$3,2),2,"-")),"-")</f>
        <v>2</v>
      </c>
      <c r="R760" t="s">
        <v>2841</v>
      </c>
      <c r="S760" t="s">
        <v>2842</v>
      </c>
      <c r="T760" s="9">
        <v>5.9999999999999995E-25</v>
      </c>
      <c r="U760" t="s">
        <v>61</v>
      </c>
    </row>
    <row r="761" spans="1:21" x14ac:dyDescent="0.35">
      <c r="A761" t="s">
        <v>2843</v>
      </c>
      <c r="B761" t="s">
        <v>2844</v>
      </c>
      <c r="C761">
        <v>1092</v>
      </c>
      <c r="D761" s="5">
        <v>4.3054870000000003</v>
      </c>
      <c r="E761" s="5">
        <v>1.5431919999999999</v>
      </c>
      <c r="F761" s="5">
        <v>4.5805290000000003</v>
      </c>
      <c r="G761" s="5">
        <v>1.596724</v>
      </c>
      <c r="H761" s="11">
        <v>0</v>
      </c>
      <c r="I761" s="11">
        <v>0</v>
      </c>
      <c r="J761" s="11">
        <v>0</v>
      </c>
      <c r="K761" s="7">
        <f t="shared" si="24"/>
        <v>3.0064830000000002</v>
      </c>
      <c r="L761" s="8">
        <f t="shared" si="25"/>
        <v>0</v>
      </c>
      <c r="M761" s="9">
        <v>7.9120411111204197E-6</v>
      </c>
      <c r="N761" s="9">
        <v>7.3536577457690601E-5</v>
      </c>
      <c r="O761" s="2">
        <v>-4.1247138445957097</v>
      </c>
      <c r="P761" t="s">
        <v>2843</v>
      </c>
      <c r="Q761" s="10">
        <f>IF(N761&lt;='[1]statistical criteria'!$B$2,IF(O761&gt;=LOG('[1]statistical criteria'!$B$3,2),1,IF(O761&lt;=-1*LOG('[1]statistical criteria'!$B$3,2),2,"-")),"-")</f>
        <v>2</v>
      </c>
      <c r="R761" t="s">
        <v>2845</v>
      </c>
      <c r="S761" t="s">
        <v>2846</v>
      </c>
      <c r="T761" s="9">
        <v>6.9999999999999999E-101</v>
      </c>
      <c r="U761" t="s">
        <v>2847</v>
      </c>
    </row>
    <row r="762" spans="1:21" x14ac:dyDescent="0.35">
      <c r="A762" t="s">
        <v>2848</v>
      </c>
      <c r="B762" t="s">
        <v>2849</v>
      </c>
      <c r="C762">
        <v>1212</v>
      </c>
      <c r="D762" s="5">
        <v>3.505401</v>
      </c>
      <c r="E762" s="5">
        <v>0.32582800000000001</v>
      </c>
      <c r="F762" s="5">
        <v>6.1903600000000001</v>
      </c>
      <c r="G762" s="5">
        <v>5.4199320000000002</v>
      </c>
      <c r="H762" s="11">
        <v>0</v>
      </c>
      <c r="I762" s="11">
        <v>0</v>
      </c>
      <c r="J762" s="11">
        <v>0</v>
      </c>
      <c r="K762" s="7">
        <f t="shared" si="24"/>
        <v>3.8603802500000004</v>
      </c>
      <c r="L762" s="8">
        <f t="shared" si="25"/>
        <v>0</v>
      </c>
      <c r="M762" s="9">
        <v>1.23433178062012E-5</v>
      </c>
      <c r="N762">
        <v>1.08195917941966E-4</v>
      </c>
      <c r="O762" s="2">
        <v>-4.1292121273036297</v>
      </c>
      <c r="P762" t="s">
        <v>2848</v>
      </c>
      <c r="Q762" s="10">
        <f>IF(N762&lt;='[1]statistical criteria'!$B$2,IF(O762&gt;=LOG('[1]statistical criteria'!$B$3,2),1,IF(O762&lt;=-1*LOG('[1]statistical criteria'!$B$3,2),2,"-")),"-")</f>
        <v>2</v>
      </c>
      <c r="R762" t="s">
        <v>2850</v>
      </c>
      <c r="S762" t="s">
        <v>2851</v>
      </c>
      <c r="T762" s="9">
        <v>9.9999999999999997E-73</v>
      </c>
      <c r="U762" t="s">
        <v>2852</v>
      </c>
    </row>
    <row r="763" spans="1:21" x14ac:dyDescent="0.35">
      <c r="A763" t="s">
        <v>2853</v>
      </c>
      <c r="B763" t="s">
        <v>2854</v>
      </c>
      <c r="C763">
        <v>666</v>
      </c>
      <c r="D763" s="5">
        <v>3.854479</v>
      </c>
      <c r="E763" s="5">
        <v>7.4465539999999999</v>
      </c>
      <c r="F763" s="5">
        <v>1.66801</v>
      </c>
      <c r="G763" s="5">
        <v>5.5714459999999999</v>
      </c>
      <c r="H763" s="11">
        <v>0</v>
      </c>
      <c r="I763" s="11">
        <v>0</v>
      </c>
      <c r="J763" s="11">
        <v>0</v>
      </c>
      <c r="K763" s="7">
        <f t="shared" si="24"/>
        <v>4.6351222500000002</v>
      </c>
      <c r="L763" s="8">
        <f t="shared" si="25"/>
        <v>0</v>
      </c>
      <c r="M763" s="9">
        <v>1.0665225456552399E-5</v>
      </c>
      <c r="N763" s="9">
        <v>9.5218972760118003E-5</v>
      </c>
      <c r="O763" s="2">
        <v>-4.1305862150161898</v>
      </c>
      <c r="P763" t="s">
        <v>2853</v>
      </c>
      <c r="Q763" s="10">
        <f>IF(N763&lt;='[1]statistical criteria'!$B$2,IF(O763&gt;=LOG('[1]statistical criteria'!$B$3,2),1,IF(O763&lt;=-1*LOG('[1]statistical criteria'!$B$3,2),2,"-")),"-")</f>
        <v>2</v>
      </c>
      <c r="S763" t="s">
        <v>2855</v>
      </c>
      <c r="T763" s="9">
        <v>5.0000000000000002E-154</v>
      </c>
      <c r="U763" t="s">
        <v>2856</v>
      </c>
    </row>
    <row r="764" spans="1:21" x14ac:dyDescent="0.35">
      <c r="A764" t="s">
        <v>2857</v>
      </c>
      <c r="B764" t="s">
        <v>2858</v>
      </c>
      <c r="C764">
        <v>954</v>
      </c>
      <c r="D764" s="5">
        <v>1.168274</v>
      </c>
      <c r="E764" s="5">
        <v>4.0779569999999996</v>
      </c>
      <c r="F764" s="5">
        <v>4.1851890000000003</v>
      </c>
      <c r="G764" s="5">
        <v>1.532416</v>
      </c>
      <c r="H764" s="11">
        <v>0</v>
      </c>
      <c r="I764" s="11">
        <v>0</v>
      </c>
      <c r="J764" s="11">
        <v>0</v>
      </c>
      <c r="K764" s="7">
        <f t="shared" si="24"/>
        <v>2.7409589999999997</v>
      </c>
      <c r="L764" s="8">
        <f t="shared" si="25"/>
        <v>0</v>
      </c>
      <c r="M764" s="9">
        <v>6.45038058770469E-6</v>
      </c>
      <c r="N764" s="9">
        <v>6.1283446122825899E-5</v>
      </c>
      <c r="O764" s="2">
        <v>-4.1329377424198697</v>
      </c>
      <c r="P764" t="s">
        <v>2857</v>
      </c>
      <c r="Q764" s="10">
        <f>IF(N764&lt;='[1]statistical criteria'!$B$2,IF(O764&gt;=LOG('[1]statistical criteria'!$B$3,2),1,IF(O764&lt;=-1*LOG('[1]statistical criteria'!$B$3,2),2,"-")),"-")</f>
        <v>2</v>
      </c>
      <c r="R764" t="s">
        <v>2859</v>
      </c>
      <c r="S764" t="s">
        <v>2860</v>
      </c>
      <c r="T764" s="9">
        <v>2.0000000000000001E-152</v>
      </c>
      <c r="U764" t="s">
        <v>2861</v>
      </c>
    </row>
    <row r="765" spans="1:21" x14ac:dyDescent="0.35">
      <c r="A765" t="s">
        <v>2862</v>
      </c>
      <c r="B765" t="s">
        <v>2863</v>
      </c>
      <c r="C765">
        <v>1347</v>
      </c>
      <c r="D765" s="5">
        <v>3.6593580000000001</v>
      </c>
      <c r="E765" s="5">
        <v>4.7716839999999996</v>
      </c>
      <c r="F765" s="5">
        <v>0.88166299999999997</v>
      </c>
      <c r="G765" s="5">
        <v>1.176434</v>
      </c>
      <c r="H765" s="11">
        <v>0</v>
      </c>
      <c r="I765" s="11">
        <v>0</v>
      </c>
      <c r="J765" s="11">
        <v>0</v>
      </c>
      <c r="K765" s="7">
        <f t="shared" si="24"/>
        <v>2.6222847499999999</v>
      </c>
      <c r="L765" s="8">
        <f t="shared" si="25"/>
        <v>0</v>
      </c>
      <c r="M765" s="9">
        <v>4.1077303336774197E-8</v>
      </c>
      <c r="N765" s="9">
        <v>6.4763967067010202E-7</v>
      </c>
      <c r="O765" s="2">
        <v>-4.1338345096961699</v>
      </c>
      <c r="P765" t="s">
        <v>2862</v>
      </c>
      <c r="Q765" s="10">
        <f>IF(N765&lt;='[1]statistical criteria'!$B$2,IF(O765&gt;=LOG('[1]statistical criteria'!$B$3,2),1,IF(O765&lt;=-1*LOG('[1]statistical criteria'!$B$3,2),2,"-")),"-")</f>
        <v>2</v>
      </c>
      <c r="R765" t="s">
        <v>2864</v>
      </c>
      <c r="S765" t="s">
        <v>2865</v>
      </c>
      <c r="T765" s="9">
        <v>9.9999999999999997E-49</v>
      </c>
      <c r="U765" t="s">
        <v>2866</v>
      </c>
    </row>
    <row r="766" spans="1:21" x14ac:dyDescent="0.35">
      <c r="A766" t="s">
        <v>2867</v>
      </c>
      <c r="B766" t="s">
        <v>2868</v>
      </c>
      <c r="C766">
        <v>2784</v>
      </c>
      <c r="D766" s="5">
        <v>3.0431140000000001</v>
      </c>
      <c r="E766" s="5">
        <v>3.5201359999999999</v>
      </c>
      <c r="F766" s="5">
        <v>3.717273</v>
      </c>
      <c r="G766" s="5">
        <v>2.1004399999999999</v>
      </c>
      <c r="H766" s="6">
        <v>0.30535200000000001</v>
      </c>
      <c r="I766" s="11">
        <v>0</v>
      </c>
      <c r="J766" s="11">
        <v>0</v>
      </c>
      <c r="K766" s="7">
        <f t="shared" si="24"/>
        <v>3.0952407500000003</v>
      </c>
      <c r="L766" s="8">
        <f t="shared" si="25"/>
        <v>0.101784</v>
      </c>
      <c r="M766" s="9">
        <v>4.2859210459359398E-7</v>
      </c>
      <c r="N766" s="9">
        <v>5.3782444776894796E-6</v>
      </c>
      <c r="O766" s="2">
        <v>-4.1362237728942404</v>
      </c>
      <c r="P766" t="s">
        <v>2867</v>
      </c>
      <c r="Q766" s="10">
        <f>IF(N766&lt;='[1]statistical criteria'!$B$2,IF(O766&gt;=LOG('[1]statistical criteria'!$B$3,2),1,IF(O766&lt;=-1*LOG('[1]statistical criteria'!$B$3,2),2,"-")),"-")</f>
        <v>2</v>
      </c>
      <c r="R766" t="s">
        <v>2869</v>
      </c>
      <c r="S766" t="s">
        <v>2870</v>
      </c>
      <c r="T766">
        <v>0</v>
      </c>
      <c r="U766" t="s">
        <v>61</v>
      </c>
    </row>
    <row r="767" spans="1:21" x14ac:dyDescent="0.35">
      <c r="A767" t="s">
        <v>2871</v>
      </c>
      <c r="B767" t="s">
        <v>2872</v>
      </c>
      <c r="C767">
        <v>2260</v>
      </c>
      <c r="D767" s="5">
        <v>2.9593280000000002</v>
      </c>
      <c r="E767" s="5">
        <v>0.32267499999999999</v>
      </c>
      <c r="F767" s="5">
        <v>2.599234</v>
      </c>
      <c r="G767" s="5">
        <v>5.5427679999999997</v>
      </c>
      <c r="H767" s="11">
        <v>0</v>
      </c>
      <c r="I767" s="11">
        <v>0</v>
      </c>
      <c r="J767" s="11">
        <v>0</v>
      </c>
      <c r="K767" s="7">
        <f t="shared" si="24"/>
        <v>2.8560012500000003</v>
      </c>
      <c r="L767" s="8">
        <f t="shared" si="25"/>
        <v>0</v>
      </c>
      <c r="M767" s="9">
        <v>5.5141920400577401E-6</v>
      </c>
      <c r="N767" s="9">
        <v>5.3253019295761901E-5</v>
      </c>
      <c r="O767" s="2">
        <v>-4.1365830511639299</v>
      </c>
      <c r="P767" t="s">
        <v>2871</v>
      </c>
      <c r="Q767" s="10">
        <f>IF(N767&lt;='[1]statistical criteria'!$B$2,IF(O767&gt;=LOG('[1]statistical criteria'!$B$3,2),1,IF(O767&lt;=-1*LOG('[1]statistical criteria'!$B$3,2),2,"-")),"-")</f>
        <v>2</v>
      </c>
      <c r="R767" t="s">
        <v>2873</v>
      </c>
      <c r="S767" t="s">
        <v>2874</v>
      </c>
      <c r="T767">
        <v>0</v>
      </c>
      <c r="U767" t="s">
        <v>2875</v>
      </c>
    </row>
    <row r="768" spans="1:21" x14ac:dyDescent="0.35">
      <c r="A768" t="s">
        <v>2876</v>
      </c>
      <c r="B768" t="s">
        <v>2877</v>
      </c>
      <c r="C768">
        <v>1468</v>
      </c>
      <c r="D768" s="5">
        <v>74.175442000000004</v>
      </c>
      <c r="E768" s="5">
        <v>62.521028999999999</v>
      </c>
      <c r="F768" s="5">
        <v>42.262425999999998</v>
      </c>
      <c r="G768" s="5">
        <v>44.463341999999997</v>
      </c>
      <c r="H768" s="6">
        <v>2.1420699999999999</v>
      </c>
      <c r="I768" s="6">
        <v>6.2751710000000003</v>
      </c>
      <c r="J768" s="11">
        <v>0</v>
      </c>
      <c r="K768" s="7">
        <f t="shared" si="24"/>
        <v>55.855559749999998</v>
      </c>
      <c r="L768" s="8">
        <f t="shared" si="25"/>
        <v>2.8057470000000002</v>
      </c>
      <c r="M768" s="9">
        <v>6.27570283693131E-7</v>
      </c>
      <c r="N768" s="9">
        <v>7.5802364320407998E-6</v>
      </c>
      <c r="O768" s="2">
        <v>-4.13869018150013</v>
      </c>
      <c r="P768" t="s">
        <v>2876</v>
      </c>
      <c r="Q768" s="10">
        <f>IF(N768&lt;='[1]statistical criteria'!$B$2,IF(O768&gt;=LOG('[1]statistical criteria'!$B$3,2),1,IF(O768&lt;=-1*LOG('[1]statistical criteria'!$B$3,2),2,"-")),"-")</f>
        <v>2</v>
      </c>
      <c r="R768" t="s">
        <v>1873</v>
      </c>
      <c r="S768" t="s">
        <v>2878</v>
      </c>
      <c r="T768">
        <v>0</v>
      </c>
      <c r="U768" t="s">
        <v>1875</v>
      </c>
    </row>
    <row r="769" spans="1:21" x14ac:dyDescent="0.35">
      <c r="A769" t="s">
        <v>2879</v>
      </c>
      <c r="B769" t="s">
        <v>2880</v>
      </c>
      <c r="C769">
        <v>1482</v>
      </c>
      <c r="D769" s="5">
        <v>8.7678860000000007</v>
      </c>
      <c r="E769" s="5">
        <v>5.8734770000000003</v>
      </c>
      <c r="F769" s="5">
        <v>9.4371519999999993</v>
      </c>
      <c r="G769" s="5">
        <v>3.321377</v>
      </c>
      <c r="H769" s="11">
        <v>0</v>
      </c>
      <c r="I769" s="11">
        <v>0</v>
      </c>
      <c r="J769" s="6">
        <v>1.625084</v>
      </c>
      <c r="K769" s="7">
        <f t="shared" si="24"/>
        <v>6.8499730000000003</v>
      </c>
      <c r="L769" s="8">
        <f t="shared" si="25"/>
        <v>0.54169466666666666</v>
      </c>
      <c r="M769">
        <v>1.1024789807631599E-4</v>
      </c>
      <c r="N769">
        <v>7.4134894006794999E-4</v>
      </c>
      <c r="O769" s="2">
        <v>-4.1395836117571401</v>
      </c>
      <c r="P769" t="s">
        <v>2879</v>
      </c>
      <c r="Q769" s="10">
        <f>IF(N769&lt;='[1]statistical criteria'!$B$2,IF(O769&gt;=LOG('[1]statistical criteria'!$B$3,2),1,IF(O769&lt;=-1*LOG('[1]statistical criteria'!$B$3,2),2,"-")),"-")</f>
        <v>2</v>
      </c>
      <c r="R769" t="s">
        <v>151</v>
      </c>
      <c r="S769" t="s">
        <v>2881</v>
      </c>
      <c r="T769" s="9">
        <v>7.9999999999999995E-157</v>
      </c>
      <c r="U769" t="s">
        <v>153</v>
      </c>
    </row>
    <row r="770" spans="1:21" x14ac:dyDescent="0.35">
      <c r="A770" t="s">
        <v>2882</v>
      </c>
      <c r="B770" t="s">
        <v>2883</v>
      </c>
      <c r="C770">
        <v>2361</v>
      </c>
      <c r="D770" s="5">
        <v>16.321209</v>
      </c>
      <c r="E770" s="5">
        <v>23.061057999999999</v>
      </c>
      <c r="F770" s="5">
        <v>35.086613</v>
      </c>
      <c r="G770" s="5">
        <v>28.119104</v>
      </c>
      <c r="H770" s="6">
        <v>0.51900999999999997</v>
      </c>
      <c r="I770" s="6">
        <v>3.265495</v>
      </c>
      <c r="J770" s="11">
        <v>0</v>
      </c>
      <c r="K770" s="7">
        <f t="shared" si="24"/>
        <v>25.646996000000001</v>
      </c>
      <c r="L770" s="8">
        <f t="shared" si="25"/>
        <v>1.2615016666666667</v>
      </c>
      <c r="M770" s="9">
        <v>9.4695084756985406E-8</v>
      </c>
      <c r="N770" s="9">
        <v>1.3729885431812799E-6</v>
      </c>
      <c r="O770" s="2">
        <v>-4.1421948074893002</v>
      </c>
      <c r="P770" t="s">
        <v>2882</v>
      </c>
      <c r="Q770" s="10">
        <f>IF(N770&lt;='[1]statistical criteria'!$B$2,IF(O770&gt;=LOG('[1]statistical criteria'!$B$3,2),1,IF(O770&lt;=-1*LOG('[1]statistical criteria'!$B$3,2),2,"-")),"-")</f>
        <v>2</v>
      </c>
      <c r="R770" t="s">
        <v>2884</v>
      </c>
      <c r="S770" t="s">
        <v>2885</v>
      </c>
      <c r="T770">
        <v>0</v>
      </c>
      <c r="U770" t="s">
        <v>2886</v>
      </c>
    </row>
    <row r="771" spans="1:21" x14ac:dyDescent="0.35">
      <c r="A771" t="s">
        <v>2887</v>
      </c>
      <c r="B771" t="s">
        <v>2888</v>
      </c>
      <c r="C771">
        <v>897</v>
      </c>
      <c r="D771" s="5">
        <v>1.700502</v>
      </c>
      <c r="E771" s="5">
        <v>3.9600520000000001</v>
      </c>
      <c r="F771" s="5">
        <v>1.0605469999999999</v>
      </c>
      <c r="G771" s="5">
        <v>3.0166930000000001</v>
      </c>
      <c r="H771" s="11">
        <v>0</v>
      </c>
      <c r="I771" s="11">
        <v>0</v>
      </c>
      <c r="J771" s="11">
        <v>0</v>
      </c>
      <c r="K771" s="7">
        <f t="shared" si="24"/>
        <v>2.4344485000000002</v>
      </c>
      <c r="L771" s="8">
        <f t="shared" si="25"/>
        <v>0</v>
      </c>
      <c r="M771" s="9">
        <v>8.9459497200656994E-6</v>
      </c>
      <c r="N771" s="9">
        <v>8.1925612691458304E-5</v>
      </c>
      <c r="O771" s="2">
        <v>-4.1463793238614999</v>
      </c>
      <c r="P771" t="s">
        <v>2887</v>
      </c>
      <c r="Q771" s="10">
        <f>IF(N771&lt;='[1]statistical criteria'!$B$2,IF(O771&gt;=LOG('[1]statistical criteria'!$B$3,2),1,IF(O771&lt;=-1*LOG('[1]statistical criteria'!$B$3,2),2,"-")),"-")</f>
        <v>2</v>
      </c>
      <c r="R771" t="s">
        <v>2889</v>
      </c>
      <c r="S771" t="s">
        <v>2890</v>
      </c>
      <c r="T771" s="9">
        <v>6.0000000000000001E-99</v>
      </c>
      <c r="U771" t="s">
        <v>2891</v>
      </c>
    </row>
    <row r="772" spans="1:21" x14ac:dyDescent="0.35">
      <c r="A772" t="s">
        <v>2892</v>
      </c>
      <c r="B772" t="s">
        <v>2893</v>
      </c>
      <c r="C772">
        <v>996</v>
      </c>
      <c r="D772" s="5">
        <v>4.3916139999999997</v>
      </c>
      <c r="E772" s="5">
        <v>5.7855030000000003</v>
      </c>
      <c r="F772" s="5">
        <v>4.9522870000000001</v>
      </c>
      <c r="G772" s="5">
        <v>1.720483</v>
      </c>
      <c r="H772" s="6">
        <v>0.341086</v>
      </c>
      <c r="I772" s="11">
        <v>0</v>
      </c>
      <c r="J772" s="11">
        <v>0</v>
      </c>
      <c r="K772" s="7">
        <f t="shared" si="24"/>
        <v>4.2124717499999997</v>
      </c>
      <c r="L772" s="8">
        <f t="shared" si="25"/>
        <v>0.11369533333333333</v>
      </c>
      <c r="M772" s="9">
        <v>1.14394963894265E-5</v>
      </c>
      <c r="N772">
        <v>1.0120577233416399E-4</v>
      </c>
      <c r="O772" s="2">
        <v>-4.1472785814917801</v>
      </c>
      <c r="P772" t="s">
        <v>2892</v>
      </c>
      <c r="Q772" s="10">
        <f>IF(N772&lt;='[1]statistical criteria'!$B$2,IF(O772&gt;=LOG('[1]statistical criteria'!$B$3,2),1,IF(O772&lt;=-1*LOG('[1]statistical criteria'!$B$3,2),2,"-")),"-")</f>
        <v>2</v>
      </c>
      <c r="S772" t="s">
        <v>2894</v>
      </c>
      <c r="T772" s="9">
        <v>1E-51</v>
      </c>
      <c r="U772" t="s">
        <v>61</v>
      </c>
    </row>
    <row r="773" spans="1:21" x14ac:dyDescent="0.35">
      <c r="A773" t="s">
        <v>2895</v>
      </c>
      <c r="B773" t="s">
        <v>2896</v>
      </c>
      <c r="C773">
        <v>1656</v>
      </c>
      <c r="D773" s="5">
        <v>2.5947789999999999</v>
      </c>
      <c r="E773" s="5">
        <v>2.3005019999999998</v>
      </c>
      <c r="F773" s="5">
        <v>4.7466609999999996</v>
      </c>
      <c r="G773" s="5">
        <v>2.7244429999999999</v>
      </c>
      <c r="H773" s="11">
        <v>0</v>
      </c>
      <c r="I773" s="11">
        <v>0</v>
      </c>
      <c r="J773" s="11">
        <v>0</v>
      </c>
      <c r="K773" s="7">
        <f t="shared" si="24"/>
        <v>3.0915962500000003</v>
      </c>
      <c r="L773" s="8">
        <f t="shared" si="25"/>
        <v>0</v>
      </c>
      <c r="M773" s="9">
        <v>5.5470948587888998E-6</v>
      </c>
      <c r="N773" s="9">
        <v>5.3502896686646101E-5</v>
      </c>
      <c r="O773" s="2">
        <v>-4.14753568258873</v>
      </c>
      <c r="P773" t="s">
        <v>2895</v>
      </c>
      <c r="Q773" s="10">
        <f>IF(N773&lt;='[1]statistical criteria'!$B$2,IF(O773&gt;=LOG('[1]statistical criteria'!$B$3,2),1,IF(O773&lt;=-1*LOG('[1]statistical criteria'!$B$3,2),2,"-")),"-")</f>
        <v>2</v>
      </c>
      <c r="R773" t="s">
        <v>2897</v>
      </c>
      <c r="S773" t="s">
        <v>2898</v>
      </c>
      <c r="T773" s="9">
        <v>3E-176</v>
      </c>
      <c r="U773" t="s">
        <v>2899</v>
      </c>
    </row>
    <row r="774" spans="1:21" x14ac:dyDescent="0.35">
      <c r="A774" t="s">
        <v>2900</v>
      </c>
      <c r="B774" t="s">
        <v>2901</v>
      </c>
      <c r="C774">
        <v>3570</v>
      </c>
      <c r="D774" s="5">
        <v>1.2061550000000001</v>
      </c>
      <c r="E774" s="5">
        <v>0.94437400000000005</v>
      </c>
      <c r="F774" s="5">
        <v>2.4204460000000001</v>
      </c>
      <c r="G774" s="5">
        <v>3.4484400000000002</v>
      </c>
      <c r="H774" s="11">
        <v>0</v>
      </c>
      <c r="I774" s="11">
        <v>0</v>
      </c>
      <c r="J774" s="6">
        <v>5.8427E-2</v>
      </c>
      <c r="K774" s="7">
        <f t="shared" si="24"/>
        <v>2.0048537500000001</v>
      </c>
      <c r="L774" s="8">
        <f t="shared" si="25"/>
        <v>1.9475666666666665E-2</v>
      </c>
      <c r="M774" s="9">
        <v>1.07532299623516E-7</v>
      </c>
      <c r="N774" s="9">
        <v>1.5339877525003901E-6</v>
      </c>
      <c r="O774" s="2">
        <v>-4.1488813832841398</v>
      </c>
      <c r="P774" t="s">
        <v>2900</v>
      </c>
      <c r="Q774" s="10">
        <f>IF(N774&lt;='[1]statistical criteria'!$B$2,IF(O774&gt;=LOG('[1]statistical criteria'!$B$3,2),1,IF(O774&lt;=-1*LOG('[1]statistical criteria'!$B$3,2),2,"-")),"-")</f>
        <v>2</v>
      </c>
      <c r="R774" t="s">
        <v>2902</v>
      </c>
      <c r="S774" t="s">
        <v>2903</v>
      </c>
      <c r="T774" s="9">
        <v>5.9999999999999998E-22</v>
      </c>
      <c r="U774" t="s">
        <v>2904</v>
      </c>
    </row>
    <row r="775" spans="1:21" x14ac:dyDescent="0.35">
      <c r="A775" t="s">
        <v>2905</v>
      </c>
      <c r="B775" t="s">
        <v>2906</v>
      </c>
      <c r="C775">
        <v>522</v>
      </c>
      <c r="D775" s="5">
        <v>30.676911</v>
      </c>
      <c r="E775" s="5">
        <v>21.239108999999999</v>
      </c>
      <c r="F775" s="5">
        <v>22.433603999999999</v>
      </c>
      <c r="G775" s="5">
        <v>39.466009</v>
      </c>
      <c r="H775" s="11">
        <v>0</v>
      </c>
      <c r="I775" s="6">
        <v>7.4237120000000001</v>
      </c>
      <c r="J775" s="11">
        <v>0</v>
      </c>
      <c r="K775" s="7">
        <f t="shared" si="24"/>
        <v>28.453908250000001</v>
      </c>
      <c r="L775" s="8">
        <f t="shared" si="25"/>
        <v>2.4745706666666667</v>
      </c>
      <c r="M775" s="9">
        <v>8.4219063778636004E-9</v>
      </c>
      <c r="N775" s="9">
        <v>1.5234684255774199E-7</v>
      </c>
      <c r="O775" s="2">
        <v>-4.1493190818440704</v>
      </c>
      <c r="P775" t="s">
        <v>2905</v>
      </c>
      <c r="Q775" s="10">
        <f>IF(N775&lt;='[1]statistical criteria'!$B$2,IF(O775&gt;=LOG('[1]statistical criteria'!$B$3,2),1,IF(O775&lt;=-1*LOG('[1]statistical criteria'!$B$3,2),2,"-")),"-")</f>
        <v>2</v>
      </c>
      <c r="R775" t="s">
        <v>2907</v>
      </c>
      <c r="S775" t="s">
        <v>2908</v>
      </c>
      <c r="T775" s="9">
        <v>2.9999999999999998E-13</v>
      </c>
      <c r="U775" t="s">
        <v>2222</v>
      </c>
    </row>
    <row r="776" spans="1:21" x14ac:dyDescent="0.35">
      <c r="A776" t="s">
        <v>2909</v>
      </c>
      <c r="B776" t="s">
        <v>2910</v>
      </c>
      <c r="C776">
        <v>3147</v>
      </c>
      <c r="D776" s="5">
        <v>0.74912599999999996</v>
      </c>
      <c r="E776" s="5">
        <v>3.6417540000000002</v>
      </c>
      <c r="F776" s="5">
        <v>1.345648</v>
      </c>
      <c r="G776" s="5">
        <v>0.41586600000000001</v>
      </c>
      <c r="H776" s="11">
        <v>0</v>
      </c>
      <c r="I776" s="11">
        <v>0</v>
      </c>
      <c r="J776" s="11">
        <v>0</v>
      </c>
      <c r="K776" s="7">
        <f t="shared" si="24"/>
        <v>1.5380985</v>
      </c>
      <c r="L776" s="8">
        <f t="shared" si="25"/>
        <v>0</v>
      </c>
      <c r="M776" s="9">
        <v>8.8094112780735093E-6</v>
      </c>
      <c r="N776" s="9">
        <v>8.0791853793609102E-5</v>
      </c>
      <c r="O776" s="2">
        <v>-4.1514841012137502</v>
      </c>
      <c r="P776" t="s">
        <v>2909</v>
      </c>
      <c r="Q776" s="10">
        <f>IF(N776&lt;='[1]statistical criteria'!$B$2,IF(O776&gt;=LOG('[1]statistical criteria'!$B$3,2),1,IF(O776&lt;=-1*LOG('[1]statistical criteria'!$B$3,2),2,"-")),"-")</f>
        <v>2</v>
      </c>
      <c r="R776" t="s">
        <v>2911</v>
      </c>
    </row>
    <row r="777" spans="1:21" x14ac:dyDescent="0.35">
      <c r="A777" t="s">
        <v>2912</v>
      </c>
      <c r="B777" t="s">
        <v>2913</v>
      </c>
      <c r="C777">
        <v>512</v>
      </c>
      <c r="D777" s="5">
        <v>2.1893929999999999</v>
      </c>
      <c r="E777" s="5">
        <v>10.149157000000001</v>
      </c>
      <c r="F777" s="5">
        <v>8.1525280000000002</v>
      </c>
      <c r="G777" s="5">
        <v>4.2936199999999998</v>
      </c>
      <c r="H777" s="11">
        <v>0</v>
      </c>
      <c r="I777" s="11">
        <v>0</v>
      </c>
      <c r="J777" s="11">
        <v>0</v>
      </c>
      <c r="K777" s="7">
        <f t="shared" si="24"/>
        <v>6.1961745000000006</v>
      </c>
      <c r="L777" s="8">
        <f t="shared" si="25"/>
        <v>0</v>
      </c>
      <c r="M777" s="9">
        <v>9.3890418107162198E-6</v>
      </c>
      <c r="N777" s="9">
        <v>8.5407966375683405E-5</v>
      </c>
      <c r="O777" s="2">
        <v>-4.1517384290139701</v>
      </c>
      <c r="P777" t="s">
        <v>2912</v>
      </c>
      <c r="Q777" s="10">
        <f>IF(N777&lt;='[1]statistical criteria'!$B$2,IF(O777&gt;=LOG('[1]statistical criteria'!$B$3,2),1,IF(O777&lt;=-1*LOG('[1]statistical criteria'!$B$3,2),2,"-")),"-")</f>
        <v>2</v>
      </c>
      <c r="R777" t="s">
        <v>2914</v>
      </c>
      <c r="S777" t="s">
        <v>2915</v>
      </c>
      <c r="T777">
        <v>0</v>
      </c>
      <c r="U777" t="s">
        <v>2916</v>
      </c>
    </row>
    <row r="778" spans="1:21" x14ac:dyDescent="0.35">
      <c r="A778" t="s">
        <v>2917</v>
      </c>
      <c r="B778" t="s">
        <v>2918</v>
      </c>
      <c r="C778">
        <v>633</v>
      </c>
      <c r="D778" s="5">
        <v>0.78945600000000005</v>
      </c>
      <c r="E778" s="5">
        <v>8.1192869999999999</v>
      </c>
      <c r="F778" s="5">
        <v>2.4524279999999998</v>
      </c>
      <c r="G778" s="5">
        <v>6.4295629999999999</v>
      </c>
      <c r="H778" s="11">
        <v>0</v>
      </c>
      <c r="I778" s="11">
        <v>0</v>
      </c>
      <c r="J778" s="11">
        <v>0</v>
      </c>
      <c r="K778" s="7">
        <f t="shared" si="24"/>
        <v>4.4476835000000001</v>
      </c>
      <c r="L778" s="8">
        <f t="shared" si="25"/>
        <v>0</v>
      </c>
      <c r="M778" s="9">
        <v>1.1361465700613099E-5</v>
      </c>
      <c r="N778">
        <v>1.0063239110201E-4</v>
      </c>
      <c r="O778" s="2">
        <v>-4.15184821248085</v>
      </c>
      <c r="P778" t="s">
        <v>2917</v>
      </c>
      <c r="Q778" s="10">
        <f>IF(N778&lt;='[1]statistical criteria'!$B$2,IF(O778&gt;=LOG('[1]statistical criteria'!$B$3,2),1,IF(O778&lt;=-1*LOG('[1]statistical criteria'!$B$3,2),2,"-")),"-")</f>
        <v>2</v>
      </c>
    </row>
    <row r="779" spans="1:21" x14ac:dyDescent="0.35">
      <c r="A779" t="s">
        <v>2919</v>
      </c>
      <c r="B779" t="s">
        <v>2920</v>
      </c>
      <c r="C779">
        <v>321</v>
      </c>
      <c r="D779" s="5">
        <v>11.348457</v>
      </c>
      <c r="E779" s="5">
        <v>31.083684999999999</v>
      </c>
      <c r="F779" s="5">
        <v>2.1735259999999998</v>
      </c>
      <c r="G779" s="5">
        <v>38.665627999999998</v>
      </c>
      <c r="H779" s="11">
        <v>0</v>
      </c>
      <c r="I779" s="11">
        <v>0</v>
      </c>
      <c r="J779" s="11">
        <v>0</v>
      </c>
      <c r="K779" s="7">
        <f t="shared" si="24"/>
        <v>20.817824000000002</v>
      </c>
      <c r="L779" s="8">
        <f t="shared" si="25"/>
        <v>0</v>
      </c>
      <c r="M779" s="9">
        <v>6.2440598482271805E-10</v>
      </c>
      <c r="N779" s="9">
        <v>1.3857079756473799E-8</v>
      </c>
      <c r="O779" s="2">
        <v>-4.1556515462379702</v>
      </c>
      <c r="P779" t="s">
        <v>2919</v>
      </c>
      <c r="Q779" s="10">
        <f>IF(N779&lt;='[1]statistical criteria'!$B$2,IF(O779&gt;=LOG('[1]statistical criteria'!$B$3,2),1,IF(O779&lt;=-1*LOG('[1]statistical criteria'!$B$3,2),2,"-")),"-")</f>
        <v>2</v>
      </c>
      <c r="R779" t="s">
        <v>2921</v>
      </c>
      <c r="S779" t="s">
        <v>2922</v>
      </c>
      <c r="T779" s="9">
        <v>2.0000000000000001E-58</v>
      </c>
      <c r="U779" t="s">
        <v>625</v>
      </c>
    </row>
    <row r="780" spans="1:21" x14ac:dyDescent="0.35">
      <c r="A780" t="s">
        <v>2923</v>
      </c>
      <c r="B780" t="s">
        <v>2924</v>
      </c>
      <c r="C780">
        <v>294</v>
      </c>
      <c r="D780" s="5">
        <v>7.2883979999999999</v>
      </c>
      <c r="E780" s="5">
        <v>77.455538000000004</v>
      </c>
      <c r="F780" s="5">
        <v>14.652357</v>
      </c>
      <c r="G780" s="5">
        <v>12.958804000000001</v>
      </c>
      <c r="H780" s="11">
        <v>0</v>
      </c>
      <c r="I780" s="11">
        <v>0</v>
      </c>
      <c r="J780" s="11">
        <v>0</v>
      </c>
      <c r="K780" s="7">
        <f t="shared" si="24"/>
        <v>28.08877425</v>
      </c>
      <c r="L780" s="8">
        <f t="shared" si="25"/>
        <v>0</v>
      </c>
      <c r="M780" s="9">
        <v>7.2870897557496499E-6</v>
      </c>
      <c r="N780" s="9">
        <v>6.8396211123016503E-5</v>
      </c>
      <c r="O780" s="2">
        <v>-4.1561890810460502</v>
      </c>
      <c r="P780" t="s">
        <v>2923</v>
      </c>
      <c r="Q780" s="10">
        <f>IF(N780&lt;='[1]statistical criteria'!$B$2,IF(O780&gt;=LOG('[1]statistical criteria'!$B$3,2),1,IF(O780&lt;=-1*LOG('[1]statistical criteria'!$B$3,2),2,"-")),"-")</f>
        <v>2</v>
      </c>
      <c r="R780" t="s">
        <v>2925</v>
      </c>
    </row>
    <row r="781" spans="1:21" x14ac:dyDescent="0.35">
      <c r="A781" t="s">
        <v>2926</v>
      </c>
      <c r="B781" t="s">
        <v>2927</v>
      </c>
      <c r="C781">
        <v>1355</v>
      </c>
      <c r="D781" s="5">
        <v>1.5992139999999999</v>
      </c>
      <c r="E781" s="5">
        <v>6.0422289999999998</v>
      </c>
      <c r="F781" s="5">
        <v>0.53833200000000003</v>
      </c>
      <c r="G781" s="5">
        <v>4.063002</v>
      </c>
      <c r="H781" s="11">
        <v>0</v>
      </c>
      <c r="I781" s="11">
        <v>0</v>
      </c>
      <c r="J781" s="11">
        <v>0</v>
      </c>
      <c r="K781" s="7">
        <f t="shared" si="24"/>
        <v>3.0606942500000001</v>
      </c>
      <c r="L781" s="8">
        <f t="shared" si="25"/>
        <v>0</v>
      </c>
      <c r="M781" s="9">
        <v>5.3371141659470003E-6</v>
      </c>
      <c r="N781" s="9">
        <v>5.1726652700774802E-5</v>
      </c>
      <c r="O781" s="2">
        <v>-4.1588658035300599</v>
      </c>
      <c r="P781" t="s">
        <v>2926</v>
      </c>
      <c r="Q781" s="10">
        <f>IF(N781&lt;='[1]statistical criteria'!$B$2,IF(O781&gt;=LOG('[1]statistical criteria'!$B$3,2),1,IF(O781&lt;=-1*LOG('[1]statistical criteria'!$B$3,2),2,"-")),"-")</f>
        <v>2</v>
      </c>
    </row>
    <row r="782" spans="1:21" x14ac:dyDescent="0.35">
      <c r="A782" t="s">
        <v>2928</v>
      </c>
      <c r="B782" t="s">
        <v>2929</v>
      </c>
      <c r="C782">
        <v>717</v>
      </c>
      <c r="D782" s="5">
        <v>16.221717999999999</v>
      </c>
      <c r="E782" s="5">
        <v>19.775047000000001</v>
      </c>
      <c r="F782" s="5">
        <v>15.704489000000001</v>
      </c>
      <c r="G782" s="5">
        <v>12.493743</v>
      </c>
      <c r="H782" s="11">
        <v>0</v>
      </c>
      <c r="I782" s="11">
        <v>0</v>
      </c>
      <c r="J782" s="6">
        <v>4.7698749999999999</v>
      </c>
      <c r="K782" s="7">
        <f t="shared" si="24"/>
        <v>16.04874925</v>
      </c>
      <c r="L782" s="8">
        <f t="shared" si="25"/>
        <v>1.5899583333333334</v>
      </c>
      <c r="M782" s="9">
        <v>3.7928814209943303E-5</v>
      </c>
      <c r="N782">
        <v>2.9400624619764601E-4</v>
      </c>
      <c r="O782" s="2">
        <v>-4.16024013049761</v>
      </c>
      <c r="P782" t="s">
        <v>2928</v>
      </c>
      <c r="Q782" s="10">
        <f>IF(N782&lt;='[1]statistical criteria'!$B$2,IF(O782&gt;=LOG('[1]statistical criteria'!$B$3,2),1,IF(O782&lt;=-1*LOG('[1]statistical criteria'!$B$3,2),2,"-")),"-")</f>
        <v>2</v>
      </c>
      <c r="R782" t="s">
        <v>2588</v>
      </c>
      <c r="S782" t="s">
        <v>2589</v>
      </c>
      <c r="T782" s="9">
        <v>2.9999999999999999E-50</v>
      </c>
      <c r="U782" t="s">
        <v>2590</v>
      </c>
    </row>
    <row r="783" spans="1:21" x14ac:dyDescent="0.35">
      <c r="A783" t="s">
        <v>2930</v>
      </c>
      <c r="B783" t="s">
        <v>2931</v>
      </c>
      <c r="C783">
        <v>1302</v>
      </c>
      <c r="D783" s="5">
        <v>4.6390840000000004</v>
      </c>
      <c r="E783" s="5">
        <v>10.132776</v>
      </c>
      <c r="F783" s="5">
        <v>9.732742</v>
      </c>
      <c r="G783" s="5">
        <v>7.3145939999999996</v>
      </c>
      <c r="H783" s="6">
        <v>1.4756149999999999</v>
      </c>
      <c r="I783" s="11">
        <v>0</v>
      </c>
      <c r="J783" s="11">
        <v>0</v>
      </c>
      <c r="K783" s="7">
        <f t="shared" si="24"/>
        <v>7.9547989999999995</v>
      </c>
      <c r="L783" s="8">
        <f t="shared" si="25"/>
        <v>0.49187166666666665</v>
      </c>
      <c r="M783" s="9">
        <v>1.63464513230492E-6</v>
      </c>
      <c r="N783" s="9">
        <v>1.7826531156310899E-5</v>
      </c>
      <c r="O783" s="2">
        <v>-4.1619247748117498</v>
      </c>
      <c r="P783" t="s">
        <v>2930</v>
      </c>
      <c r="Q783" s="10">
        <f>IF(N783&lt;='[1]statistical criteria'!$B$2,IF(O783&gt;=LOG('[1]statistical criteria'!$B$3,2),1,IF(O783&lt;=-1*LOG('[1]statistical criteria'!$B$3,2),2,"-")),"-")</f>
        <v>2</v>
      </c>
      <c r="R783" t="s">
        <v>2932</v>
      </c>
      <c r="S783" t="s">
        <v>2933</v>
      </c>
      <c r="T783" s="9">
        <v>2.9999999999999998E-136</v>
      </c>
      <c r="U783" t="s">
        <v>2934</v>
      </c>
    </row>
    <row r="784" spans="1:21" x14ac:dyDescent="0.35">
      <c r="A784" t="s">
        <v>2935</v>
      </c>
      <c r="B784" t="s">
        <v>2936</v>
      </c>
      <c r="C784">
        <v>995</v>
      </c>
      <c r="D784" s="5">
        <v>8.2405010000000001</v>
      </c>
      <c r="E784" s="5">
        <v>9.8827149999999993</v>
      </c>
      <c r="F784" s="5">
        <v>2.5099879999999999</v>
      </c>
      <c r="G784" s="5">
        <v>4.6991290000000001</v>
      </c>
      <c r="H784" s="6">
        <v>1.3663989999999999</v>
      </c>
      <c r="I784" s="11">
        <v>0</v>
      </c>
      <c r="J784" s="11">
        <v>0</v>
      </c>
      <c r="K784" s="7">
        <f t="shared" si="24"/>
        <v>6.3330832499999996</v>
      </c>
      <c r="L784" s="8">
        <f t="shared" si="25"/>
        <v>0.45546633333333331</v>
      </c>
      <c r="M784" s="9">
        <v>2.6046828009830401E-7</v>
      </c>
      <c r="N784" s="9">
        <v>3.4243256444011902E-6</v>
      </c>
      <c r="O784" s="2">
        <v>-4.1630448297996701</v>
      </c>
      <c r="P784" t="s">
        <v>2935</v>
      </c>
      <c r="Q784" s="10">
        <f>IF(N784&lt;='[1]statistical criteria'!$B$2,IF(O784&gt;=LOG('[1]statistical criteria'!$B$3,2),1,IF(O784&lt;=-1*LOG('[1]statistical criteria'!$B$3,2),2,"-")),"-")</f>
        <v>2</v>
      </c>
      <c r="R784" t="s">
        <v>2937</v>
      </c>
      <c r="S784" t="s">
        <v>2938</v>
      </c>
      <c r="T784" s="9">
        <v>8.9999999999999999E-83</v>
      </c>
      <c r="U784" t="s">
        <v>2939</v>
      </c>
    </row>
    <row r="785" spans="1:21" x14ac:dyDescent="0.35">
      <c r="A785" t="s">
        <v>2940</v>
      </c>
      <c r="B785" t="s">
        <v>2941</v>
      </c>
      <c r="C785">
        <v>2469</v>
      </c>
      <c r="D785" s="5">
        <v>5.1078749999999999</v>
      </c>
      <c r="E785" s="5">
        <v>3.5424500000000001</v>
      </c>
      <c r="F785" s="5">
        <v>3.6823260000000002</v>
      </c>
      <c r="G785" s="5">
        <v>7.3744909999999999</v>
      </c>
      <c r="H785" s="11">
        <v>0</v>
      </c>
      <c r="I785" s="6">
        <v>0.82642300000000002</v>
      </c>
      <c r="J785" s="11">
        <v>0</v>
      </c>
      <c r="K785" s="7">
        <f t="shared" si="24"/>
        <v>4.9267855000000003</v>
      </c>
      <c r="L785" s="8">
        <f t="shared" si="25"/>
        <v>0.27547433333333332</v>
      </c>
      <c r="M785" s="9">
        <v>7.3688631156131899E-12</v>
      </c>
      <c r="N785" s="9">
        <v>2.2135669311778801E-10</v>
      </c>
      <c r="O785" s="2">
        <v>-4.1630496694457202</v>
      </c>
      <c r="P785" t="s">
        <v>2940</v>
      </c>
      <c r="Q785" s="10">
        <f>IF(N785&lt;='[1]statistical criteria'!$B$2,IF(O785&gt;=LOG('[1]statistical criteria'!$B$3,2),1,IF(O785&lt;=-1*LOG('[1]statistical criteria'!$B$3,2),2,"-")),"-")</f>
        <v>2</v>
      </c>
      <c r="R785" t="s">
        <v>2942</v>
      </c>
      <c r="S785" t="s">
        <v>2943</v>
      </c>
      <c r="T785">
        <v>0</v>
      </c>
      <c r="U785" t="s">
        <v>2944</v>
      </c>
    </row>
    <row r="786" spans="1:21" x14ac:dyDescent="0.35">
      <c r="A786" t="s">
        <v>2945</v>
      </c>
      <c r="B786" t="s">
        <v>2946</v>
      </c>
      <c r="C786">
        <v>1572</v>
      </c>
      <c r="D786" s="5">
        <v>2.3461889999999999</v>
      </c>
      <c r="E786" s="5">
        <v>3.4908419999999998</v>
      </c>
      <c r="F786" s="5">
        <v>4.8516599999999999</v>
      </c>
      <c r="G786" s="5">
        <v>0.27617799999999998</v>
      </c>
      <c r="H786" s="11">
        <v>0</v>
      </c>
      <c r="I786" s="11">
        <v>0</v>
      </c>
      <c r="J786" s="11">
        <v>0</v>
      </c>
      <c r="K786" s="7">
        <f t="shared" si="24"/>
        <v>2.7412172499999996</v>
      </c>
      <c r="L786" s="8">
        <f t="shared" si="25"/>
        <v>0</v>
      </c>
      <c r="M786" s="9">
        <v>3.52760786639324E-6</v>
      </c>
      <c r="N786" s="9">
        <v>3.54437052256934E-5</v>
      </c>
      <c r="O786" s="2">
        <v>-4.1633108174087203</v>
      </c>
      <c r="P786" t="s">
        <v>2945</v>
      </c>
      <c r="Q786" s="10">
        <f>IF(N786&lt;='[1]statistical criteria'!$B$2,IF(O786&gt;=LOG('[1]statistical criteria'!$B$3,2),1,IF(O786&lt;=-1*LOG('[1]statistical criteria'!$B$3,2),2,"-")),"-")</f>
        <v>2</v>
      </c>
      <c r="R786" t="s">
        <v>419</v>
      </c>
      <c r="S786" t="s">
        <v>2947</v>
      </c>
      <c r="T786">
        <v>0</v>
      </c>
      <c r="U786" t="s">
        <v>421</v>
      </c>
    </row>
    <row r="787" spans="1:21" x14ac:dyDescent="0.35">
      <c r="A787" t="s">
        <v>2948</v>
      </c>
      <c r="B787" t="s">
        <v>2949</v>
      </c>
      <c r="C787">
        <v>756</v>
      </c>
      <c r="D787" s="5">
        <v>2.724764</v>
      </c>
      <c r="E787" s="5">
        <v>8.7777779999999996</v>
      </c>
      <c r="F787" s="5">
        <v>14.797726000000001</v>
      </c>
      <c r="G787" s="5">
        <v>8.5821240000000003</v>
      </c>
      <c r="H787" s="6">
        <v>0.49023</v>
      </c>
      <c r="I787" s="11">
        <v>0</v>
      </c>
      <c r="J787" s="11">
        <v>0</v>
      </c>
      <c r="K787" s="7">
        <f t="shared" si="24"/>
        <v>8.7205980000000007</v>
      </c>
      <c r="L787" s="8">
        <f t="shared" si="25"/>
        <v>0.16341</v>
      </c>
      <c r="M787" s="9">
        <v>4.1062391147174802E-7</v>
      </c>
      <c r="N787" s="9">
        <v>5.1663953952445398E-6</v>
      </c>
      <c r="O787" s="2">
        <v>-4.1667820537470401</v>
      </c>
      <c r="P787" t="s">
        <v>2948</v>
      </c>
      <c r="Q787" s="10">
        <f>IF(N787&lt;='[1]statistical criteria'!$B$2,IF(O787&gt;=LOG('[1]statistical criteria'!$B$3,2),1,IF(O787&lt;=-1*LOG('[1]statistical criteria'!$B$3,2),2,"-")),"-")</f>
        <v>2</v>
      </c>
      <c r="R787" t="s">
        <v>2950</v>
      </c>
      <c r="S787" t="s">
        <v>2951</v>
      </c>
      <c r="T787" s="9">
        <v>6.9999999999999995E-60</v>
      </c>
      <c r="U787" t="s">
        <v>61</v>
      </c>
    </row>
    <row r="788" spans="1:21" x14ac:dyDescent="0.35">
      <c r="A788" t="s">
        <v>2952</v>
      </c>
      <c r="B788" t="s">
        <v>2953</v>
      </c>
      <c r="C788">
        <v>1227</v>
      </c>
      <c r="D788" s="5">
        <v>533.90884100000005</v>
      </c>
      <c r="E788" s="5">
        <v>615.716094</v>
      </c>
      <c r="F788" s="5">
        <v>528.34153400000002</v>
      </c>
      <c r="G788" s="5">
        <v>565.99695899999995</v>
      </c>
      <c r="H788" s="6">
        <v>6.4485869999999998</v>
      </c>
      <c r="I788" s="6">
        <v>22.905184999999999</v>
      </c>
      <c r="J788" s="6">
        <v>3.554888</v>
      </c>
      <c r="K788" s="7">
        <f t="shared" si="24"/>
        <v>560.99085700000001</v>
      </c>
      <c r="L788" s="8">
        <f t="shared" si="25"/>
        <v>10.969553333333332</v>
      </c>
      <c r="M788" s="9">
        <v>2.7069563847363401E-30</v>
      </c>
      <c r="N788" s="9">
        <v>6.6900493508483996E-28</v>
      </c>
      <c r="O788" s="2">
        <v>-4.16787340392706</v>
      </c>
      <c r="P788" t="s">
        <v>2952</v>
      </c>
      <c r="Q788" s="10">
        <f>IF(N788&lt;='[1]statistical criteria'!$B$2,IF(O788&gt;=LOG('[1]statistical criteria'!$B$3,2),1,IF(O788&lt;=-1*LOG('[1]statistical criteria'!$B$3,2),2,"-")),"-")</f>
        <v>2</v>
      </c>
      <c r="R788" t="s">
        <v>408</v>
      </c>
      <c r="S788" t="s">
        <v>409</v>
      </c>
      <c r="T788" s="9">
        <v>7.9999999999999998E-154</v>
      </c>
      <c r="U788" t="s">
        <v>410</v>
      </c>
    </row>
    <row r="789" spans="1:21" x14ac:dyDescent="0.35">
      <c r="A789" t="s">
        <v>2954</v>
      </c>
      <c r="B789" t="s">
        <v>2955</v>
      </c>
      <c r="C789">
        <v>423</v>
      </c>
      <c r="D789" s="5">
        <v>6.0006930000000001</v>
      </c>
      <c r="E789" s="5">
        <v>8.8408350000000002</v>
      </c>
      <c r="F789" s="5">
        <v>7.2490610000000002</v>
      </c>
      <c r="G789" s="5">
        <v>12.187177999999999</v>
      </c>
      <c r="H789" s="11">
        <v>0</v>
      </c>
      <c r="I789" s="11">
        <v>0</v>
      </c>
      <c r="J789" s="11">
        <v>0</v>
      </c>
      <c r="K789" s="7">
        <f t="shared" si="24"/>
        <v>8.5694417499999993</v>
      </c>
      <c r="L789" s="8">
        <f t="shared" si="25"/>
        <v>0</v>
      </c>
      <c r="M789" s="9">
        <v>4.9841791631303698E-6</v>
      </c>
      <c r="N789" s="9">
        <v>4.8640476653523497E-5</v>
      </c>
      <c r="O789" s="2">
        <v>-4.1680917291916</v>
      </c>
      <c r="P789" t="s">
        <v>2954</v>
      </c>
      <c r="Q789" s="10">
        <f>IF(N789&lt;='[1]statistical criteria'!$B$2,IF(O789&gt;=LOG('[1]statistical criteria'!$B$3,2),1,IF(O789&lt;=-1*LOG('[1]statistical criteria'!$B$3,2),2,"-")),"-")</f>
        <v>2</v>
      </c>
      <c r="R789" t="s">
        <v>2956</v>
      </c>
      <c r="S789" t="s">
        <v>2957</v>
      </c>
      <c r="T789" s="9">
        <v>3.0000000000000001E-27</v>
      </c>
      <c r="U789" t="s">
        <v>61</v>
      </c>
    </row>
    <row r="790" spans="1:21" x14ac:dyDescent="0.35">
      <c r="A790" t="s">
        <v>2958</v>
      </c>
      <c r="B790" t="s">
        <v>2959</v>
      </c>
      <c r="C790">
        <v>1380</v>
      </c>
      <c r="D790" s="5">
        <v>3.918463</v>
      </c>
      <c r="E790" s="5">
        <v>1.3638479999999999</v>
      </c>
      <c r="F790" s="5">
        <v>2.8884460000000001</v>
      </c>
      <c r="G790" s="5">
        <v>3.8046120000000001</v>
      </c>
      <c r="H790" s="11">
        <v>0</v>
      </c>
      <c r="I790" s="11">
        <v>0</v>
      </c>
      <c r="J790" s="11">
        <v>0</v>
      </c>
      <c r="K790" s="7">
        <f t="shared" si="24"/>
        <v>2.9938422500000001</v>
      </c>
      <c r="L790" s="8">
        <f t="shared" si="25"/>
        <v>0</v>
      </c>
      <c r="M790" s="9">
        <v>7.4188664764437997E-6</v>
      </c>
      <c r="N790" s="9">
        <v>6.9393477044347795E-5</v>
      </c>
      <c r="O790" s="2">
        <v>-4.16928337814391</v>
      </c>
      <c r="P790" t="s">
        <v>2958</v>
      </c>
      <c r="Q790" s="10">
        <f>IF(N790&lt;='[1]statistical criteria'!$B$2,IF(O790&gt;=LOG('[1]statistical criteria'!$B$3,2),1,IF(O790&lt;=-1*LOG('[1]statistical criteria'!$B$3,2),2,"-")),"-")</f>
        <v>2</v>
      </c>
      <c r="R790" t="s">
        <v>2960</v>
      </c>
      <c r="S790" t="s">
        <v>2961</v>
      </c>
      <c r="T790" s="9">
        <v>5E-108</v>
      </c>
      <c r="U790" t="s">
        <v>2962</v>
      </c>
    </row>
    <row r="791" spans="1:21" x14ac:dyDescent="0.35">
      <c r="A791" t="s">
        <v>2963</v>
      </c>
      <c r="B791" t="s">
        <v>2964</v>
      </c>
      <c r="C791">
        <v>870</v>
      </c>
      <c r="D791" s="5">
        <v>22.652234</v>
      </c>
      <c r="E791" s="5">
        <v>15.543279</v>
      </c>
      <c r="F791" s="5">
        <v>11.006716000000001</v>
      </c>
      <c r="G791" s="5">
        <v>14.88341</v>
      </c>
      <c r="H791" s="11">
        <v>0</v>
      </c>
      <c r="I791" s="11">
        <v>0</v>
      </c>
      <c r="J791" s="6">
        <v>9.1247790000000002</v>
      </c>
      <c r="K791" s="7">
        <f t="shared" si="24"/>
        <v>16.02140975</v>
      </c>
      <c r="L791" s="8">
        <f t="shared" si="25"/>
        <v>3.0415930000000002</v>
      </c>
      <c r="M791" s="9">
        <v>2.3342189287262101E-6</v>
      </c>
      <c r="N791" s="9">
        <v>2.4555105701304502E-5</v>
      </c>
      <c r="O791" s="2">
        <v>-4.1705180092651402</v>
      </c>
      <c r="P791" t="s">
        <v>2963</v>
      </c>
      <c r="Q791" s="10">
        <f>IF(N791&lt;='[1]statistical criteria'!$B$2,IF(O791&gt;=LOG('[1]statistical criteria'!$B$3,2),1,IF(O791&lt;=-1*LOG('[1]statistical criteria'!$B$3,2),2,"-")),"-")</f>
        <v>2</v>
      </c>
      <c r="R791" t="s">
        <v>2965</v>
      </c>
      <c r="S791" t="s">
        <v>2966</v>
      </c>
      <c r="T791" s="9">
        <v>1.9999999999999999E-178</v>
      </c>
      <c r="U791" t="s">
        <v>2967</v>
      </c>
    </row>
    <row r="792" spans="1:21" x14ac:dyDescent="0.35">
      <c r="A792" t="s">
        <v>2968</v>
      </c>
      <c r="B792" t="s">
        <v>2969</v>
      </c>
      <c r="C792">
        <v>3210</v>
      </c>
      <c r="D792" s="5">
        <v>0.75922999999999996</v>
      </c>
      <c r="E792" s="5">
        <v>2.4084050000000001</v>
      </c>
      <c r="F792" s="5">
        <v>1.278027</v>
      </c>
      <c r="G792" s="5">
        <v>1.0555810000000001</v>
      </c>
      <c r="H792" s="11">
        <v>0</v>
      </c>
      <c r="I792" s="11">
        <v>0</v>
      </c>
      <c r="J792" s="11">
        <v>0</v>
      </c>
      <c r="K792" s="7">
        <f t="shared" si="24"/>
        <v>1.3753107500000001</v>
      </c>
      <c r="L792" s="8">
        <f t="shared" si="25"/>
        <v>0</v>
      </c>
      <c r="M792" s="9">
        <v>7.1133764992269997E-6</v>
      </c>
      <c r="N792" s="9">
        <v>6.6963915300662793E-5</v>
      </c>
      <c r="O792" s="2">
        <v>-4.1708208596035803</v>
      </c>
      <c r="P792" t="s">
        <v>2968</v>
      </c>
      <c r="Q792" s="10">
        <f>IF(N792&lt;='[1]statistical criteria'!$B$2,IF(O792&gt;=LOG('[1]statistical criteria'!$B$3,2),1,IF(O792&lt;=-1*LOG('[1]statistical criteria'!$B$3,2),2,"-")),"-")</f>
        <v>2</v>
      </c>
      <c r="R792" t="s">
        <v>2970</v>
      </c>
      <c r="S792" t="s">
        <v>2971</v>
      </c>
      <c r="T792">
        <v>0</v>
      </c>
      <c r="U792" t="s">
        <v>2972</v>
      </c>
    </row>
    <row r="793" spans="1:21" x14ac:dyDescent="0.35">
      <c r="A793" t="s">
        <v>2973</v>
      </c>
      <c r="B793" t="s">
        <v>2974</v>
      </c>
      <c r="C793">
        <v>738</v>
      </c>
      <c r="D793" s="5">
        <v>7.4191880000000001</v>
      </c>
      <c r="E793" s="5">
        <v>6.7532680000000003</v>
      </c>
      <c r="F793" s="5">
        <v>4.2511039999999998</v>
      </c>
      <c r="G793" s="5">
        <v>1.9398960000000001</v>
      </c>
      <c r="H793" s="11">
        <v>0</v>
      </c>
      <c r="I793" s="11">
        <v>0</v>
      </c>
      <c r="J793" s="6">
        <v>0.221114</v>
      </c>
      <c r="K793" s="7">
        <f t="shared" si="24"/>
        <v>5.0908640000000007</v>
      </c>
      <c r="L793" s="8">
        <f t="shared" si="25"/>
        <v>7.3704666666666668E-2</v>
      </c>
      <c r="M793" s="9">
        <v>3.9732589570734101E-11</v>
      </c>
      <c r="N793" s="9">
        <v>1.0801588279015299E-9</v>
      </c>
      <c r="O793" s="2">
        <v>-4.1733795449460596</v>
      </c>
      <c r="P793" t="s">
        <v>2973</v>
      </c>
      <c r="Q793" s="10">
        <f>IF(N793&lt;='[1]statistical criteria'!$B$2,IF(O793&gt;=LOG('[1]statistical criteria'!$B$3,2),1,IF(O793&lt;=-1*LOG('[1]statistical criteria'!$B$3,2),2,"-")),"-")</f>
        <v>2</v>
      </c>
      <c r="R793" t="s">
        <v>2975</v>
      </c>
      <c r="S793" t="s">
        <v>2976</v>
      </c>
      <c r="T793" s="9">
        <v>2.9999999999999998E-136</v>
      </c>
      <c r="U793" t="s">
        <v>2977</v>
      </c>
    </row>
    <row r="794" spans="1:21" x14ac:dyDescent="0.35">
      <c r="A794" t="s">
        <v>2978</v>
      </c>
      <c r="B794" t="s">
        <v>2979</v>
      </c>
      <c r="C794">
        <v>2075</v>
      </c>
      <c r="D794" s="5">
        <v>8.5555160000000008</v>
      </c>
      <c r="E794" s="5">
        <v>4.9334480000000003</v>
      </c>
      <c r="F794" s="5">
        <v>2.3052329999999999</v>
      </c>
      <c r="G794" s="5">
        <v>9.3599239999999995</v>
      </c>
      <c r="H794" s="11">
        <v>0</v>
      </c>
      <c r="I794" s="11">
        <v>0</v>
      </c>
      <c r="J794" s="6">
        <v>0.56462299999999999</v>
      </c>
      <c r="K794" s="7">
        <f t="shared" si="24"/>
        <v>6.28853025</v>
      </c>
      <c r="L794" s="8">
        <f t="shared" si="25"/>
        <v>0.18820766666666666</v>
      </c>
      <c r="M794" s="9">
        <v>3.7646114204445902E-8</v>
      </c>
      <c r="N794" s="9">
        <v>5.9775181753075099E-7</v>
      </c>
      <c r="O794" s="2">
        <v>-4.1787356091779797</v>
      </c>
      <c r="P794" t="s">
        <v>2978</v>
      </c>
      <c r="Q794" s="10">
        <f>IF(N794&lt;='[1]statistical criteria'!$B$2,IF(O794&gt;=LOG('[1]statistical criteria'!$B$3,2),1,IF(O794&lt;=-1*LOG('[1]statistical criteria'!$B$3,2),2,"-")),"-")</f>
        <v>2</v>
      </c>
      <c r="R794" t="s">
        <v>2980</v>
      </c>
      <c r="S794" t="s">
        <v>2981</v>
      </c>
      <c r="T794">
        <v>0</v>
      </c>
      <c r="U794" t="s">
        <v>2982</v>
      </c>
    </row>
    <row r="795" spans="1:21" x14ac:dyDescent="0.35">
      <c r="A795" t="s">
        <v>2983</v>
      </c>
      <c r="B795" t="s">
        <v>2984</v>
      </c>
      <c r="C795">
        <v>1806</v>
      </c>
      <c r="D795" s="5">
        <v>2.8994170000000001</v>
      </c>
      <c r="E795" s="5">
        <v>4.7497290000000003</v>
      </c>
      <c r="F795" s="5">
        <v>1.295042</v>
      </c>
      <c r="G795" s="5">
        <v>0.47140599999999999</v>
      </c>
      <c r="H795" s="11">
        <v>0</v>
      </c>
      <c r="I795" s="11">
        <v>0</v>
      </c>
      <c r="J795" s="11">
        <v>0</v>
      </c>
      <c r="K795" s="7">
        <f t="shared" si="24"/>
        <v>2.3538985000000001</v>
      </c>
      <c r="L795" s="8">
        <f t="shared" si="25"/>
        <v>0</v>
      </c>
      <c r="M795" s="9">
        <v>2.4712909022696201E-6</v>
      </c>
      <c r="N795" s="9">
        <v>2.58257363372821E-5</v>
      </c>
      <c r="O795" s="2">
        <v>-4.1793189935237498</v>
      </c>
      <c r="P795" t="s">
        <v>2983</v>
      </c>
      <c r="Q795" s="10">
        <f>IF(N795&lt;='[1]statistical criteria'!$B$2,IF(O795&gt;=LOG('[1]statistical criteria'!$B$3,2),1,IF(O795&lt;=-1*LOG('[1]statistical criteria'!$B$3,2),2,"-")),"-")</f>
        <v>2</v>
      </c>
      <c r="R795" t="s">
        <v>2985</v>
      </c>
      <c r="S795" t="s">
        <v>2986</v>
      </c>
      <c r="T795" s="9">
        <v>9.9999999999999993E-103</v>
      </c>
      <c r="U795" t="s">
        <v>61</v>
      </c>
    </row>
    <row r="796" spans="1:21" x14ac:dyDescent="0.35">
      <c r="A796" t="s">
        <v>2987</v>
      </c>
      <c r="B796" t="s">
        <v>2988</v>
      </c>
      <c r="C796">
        <v>2179</v>
      </c>
      <c r="D796" s="5">
        <v>8.4025510000000008</v>
      </c>
      <c r="E796" s="5">
        <v>12.765596</v>
      </c>
      <c r="F796" s="5">
        <v>5.6907329999999998</v>
      </c>
      <c r="G796" s="5">
        <v>7.7447480000000004</v>
      </c>
      <c r="H796" s="6">
        <v>1.2925199999999999</v>
      </c>
      <c r="I796" s="11">
        <v>0</v>
      </c>
      <c r="J796" s="11">
        <v>0</v>
      </c>
      <c r="K796" s="7">
        <f t="shared" si="24"/>
        <v>8.6509070000000001</v>
      </c>
      <c r="L796" s="8">
        <f t="shared" si="25"/>
        <v>0.43083999999999995</v>
      </c>
      <c r="M796" s="9">
        <v>3.4014937512914303E-5</v>
      </c>
      <c r="N796">
        <v>2.6726022331575501E-4</v>
      </c>
      <c r="O796" s="2">
        <v>-4.1813985868099897</v>
      </c>
      <c r="P796" t="s">
        <v>2987</v>
      </c>
      <c r="Q796" s="10">
        <f>IF(N796&lt;='[1]statistical criteria'!$B$2,IF(O796&gt;=LOG('[1]statistical criteria'!$B$3,2),1,IF(O796&lt;=-1*LOG('[1]statistical criteria'!$B$3,2),2,"-")),"-")</f>
        <v>2</v>
      </c>
      <c r="R796" t="s">
        <v>2989</v>
      </c>
      <c r="S796" t="s">
        <v>2990</v>
      </c>
      <c r="T796">
        <v>0</v>
      </c>
      <c r="U796" t="s">
        <v>2991</v>
      </c>
    </row>
    <row r="797" spans="1:21" x14ac:dyDescent="0.35">
      <c r="A797" t="s">
        <v>2992</v>
      </c>
      <c r="B797" t="s">
        <v>2993</v>
      </c>
      <c r="C797">
        <v>1887</v>
      </c>
      <c r="D797" s="5">
        <v>3.6593</v>
      </c>
      <c r="E797" s="5">
        <v>1.7624359999999999</v>
      </c>
      <c r="F797" s="5">
        <v>2.3952740000000001</v>
      </c>
      <c r="G797" s="5">
        <v>1.580111</v>
      </c>
      <c r="H797" s="11">
        <v>0</v>
      </c>
      <c r="I797" s="11">
        <v>0</v>
      </c>
      <c r="J797" s="11">
        <v>0</v>
      </c>
      <c r="K797" s="7">
        <f t="shared" si="24"/>
        <v>2.3492802500000001</v>
      </c>
      <c r="L797" s="8">
        <f t="shared" si="25"/>
        <v>0</v>
      </c>
      <c r="M797" s="9">
        <v>8.0486232011036E-9</v>
      </c>
      <c r="N797" s="9">
        <v>1.46219856340813E-7</v>
      </c>
      <c r="O797" s="2">
        <v>-4.1832800085110504</v>
      </c>
      <c r="P797" t="s">
        <v>2992</v>
      </c>
      <c r="Q797" s="10">
        <f>IF(N797&lt;='[1]statistical criteria'!$B$2,IF(O797&gt;=LOG('[1]statistical criteria'!$B$3,2),1,IF(O797&lt;=-1*LOG('[1]statistical criteria'!$B$3,2),2,"-")),"-")</f>
        <v>2</v>
      </c>
      <c r="S797" t="s">
        <v>2994</v>
      </c>
      <c r="T797" s="9">
        <v>3E-28</v>
      </c>
      <c r="U797" t="s">
        <v>2995</v>
      </c>
    </row>
    <row r="798" spans="1:21" x14ac:dyDescent="0.35">
      <c r="A798" t="s">
        <v>2996</v>
      </c>
      <c r="B798" t="s">
        <v>2997</v>
      </c>
      <c r="C798">
        <v>1249</v>
      </c>
      <c r="D798" s="5">
        <v>491.68952300000001</v>
      </c>
      <c r="E798" s="5">
        <v>551.81300899999997</v>
      </c>
      <c r="F798" s="5">
        <v>638.75915299999997</v>
      </c>
      <c r="G798" s="5">
        <v>492.13751400000001</v>
      </c>
      <c r="H798" s="6">
        <v>5.8987420000000004</v>
      </c>
      <c r="I798" s="6">
        <v>4.3804489999999996</v>
      </c>
      <c r="J798" s="6">
        <v>20.170293000000001</v>
      </c>
      <c r="K798" s="7">
        <f t="shared" si="24"/>
        <v>543.59979974999999</v>
      </c>
      <c r="L798" s="8">
        <f t="shared" si="25"/>
        <v>10.149828000000001</v>
      </c>
      <c r="M798" s="9">
        <v>4.0520056776200002E-34</v>
      </c>
      <c r="N798" s="9">
        <v>1.2383753303737801E-31</v>
      </c>
      <c r="O798" s="2">
        <v>-4.18369625077489</v>
      </c>
      <c r="P798" t="s">
        <v>2996</v>
      </c>
      <c r="Q798" s="10">
        <f>IF(N798&lt;='[1]statistical criteria'!$B$2,IF(O798&gt;=LOG('[1]statistical criteria'!$B$3,2),1,IF(O798&lt;=-1*LOG('[1]statistical criteria'!$B$3,2),2,"-")),"-")</f>
        <v>2</v>
      </c>
      <c r="R798" t="s">
        <v>2998</v>
      </c>
      <c r="S798" t="s">
        <v>2999</v>
      </c>
      <c r="T798" s="9">
        <v>3.0000000000000003E-116</v>
      </c>
      <c r="U798" t="s">
        <v>3000</v>
      </c>
    </row>
    <row r="799" spans="1:21" x14ac:dyDescent="0.35">
      <c r="A799" t="s">
        <v>3001</v>
      </c>
      <c r="B799" t="s">
        <v>3002</v>
      </c>
      <c r="C799">
        <v>627</v>
      </c>
      <c r="D799" s="5">
        <v>12.750348000000001</v>
      </c>
      <c r="E799" s="5">
        <v>16.700617000000001</v>
      </c>
      <c r="F799" s="5">
        <v>2.5632299999999999</v>
      </c>
      <c r="G799" s="5">
        <v>6.1699320000000002</v>
      </c>
      <c r="H799" s="11">
        <v>0</v>
      </c>
      <c r="I799" s="11">
        <v>0</v>
      </c>
      <c r="J799" s="6">
        <v>0.36331999999999998</v>
      </c>
      <c r="K799" s="7">
        <f t="shared" si="24"/>
        <v>9.5460317500000009</v>
      </c>
      <c r="L799" s="8">
        <f t="shared" si="25"/>
        <v>0.12110666666666665</v>
      </c>
      <c r="M799" s="9">
        <v>1.4489749672084101E-6</v>
      </c>
      <c r="N799" s="9">
        <v>1.60081240208859E-5</v>
      </c>
      <c r="O799" s="2">
        <v>-4.1930203626873599</v>
      </c>
      <c r="P799" t="s">
        <v>3001</v>
      </c>
      <c r="Q799" s="10">
        <f>IF(N799&lt;='[1]statistical criteria'!$B$2,IF(O799&gt;=LOG('[1]statistical criteria'!$B$3,2),1,IF(O799&lt;=-1*LOG('[1]statistical criteria'!$B$3,2),2,"-")),"-")</f>
        <v>2</v>
      </c>
      <c r="R799" t="s">
        <v>3003</v>
      </c>
      <c r="S799" t="s">
        <v>3004</v>
      </c>
      <c r="T799" s="9">
        <v>4.0000000000000001E-97</v>
      </c>
      <c r="U799" t="s">
        <v>3005</v>
      </c>
    </row>
    <row r="800" spans="1:21" x14ac:dyDescent="0.35">
      <c r="A800" t="s">
        <v>3006</v>
      </c>
      <c r="B800" t="s">
        <v>3007</v>
      </c>
      <c r="C800">
        <v>780</v>
      </c>
      <c r="D800" s="5">
        <v>5.0400770000000001</v>
      </c>
      <c r="E800" s="5">
        <v>3.9159459999999999</v>
      </c>
      <c r="F800" s="5">
        <v>5.2681500000000003</v>
      </c>
      <c r="G800" s="5">
        <v>1.5206900000000001</v>
      </c>
      <c r="H800" s="11">
        <v>0</v>
      </c>
      <c r="I800" s="11">
        <v>0</v>
      </c>
      <c r="J800" s="11">
        <v>0</v>
      </c>
      <c r="K800" s="7">
        <f t="shared" si="24"/>
        <v>3.9362157500000001</v>
      </c>
      <c r="L800" s="8">
        <f t="shared" si="25"/>
        <v>0</v>
      </c>
      <c r="M800" s="9">
        <v>7.4508330678033401E-6</v>
      </c>
      <c r="N800" s="9">
        <v>6.9658242829917703E-5</v>
      </c>
      <c r="O800" s="2">
        <v>-4.1957681242912903</v>
      </c>
      <c r="P800" t="s">
        <v>3006</v>
      </c>
      <c r="Q800" s="10">
        <f>IF(N800&lt;='[1]statistical criteria'!$B$2,IF(O800&gt;=LOG('[1]statistical criteria'!$B$3,2),1,IF(O800&lt;=-1*LOG('[1]statistical criteria'!$B$3,2),2,"-")),"-")</f>
        <v>2</v>
      </c>
      <c r="R800" t="s">
        <v>3008</v>
      </c>
      <c r="S800" t="s">
        <v>3009</v>
      </c>
      <c r="T800" s="9">
        <v>3.9999999999999998E-144</v>
      </c>
      <c r="U800" t="s">
        <v>3010</v>
      </c>
    </row>
    <row r="801" spans="1:21" x14ac:dyDescent="0.35">
      <c r="A801" t="s">
        <v>3011</v>
      </c>
      <c r="B801" t="s">
        <v>3012</v>
      </c>
      <c r="C801">
        <v>1812</v>
      </c>
      <c r="D801" s="5">
        <v>1.3034049999999999</v>
      </c>
      <c r="E801" s="5">
        <v>1.275971</v>
      </c>
      <c r="F801" s="5">
        <v>3.1308880000000001</v>
      </c>
      <c r="G801" s="5">
        <v>4.0958740000000002</v>
      </c>
      <c r="H801" s="11">
        <v>0</v>
      </c>
      <c r="I801" s="11">
        <v>0</v>
      </c>
      <c r="J801" s="11">
        <v>0</v>
      </c>
      <c r="K801" s="7">
        <f t="shared" si="24"/>
        <v>2.4515345000000002</v>
      </c>
      <c r="L801" s="8">
        <f t="shared" si="25"/>
        <v>0</v>
      </c>
      <c r="M801" s="9">
        <v>1.1795912183219401E-6</v>
      </c>
      <c r="N801" s="9">
        <v>1.33457912512881E-5</v>
      </c>
      <c r="O801" s="2">
        <v>-4.2001386186428498</v>
      </c>
      <c r="P801" t="s">
        <v>3011</v>
      </c>
      <c r="Q801" s="10">
        <f>IF(N801&lt;='[1]statistical criteria'!$B$2,IF(O801&gt;=LOG('[1]statistical criteria'!$B$3,2),1,IF(O801&lt;=-1*LOG('[1]statistical criteria'!$B$3,2),2,"-")),"-")</f>
        <v>2</v>
      </c>
      <c r="R801" t="s">
        <v>3013</v>
      </c>
      <c r="S801" t="s">
        <v>3014</v>
      </c>
      <c r="T801">
        <v>0</v>
      </c>
      <c r="U801" t="s">
        <v>3015</v>
      </c>
    </row>
    <row r="802" spans="1:21" x14ac:dyDescent="0.35">
      <c r="A802" t="s">
        <v>3016</v>
      </c>
      <c r="B802" t="s">
        <v>3017</v>
      </c>
      <c r="C802">
        <v>1467</v>
      </c>
      <c r="D802" s="5">
        <v>7.0985760000000004</v>
      </c>
      <c r="E802" s="5">
        <v>8.6282270000000008</v>
      </c>
      <c r="F802" s="5">
        <v>6.5370990000000004</v>
      </c>
      <c r="G802" s="5">
        <v>3.9150040000000002</v>
      </c>
      <c r="H802" s="6">
        <v>0.62109199999999998</v>
      </c>
      <c r="I802" s="11">
        <v>0</v>
      </c>
      <c r="J802" s="11">
        <v>0</v>
      </c>
      <c r="K802" s="7">
        <f t="shared" si="24"/>
        <v>6.5447265000000003</v>
      </c>
      <c r="L802" s="8">
        <f t="shared" si="25"/>
        <v>0.20703066666666667</v>
      </c>
      <c r="M802" s="9">
        <v>9.7780158814059892E-13</v>
      </c>
      <c r="N802" s="9">
        <v>3.3801206580046498E-11</v>
      </c>
      <c r="O802" s="2">
        <v>-4.2027361938881302</v>
      </c>
      <c r="P802" t="s">
        <v>3016</v>
      </c>
      <c r="Q802" s="10">
        <f>IF(N802&lt;='[1]statistical criteria'!$B$2,IF(O802&gt;=LOG('[1]statistical criteria'!$B$3,2),1,IF(O802&lt;=-1*LOG('[1]statistical criteria'!$B$3,2),2,"-")),"-")</f>
        <v>2</v>
      </c>
      <c r="R802" t="s">
        <v>1881</v>
      </c>
      <c r="S802" t="s">
        <v>3018</v>
      </c>
      <c r="T802" s="9">
        <v>4.0000000000000001E-169</v>
      </c>
      <c r="U802" t="s">
        <v>1883</v>
      </c>
    </row>
    <row r="803" spans="1:21" x14ac:dyDescent="0.35">
      <c r="A803" t="s">
        <v>3019</v>
      </c>
      <c r="B803" t="s">
        <v>3020</v>
      </c>
      <c r="C803">
        <v>1074</v>
      </c>
      <c r="D803" s="5">
        <v>0.84496899999999997</v>
      </c>
      <c r="E803" s="5">
        <v>2.5992280000000001</v>
      </c>
      <c r="F803" s="5">
        <v>3.5503330000000002</v>
      </c>
      <c r="G803" s="5">
        <v>1.471498</v>
      </c>
      <c r="H803" s="11">
        <v>0</v>
      </c>
      <c r="I803" s="11">
        <v>0</v>
      </c>
      <c r="J803" s="11">
        <v>0</v>
      </c>
      <c r="K803" s="7">
        <f t="shared" si="24"/>
        <v>2.1165069999999999</v>
      </c>
      <c r="L803" s="8">
        <f t="shared" si="25"/>
        <v>0</v>
      </c>
      <c r="M803" s="9">
        <v>2.5543571830275101E-9</v>
      </c>
      <c r="N803" s="9">
        <v>5.1302814979433799E-8</v>
      </c>
      <c r="O803" s="2">
        <v>-4.2079809592811799</v>
      </c>
      <c r="P803" t="s">
        <v>3019</v>
      </c>
      <c r="Q803" s="10">
        <f>IF(N803&lt;='[1]statistical criteria'!$B$2,IF(O803&gt;=LOG('[1]statistical criteria'!$B$3,2),1,IF(O803&lt;=-1*LOG('[1]statistical criteria'!$B$3,2),2,"-")),"-")</f>
        <v>2</v>
      </c>
    </row>
    <row r="804" spans="1:21" x14ac:dyDescent="0.35">
      <c r="A804" t="s">
        <v>3021</v>
      </c>
      <c r="B804" t="s">
        <v>3022</v>
      </c>
      <c r="C804">
        <v>1086</v>
      </c>
      <c r="D804" s="5">
        <v>0.59397900000000003</v>
      </c>
      <c r="E804" s="5">
        <v>7.7857539999999998</v>
      </c>
      <c r="F804" s="5">
        <v>5.2382080000000002</v>
      </c>
      <c r="G804" s="5">
        <v>5.6883939999999997</v>
      </c>
      <c r="H804" s="11">
        <v>0</v>
      </c>
      <c r="I804" s="11">
        <v>0</v>
      </c>
      <c r="J804" s="11">
        <v>0</v>
      </c>
      <c r="K804" s="7">
        <f t="shared" si="24"/>
        <v>4.8265837500000002</v>
      </c>
      <c r="L804" s="8">
        <f t="shared" si="25"/>
        <v>0</v>
      </c>
      <c r="M804" s="9">
        <v>9.2404495411989398E-6</v>
      </c>
      <c r="N804" s="9">
        <v>8.4237487314498596E-5</v>
      </c>
      <c r="O804" s="2">
        <v>-4.2082311815475499</v>
      </c>
      <c r="P804" t="s">
        <v>3021</v>
      </c>
      <c r="Q804" s="10">
        <f>IF(N804&lt;='[1]statistical criteria'!$B$2,IF(O804&gt;=LOG('[1]statistical criteria'!$B$3,2),1,IF(O804&lt;=-1*LOG('[1]statistical criteria'!$B$3,2),2,"-")),"-")</f>
        <v>2</v>
      </c>
      <c r="R804" t="s">
        <v>3023</v>
      </c>
      <c r="S804" t="s">
        <v>3024</v>
      </c>
      <c r="T804" s="9">
        <v>2.9999999999999999E-88</v>
      </c>
      <c r="U804" t="s">
        <v>3025</v>
      </c>
    </row>
    <row r="805" spans="1:21" x14ac:dyDescent="0.35">
      <c r="A805" t="s">
        <v>3026</v>
      </c>
      <c r="B805" t="s">
        <v>3027</v>
      </c>
      <c r="C805">
        <v>1062</v>
      </c>
      <c r="D805" s="5">
        <v>29.457214</v>
      </c>
      <c r="E805" s="5">
        <v>22.540448000000001</v>
      </c>
      <c r="F805" s="5">
        <v>16.364333999999999</v>
      </c>
      <c r="G805" s="5">
        <v>21.288292999999999</v>
      </c>
      <c r="H805" s="6">
        <v>1.6581030000000001</v>
      </c>
      <c r="I805" s="11">
        <v>0</v>
      </c>
      <c r="J805" s="6">
        <v>2.1057290000000002</v>
      </c>
      <c r="K805" s="7">
        <f t="shared" si="24"/>
        <v>22.41257225</v>
      </c>
      <c r="L805" s="8">
        <f t="shared" si="25"/>
        <v>1.2546106666666668</v>
      </c>
      <c r="M805" s="9">
        <v>2.8407400493716401E-11</v>
      </c>
      <c r="N805" s="9">
        <v>7.8688912866873905E-10</v>
      </c>
      <c r="O805" s="2">
        <v>-4.2099337107237496</v>
      </c>
      <c r="P805" t="s">
        <v>3026</v>
      </c>
      <c r="Q805" s="10">
        <f>IF(N805&lt;='[1]statistical criteria'!$B$2,IF(O805&gt;=LOG('[1]statistical criteria'!$B$3,2),1,IF(O805&lt;=-1*LOG('[1]statistical criteria'!$B$3,2),2,"-")),"-")</f>
        <v>2</v>
      </c>
      <c r="R805" t="s">
        <v>317</v>
      </c>
      <c r="S805" t="s">
        <v>318</v>
      </c>
      <c r="T805" s="9">
        <v>3.9999999999999997E-124</v>
      </c>
      <c r="U805" t="s">
        <v>319</v>
      </c>
    </row>
    <row r="806" spans="1:21" x14ac:dyDescent="0.35">
      <c r="A806" t="s">
        <v>3028</v>
      </c>
      <c r="B806" t="s">
        <v>3029</v>
      </c>
      <c r="C806">
        <v>612</v>
      </c>
      <c r="D806" s="5">
        <v>67.179124999999999</v>
      </c>
      <c r="E806" s="5">
        <v>92.083613</v>
      </c>
      <c r="F806" s="5">
        <v>99.825216999999995</v>
      </c>
      <c r="G806" s="5">
        <v>76.608693000000002</v>
      </c>
      <c r="H806" s="6">
        <v>3.9453390000000002</v>
      </c>
      <c r="I806" s="6">
        <v>3.2713230000000002</v>
      </c>
      <c r="J806" s="6">
        <v>0.22173999999999999</v>
      </c>
      <c r="K806" s="7">
        <f t="shared" si="24"/>
        <v>83.92416200000001</v>
      </c>
      <c r="L806" s="8">
        <f t="shared" si="25"/>
        <v>2.4794673333333335</v>
      </c>
      <c r="M806" s="9">
        <v>2.1007706587616501E-18</v>
      </c>
      <c r="N806" s="9">
        <v>1.6832701320519699E-16</v>
      </c>
      <c r="O806" s="2">
        <v>-4.21173812957037</v>
      </c>
      <c r="P806" t="s">
        <v>3028</v>
      </c>
      <c r="Q806" s="10">
        <f>IF(N806&lt;='[1]statistical criteria'!$B$2,IF(O806&gt;=LOG('[1]statistical criteria'!$B$3,2),1,IF(O806&lt;=-1*LOG('[1]statistical criteria'!$B$3,2),2,"-")),"-")</f>
        <v>2</v>
      </c>
      <c r="R806" t="s">
        <v>3030</v>
      </c>
    </row>
    <row r="807" spans="1:21" x14ac:dyDescent="0.35">
      <c r="A807" t="s">
        <v>3031</v>
      </c>
      <c r="B807" t="s">
        <v>3032</v>
      </c>
      <c r="C807">
        <v>2748</v>
      </c>
      <c r="D807" s="5">
        <v>2.358851</v>
      </c>
      <c r="E807" s="5">
        <v>5.4813159999999996</v>
      </c>
      <c r="F807" s="5">
        <v>3.1613500000000001</v>
      </c>
      <c r="G807" s="5">
        <v>3.9162469999999998</v>
      </c>
      <c r="H807" s="6">
        <v>0.45868199999999998</v>
      </c>
      <c r="I807" s="11">
        <v>0</v>
      </c>
      <c r="J807" s="11">
        <v>0</v>
      </c>
      <c r="K807" s="7">
        <f t="shared" ref="K807:K870" si="26">AVERAGE(D807:G807)</f>
        <v>3.729441</v>
      </c>
      <c r="L807" s="8">
        <f t="shared" ref="L807:L870" si="27">AVERAGE(H807:J807)</f>
        <v>0.152894</v>
      </c>
      <c r="M807" s="9">
        <v>1.8678678766232899E-6</v>
      </c>
      <c r="N807" s="9">
        <v>2.0076546564327199E-5</v>
      </c>
      <c r="O807" s="2">
        <v>-4.2126282389580298</v>
      </c>
      <c r="P807" t="s">
        <v>3031</v>
      </c>
      <c r="Q807" s="10">
        <f>IF(N807&lt;='[1]statistical criteria'!$B$2,IF(O807&gt;=LOG('[1]statistical criteria'!$B$3,2),1,IF(O807&lt;=-1*LOG('[1]statistical criteria'!$B$3,2),2,"-")),"-")</f>
        <v>2</v>
      </c>
      <c r="S807" t="s">
        <v>3033</v>
      </c>
      <c r="T807" s="9">
        <v>2E-41</v>
      </c>
      <c r="U807" t="s">
        <v>3034</v>
      </c>
    </row>
    <row r="808" spans="1:21" x14ac:dyDescent="0.35">
      <c r="A808" t="s">
        <v>3035</v>
      </c>
      <c r="B808" t="s">
        <v>3036</v>
      </c>
      <c r="C808">
        <v>2229</v>
      </c>
      <c r="D808" s="5">
        <v>9.7088149999999995</v>
      </c>
      <c r="E808" s="5">
        <v>8.7460509999999996</v>
      </c>
      <c r="F808" s="5">
        <v>5.7190240000000001</v>
      </c>
      <c r="G808" s="5">
        <v>13.072163</v>
      </c>
      <c r="H808" s="6">
        <v>1.769827</v>
      </c>
      <c r="I808" s="11">
        <v>0</v>
      </c>
      <c r="J808" s="11">
        <v>0</v>
      </c>
      <c r="K808" s="7">
        <f t="shared" si="26"/>
        <v>9.3115132500000009</v>
      </c>
      <c r="L808" s="8">
        <f t="shared" si="27"/>
        <v>0.58994233333333335</v>
      </c>
      <c r="M808" s="9">
        <v>4.04771169908898E-5</v>
      </c>
      <c r="N808">
        <v>3.10596587232513E-4</v>
      </c>
      <c r="O808" s="2">
        <v>-4.2144003800273104</v>
      </c>
      <c r="P808" t="s">
        <v>3035</v>
      </c>
      <c r="Q808" s="10">
        <f>IF(N808&lt;='[1]statistical criteria'!$B$2,IF(O808&gt;=LOG('[1]statistical criteria'!$B$3,2),1,IF(O808&lt;=-1*LOG('[1]statistical criteria'!$B$3,2),2,"-")),"-")</f>
        <v>2</v>
      </c>
      <c r="R808" t="s">
        <v>3037</v>
      </c>
      <c r="S808" t="s">
        <v>3038</v>
      </c>
      <c r="T808">
        <v>0</v>
      </c>
      <c r="U808" t="s">
        <v>733</v>
      </c>
    </row>
    <row r="809" spans="1:21" x14ac:dyDescent="0.35">
      <c r="A809" t="s">
        <v>402</v>
      </c>
      <c r="B809" t="s">
        <v>3039</v>
      </c>
      <c r="C809">
        <v>1362</v>
      </c>
      <c r="D809" s="4">
        <v>0</v>
      </c>
      <c r="E809" s="5">
        <v>9.7855030000000003</v>
      </c>
      <c r="F809" s="5">
        <v>13.837164</v>
      </c>
      <c r="G809" s="5">
        <v>5.3903610000000004</v>
      </c>
      <c r="H809" s="11">
        <v>0</v>
      </c>
      <c r="I809" s="11">
        <v>0</v>
      </c>
      <c r="J809" s="11">
        <v>0</v>
      </c>
      <c r="K809" s="7">
        <f t="shared" si="26"/>
        <v>7.2532569999999996</v>
      </c>
      <c r="L809" s="8">
        <f t="shared" si="27"/>
        <v>0</v>
      </c>
      <c r="M809">
        <v>1.2406010837390599E-4</v>
      </c>
      <c r="N809">
        <v>8.2303080437700596E-4</v>
      </c>
      <c r="O809" s="2">
        <v>-4.2166961647424204</v>
      </c>
      <c r="P809" t="s">
        <v>402</v>
      </c>
      <c r="Q809" s="10">
        <f>IF(N809&lt;='[1]statistical criteria'!$B$2,IF(O809&gt;=LOG('[1]statistical criteria'!$B$3,2),1,IF(O809&lt;=-1*LOG('[1]statistical criteria'!$B$3,2),2,"-")),"-")</f>
        <v>2</v>
      </c>
      <c r="R809" t="s">
        <v>394</v>
      </c>
      <c r="S809" t="s">
        <v>395</v>
      </c>
      <c r="T809" s="9">
        <v>9.9999999999999998E-138</v>
      </c>
      <c r="U809" t="s">
        <v>396</v>
      </c>
    </row>
    <row r="810" spans="1:21" x14ac:dyDescent="0.35">
      <c r="A810" t="s">
        <v>3040</v>
      </c>
      <c r="B810" t="s">
        <v>3041</v>
      </c>
      <c r="C810">
        <v>1971</v>
      </c>
      <c r="D810" s="5">
        <v>10.174170999999999</v>
      </c>
      <c r="E810" s="5">
        <v>2.9340320000000002</v>
      </c>
      <c r="F810" s="5">
        <v>5.5669839999999997</v>
      </c>
      <c r="G810" s="5">
        <v>6.5491440000000001</v>
      </c>
      <c r="H810" s="6">
        <v>0.35243400000000003</v>
      </c>
      <c r="I810" s="11">
        <v>0</v>
      </c>
      <c r="J810" s="11">
        <v>0</v>
      </c>
      <c r="K810" s="7">
        <f t="shared" si="26"/>
        <v>6.3060827499999998</v>
      </c>
      <c r="L810" s="8">
        <f t="shared" si="27"/>
        <v>0.11747800000000001</v>
      </c>
      <c r="M810" s="9">
        <v>5.9399656837425197E-11</v>
      </c>
      <c r="N810" s="9">
        <v>1.5580640518486601E-9</v>
      </c>
      <c r="O810" s="2">
        <v>-4.2171991689079302</v>
      </c>
      <c r="P810" t="s">
        <v>3040</v>
      </c>
      <c r="Q810" s="10">
        <f>IF(N810&lt;='[1]statistical criteria'!$B$2,IF(O810&gt;=LOG('[1]statistical criteria'!$B$3,2),1,IF(O810&lt;=-1*LOG('[1]statistical criteria'!$B$3,2),2,"-")),"-")</f>
        <v>2</v>
      </c>
      <c r="R810" t="s">
        <v>3042</v>
      </c>
      <c r="S810" t="s">
        <v>3043</v>
      </c>
      <c r="T810">
        <v>0</v>
      </c>
      <c r="U810" t="s">
        <v>3044</v>
      </c>
    </row>
    <row r="811" spans="1:21" x14ac:dyDescent="0.35">
      <c r="A811" t="s">
        <v>3045</v>
      </c>
      <c r="B811" t="s">
        <v>3046</v>
      </c>
      <c r="C811">
        <v>1449</v>
      </c>
      <c r="D811" s="5">
        <v>13.836861000000001</v>
      </c>
      <c r="E811" s="5">
        <v>17.012851999999999</v>
      </c>
      <c r="F811" s="5">
        <v>6.556305</v>
      </c>
      <c r="G811" s="5">
        <v>3.86565</v>
      </c>
      <c r="H811" s="6">
        <v>1.1690069999999999</v>
      </c>
      <c r="I811" s="11">
        <v>0</v>
      </c>
      <c r="J811" s="11">
        <v>0</v>
      </c>
      <c r="K811" s="7">
        <f t="shared" si="26"/>
        <v>10.317917000000001</v>
      </c>
      <c r="L811" s="8">
        <f t="shared" si="27"/>
        <v>0.38966899999999999</v>
      </c>
      <c r="M811" s="9">
        <v>2.2077811843690801E-10</v>
      </c>
      <c r="N811" s="9">
        <v>5.2520641740770003E-9</v>
      </c>
      <c r="O811" s="2">
        <v>-4.2174013249019398</v>
      </c>
      <c r="P811" t="s">
        <v>3045</v>
      </c>
      <c r="Q811" s="10">
        <f>IF(N811&lt;='[1]statistical criteria'!$B$2,IF(O811&gt;=LOG('[1]statistical criteria'!$B$3,2),1,IF(O811&lt;=-1*LOG('[1]statistical criteria'!$B$3,2),2,"-")),"-")</f>
        <v>2</v>
      </c>
      <c r="R811" t="s">
        <v>3047</v>
      </c>
      <c r="S811" t="s">
        <v>3048</v>
      </c>
      <c r="T811">
        <v>0</v>
      </c>
      <c r="U811" t="s">
        <v>3049</v>
      </c>
    </row>
    <row r="812" spans="1:21" x14ac:dyDescent="0.35">
      <c r="A812" t="s">
        <v>3050</v>
      </c>
      <c r="B812" t="s">
        <v>3051</v>
      </c>
      <c r="C812">
        <v>1275</v>
      </c>
      <c r="D812" s="5">
        <v>5.747827</v>
      </c>
      <c r="E812" s="5">
        <v>10.163029999999999</v>
      </c>
      <c r="F812" s="5">
        <v>13.040341</v>
      </c>
      <c r="G812" s="5">
        <v>4.0887979999999997</v>
      </c>
      <c r="H812" s="6">
        <v>1.9506680000000001</v>
      </c>
      <c r="I812" s="11">
        <v>0</v>
      </c>
      <c r="J812" s="11">
        <v>0</v>
      </c>
      <c r="K812" s="7">
        <f t="shared" si="26"/>
        <v>8.2599989999999988</v>
      </c>
      <c r="L812" s="8">
        <f t="shared" si="27"/>
        <v>0.65022266666666673</v>
      </c>
      <c r="M812" s="9">
        <v>7.8779910795385602E-7</v>
      </c>
      <c r="N812" s="9">
        <v>9.3145803195786794E-6</v>
      </c>
      <c r="O812" s="2">
        <v>-4.2184511300799397</v>
      </c>
      <c r="P812" t="s">
        <v>3050</v>
      </c>
      <c r="Q812" s="10">
        <f>IF(N812&lt;='[1]statistical criteria'!$B$2,IF(O812&gt;=LOG('[1]statistical criteria'!$B$3,2),1,IF(O812&lt;=-1*LOG('[1]statistical criteria'!$B$3,2),2,"-")),"-")</f>
        <v>2</v>
      </c>
      <c r="S812" t="s">
        <v>3052</v>
      </c>
      <c r="T812" s="9">
        <v>9.9999999999999995E-21</v>
      </c>
      <c r="U812" t="s">
        <v>61</v>
      </c>
    </row>
    <row r="813" spans="1:21" x14ac:dyDescent="0.35">
      <c r="A813" t="s">
        <v>3053</v>
      </c>
      <c r="B813" t="s">
        <v>3054</v>
      </c>
      <c r="C813">
        <v>1767</v>
      </c>
      <c r="D813" s="5">
        <v>3.9786579999999998</v>
      </c>
      <c r="E813" s="5">
        <v>6.6584079999999997</v>
      </c>
      <c r="F813" s="5">
        <v>1.3751640000000001</v>
      </c>
      <c r="G813" s="5">
        <v>2.1914989999999999</v>
      </c>
      <c r="H813" s="11">
        <v>0</v>
      </c>
      <c r="I813" s="11">
        <v>0</v>
      </c>
      <c r="J813" s="11">
        <v>0</v>
      </c>
      <c r="K813" s="7">
        <f t="shared" si="26"/>
        <v>3.5509322499999998</v>
      </c>
      <c r="L813" s="8">
        <f t="shared" si="27"/>
        <v>0</v>
      </c>
      <c r="M813" s="9">
        <v>2.60783033484389E-6</v>
      </c>
      <c r="N813" s="9">
        <v>2.70520639259085E-5</v>
      </c>
      <c r="O813" s="2">
        <v>-4.2191019599561903</v>
      </c>
      <c r="P813" t="s">
        <v>3053</v>
      </c>
      <c r="Q813" s="10">
        <f>IF(N813&lt;='[1]statistical criteria'!$B$2,IF(O813&gt;=LOG('[1]statistical criteria'!$B$3,2),1,IF(O813&lt;=-1*LOG('[1]statistical criteria'!$B$3,2),2,"-")),"-")</f>
        <v>2</v>
      </c>
      <c r="R813" t="s">
        <v>1112</v>
      </c>
      <c r="S813" t="s">
        <v>3055</v>
      </c>
      <c r="T813">
        <v>0</v>
      </c>
      <c r="U813" t="s">
        <v>1114</v>
      </c>
    </row>
    <row r="814" spans="1:21" x14ac:dyDescent="0.35">
      <c r="A814" t="s">
        <v>3056</v>
      </c>
      <c r="B814" t="s">
        <v>3057</v>
      </c>
      <c r="C814">
        <v>1094</v>
      </c>
      <c r="D814" s="5">
        <v>2.0949089999999999</v>
      </c>
      <c r="E814" s="5">
        <v>6.2652720000000004</v>
      </c>
      <c r="F814" s="5">
        <v>5.1495579999999999</v>
      </c>
      <c r="G814" s="5">
        <v>2.8233809999999999</v>
      </c>
      <c r="H814" s="11">
        <v>0</v>
      </c>
      <c r="I814" s="11">
        <v>0</v>
      </c>
      <c r="J814" s="11">
        <v>0</v>
      </c>
      <c r="K814" s="7">
        <f t="shared" si="26"/>
        <v>4.0832800000000002</v>
      </c>
      <c r="L814" s="8">
        <f t="shared" si="27"/>
        <v>0</v>
      </c>
      <c r="M814" s="9">
        <v>3.03680436199996E-6</v>
      </c>
      <c r="N814" s="9">
        <v>3.1061750609437899E-5</v>
      </c>
      <c r="O814" s="2">
        <v>-4.2197962987055702</v>
      </c>
      <c r="P814" t="s">
        <v>3056</v>
      </c>
      <c r="Q814" s="10">
        <f>IF(N814&lt;='[1]statistical criteria'!$B$2,IF(O814&gt;=LOG('[1]statistical criteria'!$B$3,2),1,IF(O814&lt;=-1*LOG('[1]statistical criteria'!$B$3,2),2,"-")),"-")</f>
        <v>2</v>
      </c>
      <c r="R814" t="s">
        <v>3058</v>
      </c>
      <c r="S814" t="s">
        <v>3059</v>
      </c>
      <c r="T814" s="9">
        <v>3.9999999999999997E-129</v>
      </c>
      <c r="U814" t="s">
        <v>3060</v>
      </c>
    </row>
    <row r="815" spans="1:21" x14ac:dyDescent="0.35">
      <c r="A815" t="s">
        <v>3061</v>
      </c>
      <c r="B815" t="s">
        <v>3062</v>
      </c>
      <c r="C815">
        <v>1485</v>
      </c>
      <c r="D815" s="5">
        <v>1.9330540000000001</v>
      </c>
      <c r="E815" s="5">
        <v>7.9365800000000002</v>
      </c>
      <c r="F815" s="5">
        <v>4.3376440000000001</v>
      </c>
      <c r="G815" s="5">
        <v>4.3833890000000002</v>
      </c>
      <c r="H815" s="6">
        <v>0.52954299999999999</v>
      </c>
      <c r="I815" s="11">
        <v>0</v>
      </c>
      <c r="J815" s="11">
        <v>0</v>
      </c>
      <c r="K815" s="7">
        <f t="shared" si="26"/>
        <v>4.64766675</v>
      </c>
      <c r="L815" s="8">
        <f t="shared" si="27"/>
        <v>0.17651433333333333</v>
      </c>
      <c r="M815" s="9">
        <v>1.32654663007085E-8</v>
      </c>
      <c r="N815" s="9">
        <v>2.3202373502066499E-7</v>
      </c>
      <c r="O815" s="2">
        <v>-4.2202946162491504</v>
      </c>
      <c r="P815" t="s">
        <v>3061</v>
      </c>
      <c r="Q815" s="10">
        <f>IF(N815&lt;='[1]statistical criteria'!$B$2,IF(O815&gt;=LOG('[1]statistical criteria'!$B$3,2),1,IF(O815&lt;=-1*LOG('[1]statistical criteria'!$B$3,2),2,"-")),"-")</f>
        <v>2</v>
      </c>
      <c r="R815" t="s">
        <v>3063</v>
      </c>
      <c r="S815" t="s">
        <v>3064</v>
      </c>
      <c r="T815">
        <v>0</v>
      </c>
      <c r="U815" t="s">
        <v>3065</v>
      </c>
    </row>
    <row r="816" spans="1:21" x14ac:dyDescent="0.35">
      <c r="A816" t="s">
        <v>3066</v>
      </c>
      <c r="B816" t="s">
        <v>3067</v>
      </c>
      <c r="C816">
        <v>372</v>
      </c>
      <c r="D816" s="5">
        <v>49.818345000000001</v>
      </c>
      <c r="E816" s="5">
        <v>7.4158660000000003</v>
      </c>
      <c r="F816" s="5">
        <v>45.269115999999997</v>
      </c>
      <c r="G816" s="5">
        <v>21.674436</v>
      </c>
      <c r="H816" s="6">
        <v>2.0630959999999998</v>
      </c>
      <c r="I816" s="11">
        <v>0</v>
      </c>
      <c r="J816" s="11">
        <v>0</v>
      </c>
      <c r="K816" s="7">
        <f t="shared" si="26"/>
        <v>31.04444075</v>
      </c>
      <c r="L816" s="8">
        <f t="shared" si="27"/>
        <v>0.68769866666666657</v>
      </c>
      <c r="M816" s="9">
        <v>9.8722250541291392E-6</v>
      </c>
      <c r="N816" s="9">
        <v>8.9213550435057195E-5</v>
      </c>
      <c r="O816" s="2">
        <v>-4.2207777383695104</v>
      </c>
      <c r="P816" t="s">
        <v>3066</v>
      </c>
      <c r="Q816" s="10">
        <f>IF(N816&lt;='[1]statistical criteria'!$B$2,IF(O816&gt;=LOG('[1]statistical criteria'!$B$3,2),1,IF(O816&lt;=-1*LOG('[1]statistical criteria'!$B$3,2),2,"-")),"-")</f>
        <v>2</v>
      </c>
      <c r="R816" t="s">
        <v>3068</v>
      </c>
      <c r="S816" t="s">
        <v>3069</v>
      </c>
      <c r="T816" s="9">
        <v>5.0000000000000002E-62</v>
      </c>
      <c r="U816" t="s">
        <v>3070</v>
      </c>
    </row>
    <row r="817" spans="1:21" x14ac:dyDescent="0.35">
      <c r="A817" t="s">
        <v>3071</v>
      </c>
      <c r="B817" t="s">
        <v>3072</v>
      </c>
      <c r="C817">
        <v>555</v>
      </c>
      <c r="D817" s="5">
        <v>14.962417</v>
      </c>
      <c r="E817" s="5">
        <v>5.7495919999999998</v>
      </c>
      <c r="F817" s="5">
        <v>1.8472759999999999</v>
      </c>
      <c r="G817" s="5">
        <v>6.8671100000000003</v>
      </c>
      <c r="H817" s="11">
        <v>0</v>
      </c>
      <c r="I817" s="11">
        <v>0</v>
      </c>
      <c r="J817" s="11">
        <v>0</v>
      </c>
      <c r="K817" s="7">
        <f t="shared" si="26"/>
        <v>7.3565987500000007</v>
      </c>
      <c r="L817" s="8">
        <f t="shared" si="27"/>
        <v>0</v>
      </c>
      <c r="M817" s="9">
        <v>4.1452345082664503E-6</v>
      </c>
      <c r="N817" s="9">
        <v>4.1128160944895998E-5</v>
      </c>
      <c r="O817" s="2">
        <v>-4.2212007840112502</v>
      </c>
      <c r="P817" t="s">
        <v>3071</v>
      </c>
      <c r="Q817" s="10">
        <f>IF(N817&lt;='[1]statistical criteria'!$B$2,IF(O817&gt;=LOG('[1]statistical criteria'!$B$3,2),1,IF(O817&lt;=-1*LOG('[1]statistical criteria'!$B$3,2),2,"-")),"-")</f>
        <v>2</v>
      </c>
      <c r="R817" t="s">
        <v>3073</v>
      </c>
      <c r="S817" t="s">
        <v>3074</v>
      </c>
      <c r="T817">
        <v>0</v>
      </c>
      <c r="U817" t="s">
        <v>3075</v>
      </c>
    </row>
    <row r="818" spans="1:21" x14ac:dyDescent="0.35">
      <c r="A818" t="s">
        <v>3076</v>
      </c>
      <c r="B818" t="s">
        <v>3077</v>
      </c>
      <c r="C818">
        <v>2019</v>
      </c>
      <c r="D818" s="5">
        <v>1.6522410000000001</v>
      </c>
      <c r="E818" s="5">
        <v>3.6391550000000001</v>
      </c>
      <c r="F818" s="5">
        <v>3.2634859999999999</v>
      </c>
      <c r="G818" s="5">
        <v>2.9312680000000002</v>
      </c>
      <c r="H818" s="11">
        <v>0</v>
      </c>
      <c r="I818" s="11">
        <v>0</v>
      </c>
      <c r="J818" s="11">
        <v>0</v>
      </c>
      <c r="K818" s="7">
        <f t="shared" si="26"/>
        <v>2.8715375000000005</v>
      </c>
      <c r="L818" s="8">
        <f t="shared" si="27"/>
        <v>0</v>
      </c>
      <c r="M818" s="9">
        <v>6.7894303907248697E-6</v>
      </c>
      <c r="N818" s="9">
        <v>6.4216133367541901E-5</v>
      </c>
      <c r="O818" s="2">
        <v>-4.2256833542252696</v>
      </c>
      <c r="P818" t="s">
        <v>3076</v>
      </c>
      <c r="Q818" s="10">
        <f>IF(N818&lt;='[1]statistical criteria'!$B$2,IF(O818&gt;=LOG('[1]statistical criteria'!$B$3,2),1,IF(O818&lt;=-1*LOG('[1]statistical criteria'!$B$3,2),2,"-")),"-")</f>
        <v>2</v>
      </c>
      <c r="R818" t="s">
        <v>2643</v>
      </c>
      <c r="S818" t="s">
        <v>2644</v>
      </c>
      <c r="T818">
        <v>0</v>
      </c>
      <c r="U818" t="s">
        <v>1883</v>
      </c>
    </row>
    <row r="819" spans="1:21" x14ac:dyDescent="0.35">
      <c r="A819" t="s">
        <v>3078</v>
      </c>
      <c r="B819" t="s">
        <v>3079</v>
      </c>
      <c r="C819">
        <v>1178</v>
      </c>
      <c r="D819" s="5">
        <v>96.599076999999994</v>
      </c>
      <c r="E819" s="5">
        <v>73.375778999999994</v>
      </c>
      <c r="F819" s="5">
        <v>74.676535999999999</v>
      </c>
      <c r="G819" s="5">
        <v>110.79192999999999</v>
      </c>
      <c r="H819" s="6">
        <v>2.0627040000000001</v>
      </c>
      <c r="I819" s="6">
        <v>12.236413000000001</v>
      </c>
      <c r="J819" s="11">
        <v>0</v>
      </c>
      <c r="K819" s="7">
        <f t="shared" si="26"/>
        <v>88.860830499999992</v>
      </c>
      <c r="L819" s="8">
        <f t="shared" si="27"/>
        <v>4.7663723333333339</v>
      </c>
      <c r="M819" s="9">
        <v>7.8611135148215505E-7</v>
      </c>
      <c r="N819" s="9">
        <v>9.3061891251666607E-6</v>
      </c>
      <c r="O819" s="2">
        <v>-4.2279879519260399</v>
      </c>
      <c r="P819" t="s">
        <v>3078</v>
      </c>
      <c r="Q819" s="10">
        <f>IF(N819&lt;='[1]statistical criteria'!$B$2,IF(O819&gt;=LOG('[1]statistical criteria'!$B$3,2),1,IF(O819&lt;=-1*LOG('[1]statistical criteria'!$B$3,2),2,"-")),"-")</f>
        <v>2</v>
      </c>
      <c r="R819" t="s">
        <v>3080</v>
      </c>
      <c r="S819" t="s">
        <v>3081</v>
      </c>
      <c r="T819">
        <v>0</v>
      </c>
      <c r="U819" t="s">
        <v>3082</v>
      </c>
    </row>
    <row r="820" spans="1:21" x14ac:dyDescent="0.35">
      <c r="A820" t="s">
        <v>3083</v>
      </c>
      <c r="B820" t="s">
        <v>3084</v>
      </c>
      <c r="C820">
        <v>2025</v>
      </c>
      <c r="D820" s="5">
        <v>0.50029900000000005</v>
      </c>
      <c r="E820" s="5">
        <v>2.591526</v>
      </c>
      <c r="F820" s="5">
        <v>6.1281530000000002</v>
      </c>
      <c r="G820" s="5">
        <v>3.6004719999999999</v>
      </c>
      <c r="H820" s="11">
        <v>0</v>
      </c>
      <c r="I820" s="11">
        <v>0</v>
      </c>
      <c r="J820" s="11">
        <v>0</v>
      </c>
      <c r="K820" s="7">
        <f t="shared" si="26"/>
        <v>3.2051125000000003</v>
      </c>
      <c r="L820" s="8">
        <f t="shared" si="27"/>
        <v>0</v>
      </c>
      <c r="M820" s="9">
        <v>3.3515835567312701E-6</v>
      </c>
      <c r="N820" s="9">
        <v>3.3907833644123397E-5</v>
      </c>
      <c r="O820" s="2">
        <v>-4.2281388010850298</v>
      </c>
      <c r="P820" t="s">
        <v>3083</v>
      </c>
      <c r="Q820" s="10">
        <f>IF(N820&lt;='[1]statistical criteria'!$B$2,IF(O820&gt;=LOG('[1]statistical criteria'!$B$3,2),1,IF(O820&lt;=-1*LOG('[1]statistical criteria'!$B$3,2),2,"-")),"-")</f>
        <v>2</v>
      </c>
      <c r="R820" t="s">
        <v>878</v>
      </c>
      <c r="S820" t="s">
        <v>3085</v>
      </c>
      <c r="T820">
        <v>0</v>
      </c>
      <c r="U820" t="s">
        <v>880</v>
      </c>
    </row>
    <row r="821" spans="1:21" x14ac:dyDescent="0.35">
      <c r="A821" t="s">
        <v>3086</v>
      </c>
      <c r="B821" t="s">
        <v>2913</v>
      </c>
      <c r="C821">
        <v>3027</v>
      </c>
      <c r="D821" s="5">
        <v>1.3853599999999999</v>
      </c>
      <c r="E821" s="5">
        <v>2.8150650000000002</v>
      </c>
      <c r="F821" s="5">
        <v>0.82991700000000002</v>
      </c>
      <c r="G821" s="5">
        <v>0.94698400000000005</v>
      </c>
      <c r="H821" s="11">
        <v>0</v>
      </c>
      <c r="I821" s="11">
        <v>0</v>
      </c>
      <c r="J821" s="11">
        <v>0</v>
      </c>
      <c r="K821" s="7">
        <f t="shared" si="26"/>
        <v>1.4943314999999999</v>
      </c>
      <c r="L821" s="8">
        <f t="shared" si="27"/>
        <v>0</v>
      </c>
      <c r="M821" s="9">
        <v>9.8242500021606705E-7</v>
      </c>
      <c r="N821" s="9">
        <v>1.13547207738304E-5</v>
      </c>
      <c r="O821" s="2">
        <v>-4.2288694523156698</v>
      </c>
      <c r="P821" t="s">
        <v>3086</v>
      </c>
      <c r="Q821" s="10">
        <f>IF(N821&lt;='[1]statistical criteria'!$B$2,IF(O821&gt;=LOG('[1]statistical criteria'!$B$3,2),1,IF(O821&lt;=-1*LOG('[1]statistical criteria'!$B$3,2),2,"-")),"-")</f>
        <v>2</v>
      </c>
      <c r="R821" t="s">
        <v>3087</v>
      </c>
      <c r="S821" t="s">
        <v>2915</v>
      </c>
      <c r="T821">
        <v>0</v>
      </c>
      <c r="U821" t="s">
        <v>2916</v>
      </c>
    </row>
    <row r="822" spans="1:21" x14ac:dyDescent="0.35">
      <c r="A822" t="s">
        <v>3088</v>
      </c>
      <c r="B822" t="s">
        <v>3089</v>
      </c>
      <c r="C822">
        <v>1214</v>
      </c>
      <c r="D822" s="5">
        <v>2.8837160000000002</v>
      </c>
      <c r="E822" s="5">
        <v>10.667179000000001</v>
      </c>
      <c r="F822" s="5">
        <v>1.012805</v>
      </c>
      <c r="G822" s="5">
        <v>4.0456859999999999</v>
      </c>
      <c r="H822" s="11">
        <v>0</v>
      </c>
      <c r="I822" s="11">
        <v>0</v>
      </c>
      <c r="J822" s="11">
        <v>0</v>
      </c>
      <c r="K822" s="7">
        <f t="shared" si="26"/>
        <v>4.6523465000000002</v>
      </c>
      <c r="L822" s="8">
        <f t="shared" si="27"/>
        <v>0</v>
      </c>
      <c r="M822" s="9">
        <v>2.56270267224242E-6</v>
      </c>
      <c r="N822" s="9">
        <v>2.6656590244751801E-5</v>
      </c>
      <c r="O822" s="2">
        <v>-4.2290250012972503</v>
      </c>
      <c r="P822" t="s">
        <v>3088</v>
      </c>
      <c r="Q822" s="10">
        <f>IF(N822&lt;='[1]statistical criteria'!$B$2,IF(O822&gt;=LOG('[1]statistical criteria'!$B$3,2),1,IF(O822&lt;=-1*LOG('[1]statistical criteria'!$B$3,2),2,"-")),"-")</f>
        <v>2</v>
      </c>
      <c r="R822" t="s">
        <v>3090</v>
      </c>
      <c r="S822" t="s">
        <v>3091</v>
      </c>
      <c r="T822" s="9">
        <v>5.0000000000000001E-180</v>
      </c>
      <c r="U822" t="s">
        <v>3092</v>
      </c>
    </row>
    <row r="823" spans="1:21" x14ac:dyDescent="0.35">
      <c r="A823" t="s">
        <v>3093</v>
      </c>
      <c r="B823" t="s">
        <v>3094</v>
      </c>
      <c r="C823">
        <v>1116</v>
      </c>
      <c r="D823" s="5">
        <v>3.3814440000000001</v>
      </c>
      <c r="E823" s="5">
        <v>6.469303</v>
      </c>
      <c r="F823" s="5">
        <v>2.2659570000000002</v>
      </c>
      <c r="G823" s="5">
        <v>2.0453329999999998</v>
      </c>
      <c r="H823" s="11">
        <v>0</v>
      </c>
      <c r="I823" s="11">
        <v>0</v>
      </c>
      <c r="J823" s="11">
        <v>0</v>
      </c>
      <c r="K823" s="7">
        <f t="shared" si="26"/>
        <v>3.5405092499999999</v>
      </c>
      <c r="L823" s="8">
        <f t="shared" si="27"/>
        <v>0</v>
      </c>
      <c r="M823" s="9">
        <v>3.3401970381218701E-6</v>
      </c>
      <c r="N823" s="9">
        <v>3.3801621715213603E-5</v>
      </c>
      <c r="O823" s="2">
        <v>-4.2308353557497398</v>
      </c>
      <c r="P823" t="s">
        <v>3093</v>
      </c>
      <c r="Q823" s="10">
        <f>IF(N823&lt;='[1]statistical criteria'!$B$2,IF(O823&gt;=LOG('[1]statistical criteria'!$B$3,2),1,IF(O823&lt;=-1*LOG('[1]statistical criteria'!$B$3,2),2,"-")),"-")</f>
        <v>2</v>
      </c>
      <c r="R823" t="s">
        <v>3095</v>
      </c>
      <c r="S823" t="s">
        <v>3096</v>
      </c>
      <c r="T823" s="9">
        <v>3.0000000000000002E-36</v>
      </c>
      <c r="U823" t="s">
        <v>322</v>
      </c>
    </row>
    <row r="824" spans="1:21" x14ac:dyDescent="0.35">
      <c r="A824" t="s">
        <v>3097</v>
      </c>
      <c r="B824" t="s">
        <v>3098</v>
      </c>
      <c r="C824">
        <v>717</v>
      </c>
      <c r="D824" s="5">
        <v>11.550348</v>
      </c>
      <c r="E824" s="5">
        <v>19.731006000000001</v>
      </c>
      <c r="F824" s="5">
        <v>11.363315999999999</v>
      </c>
      <c r="G824" s="5">
        <v>13.933256</v>
      </c>
      <c r="H824" s="6">
        <v>2.858905</v>
      </c>
      <c r="I824" s="11">
        <v>0</v>
      </c>
      <c r="J824" s="11">
        <v>0</v>
      </c>
      <c r="K824" s="7">
        <f t="shared" si="26"/>
        <v>14.144481499999999</v>
      </c>
      <c r="L824" s="8">
        <f t="shared" si="27"/>
        <v>0.95296833333333331</v>
      </c>
      <c r="M824" s="9">
        <v>4.5258036041812E-11</v>
      </c>
      <c r="N824" s="9">
        <v>1.21304285334603E-9</v>
      </c>
      <c r="O824" s="2">
        <v>-4.23206975717848</v>
      </c>
      <c r="P824" t="s">
        <v>3097</v>
      </c>
      <c r="Q824" s="10">
        <f>IF(N824&lt;='[1]statistical criteria'!$B$2,IF(O824&gt;=LOG('[1]statistical criteria'!$B$3,2),1,IF(O824&lt;=-1*LOG('[1]statistical criteria'!$B$3,2),2,"-")),"-")</f>
        <v>2</v>
      </c>
      <c r="R824" t="s">
        <v>3099</v>
      </c>
      <c r="S824" t="s">
        <v>3100</v>
      </c>
      <c r="T824" s="9">
        <v>7.9999999999999995E-124</v>
      </c>
      <c r="U824" t="s">
        <v>3101</v>
      </c>
    </row>
    <row r="825" spans="1:21" x14ac:dyDescent="0.35">
      <c r="A825" t="s">
        <v>3102</v>
      </c>
      <c r="B825" t="s">
        <v>3103</v>
      </c>
      <c r="C825">
        <v>876</v>
      </c>
      <c r="D825" s="5">
        <v>5.3753880000000001</v>
      </c>
      <c r="E825" s="5">
        <v>3.071431</v>
      </c>
      <c r="F825" s="5">
        <v>0.80317400000000005</v>
      </c>
      <c r="G825" s="5">
        <v>3.4234200000000001</v>
      </c>
      <c r="H825" s="11">
        <v>0</v>
      </c>
      <c r="I825" s="11">
        <v>0</v>
      </c>
      <c r="J825" s="11">
        <v>0</v>
      </c>
      <c r="K825" s="7">
        <f t="shared" si="26"/>
        <v>3.16835325</v>
      </c>
      <c r="L825" s="8">
        <f t="shared" si="27"/>
        <v>0</v>
      </c>
      <c r="M825" s="9">
        <v>8.7711780359116506E-6</v>
      </c>
      <c r="N825" s="9">
        <v>8.05965804072423E-5</v>
      </c>
      <c r="O825" s="2">
        <v>-4.2359796331841801</v>
      </c>
      <c r="P825" t="s">
        <v>3102</v>
      </c>
      <c r="Q825" s="10">
        <f>IF(N825&lt;='[1]statistical criteria'!$B$2,IF(O825&gt;=LOG('[1]statistical criteria'!$B$3,2),1,IF(O825&lt;=-1*LOG('[1]statistical criteria'!$B$3,2),2,"-")),"-")</f>
        <v>2</v>
      </c>
      <c r="R825" t="s">
        <v>3104</v>
      </c>
      <c r="S825" t="s">
        <v>3105</v>
      </c>
      <c r="T825" s="9">
        <v>3.0000000000000002E-55</v>
      </c>
      <c r="U825" t="s">
        <v>322</v>
      </c>
    </row>
    <row r="826" spans="1:21" x14ac:dyDescent="0.35">
      <c r="A826" t="s">
        <v>3106</v>
      </c>
      <c r="B826" t="s">
        <v>3107</v>
      </c>
      <c r="C826">
        <v>1212</v>
      </c>
      <c r="D826" s="5">
        <v>7.7473049999999999</v>
      </c>
      <c r="E826" s="5">
        <v>4.8951269999999996</v>
      </c>
      <c r="F826" s="5">
        <v>5.2474879999999997</v>
      </c>
      <c r="G826" s="5">
        <v>8.7171889999999994</v>
      </c>
      <c r="H826" s="6">
        <v>0.39160499999999998</v>
      </c>
      <c r="I826" s="11">
        <v>0</v>
      </c>
      <c r="J826" s="11">
        <v>0</v>
      </c>
      <c r="K826" s="7">
        <f t="shared" si="26"/>
        <v>6.6517772500000003</v>
      </c>
      <c r="L826" s="8">
        <f t="shared" si="27"/>
        <v>0.13053499999999998</v>
      </c>
      <c r="M826" s="9">
        <v>4.54095387300721E-6</v>
      </c>
      <c r="N826" s="9">
        <v>4.4670122617382899E-5</v>
      </c>
      <c r="O826" s="2">
        <v>-4.2369675943379299</v>
      </c>
      <c r="P826" t="s">
        <v>3106</v>
      </c>
      <c r="Q826" s="10">
        <f>IF(N826&lt;='[1]statistical criteria'!$B$2,IF(O826&gt;=LOG('[1]statistical criteria'!$B$3,2),1,IF(O826&lt;=-1*LOG('[1]statistical criteria'!$B$3,2),2,"-")),"-")</f>
        <v>2</v>
      </c>
      <c r="R826" t="s">
        <v>2850</v>
      </c>
      <c r="S826" t="s">
        <v>2851</v>
      </c>
      <c r="T826" s="9">
        <v>1.9999999999999998E-71</v>
      </c>
      <c r="U826" t="s">
        <v>2852</v>
      </c>
    </row>
    <row r="827" spans="1:21" x14ac:dyDescent="0.35">
      <c r="A827" t="s">
        <v>3108</v>
      </c>
      <c r="B827" t="s">
        <v>3109</v>
      </c>
      <c r="C827">
        <v>2055</v>
      </c>
      <c r="D827" s="5">
        <v>3.1697139999999999</v>
      </c>
      <c r="E827" s="5">
        <v>3.7279110000000002</v>
      </c>
      <c r="F827" s="5">
        <v>0.79729099999999997</v>
      </c>
      <c r="G827" s="5">
        <v>4.3131149999999998</v>
      </c>
      <c r="H827" s="11">
        <v>0</v>
      </c>
      <c r="I827" s="11">
        <v>0</v>
      </c>
      <c r="J827" s="11">
        <v>0</v>
      </c>
      <c r="K827" s="7">
        <f t="shared" si="26"/>
        <v>3.0020077499999998</v>
      </c>
      <c r="L827" s="8">
        <f t="shared" si="27"/>
        <v>0</v>
      </c>
      <c r="M827" s="9">
        <v>3.4958718076973001E-6</v>
      </c>
      <c r="N827" s="9">
        <v>3.5160294831757202E-5</v>
      </c>
      <c r="O827" s="2">
        <v>-4.2377316087711199</v>
      </c>
      <c r="P827" t="s">
        <v>3108</v>
      </c>
      <c r="Q827" s="10">
        <f>IF(N827&lt;='[1]statistical criteria'!$B$2,IF(O827&gt;=LOG('[1]statistical criteria'!$B$3,2),1,IF(O827&lt;=-1*LOG('[1]statistical criteria'!$B$3,2),2,"-")),"-")</f>
        <v>2</v>
      </c>
      <c r="R827" t="s">
        <v>2764</v>
      </c>
      <c r="S827" t="s">
        <v>3110</v>
      </c>
      <c r="T827">
        <v>0</v>
      </c>
      <c r="U827" t="s">
        <v>2766</v>
      </c>
    </row>
    <row r="828" spans="1:21" x14ac:dyDescent="0.35">
      <c r="A828" t="s">
        <v>3111</v>
      </c>
      <c r="B828" t="s">
        <v>3112</v>
      </c>
      <c r="C828">
        <v>1569</v>
      </c>
      <c r="D828" s="5">
        <v>3.0269729999999999</v>
      </c>
      <c r="E828" s="5">
        <v>1.748319</v>
      </c>
      <c r="F828" s="5">
        <v>0.94960100000000003</v>
      </c>
      <c r="G828" s="5">
        <v>1.7864040000000001</v>
      </c>
      <c r="H828" s="11">
        <v>0</v>
      </c>
      <c r="I828" s="11">
        <v>0</v>
      </c>
      <c r="J828" s="11">
        <v>0</v>
      </c>
      <c r="K828" s="7">
        <f t="shared" si="26"/>
        <v>1.8778242500000002</v>
      </c>
      <c r="L828" s="8">
        <f t="shared" si="27"/>
        <v>0</v>
      </c>
      <c r="M828" s="9">
        <v>6.9267276655962604E-6</v>
      </c>
      <c r="N828" s="9">
        <v>6.5433421432760903E-5</v>
      </c>
      <c r="O828" s="2">
        <v>-4.2384478366852996</v>
      </c>
      <c r="P828" t="s">
        <v>3111</v>
      </c>
      <c r="Q828" s="10">
        <f>IF(N828&lt;='[1]statistical criteria'!$B$2,IF(O828&gt;=LOG('[1]statistical criteria'!$B$3,2),1,IF(O828&lt;=-1*LOG('[1]statistical criteria'!$B$3,2),2,"-")),"-")</f>
        <v>2</v>
      </c>
      <c r="R828" t="s">
        <v>3113</v>
      </c>
      <c r="S828" t="s">
        <v>3114</v>
      </c>
      <c r="T828">
        <v>0</v>
      </c>
      <c r="U828" t="s">
        <v>3115</v>
      </c>
    </row>
    <row r="829" spans="1:21" x14ac:dyDescent="0.35">
      <c r="A829" t="s">
        <v>3116</v>
      </c>
      <c r="B829" t="s">
        <v>3117</v>
      </c>
      <c r="C829">
        <v>1860</v>
      </c>
      <c r="D829" s="5">
        <v>5.2184999999999997</v>
      </c>
      <c r="E829" s="5">
        <v>2.588174</v>
      </c>
      <c r="F829" s="5">
        <v>1.3825149999999999</v>
      </c>
      <c r="G829" s="5">
        <v>3.6402950000000001</v>
      </c>
      <c r="H829" s="11">
        <v>0</v>
      </c>
      <c r="I829" s="11">
        <v>0</v>
      </c>
      <c r="J829" s="11">
        <v>0</v>
      </c>
      <c r="K829" s="7">
        <f t="shared" si="26"/>
        <v>3.2073709999999997</v>
      </c>
      <c r="L829" s="8">
        <f t="shared" si="27"/>
        <v>0</v>
      </c>
      <c r="M829" s="9">
        <v>5.3424781369279699E-6</v>
      </c>
      <c r="N829" s="9">
        <v>5.1765457711679901E-5</v>
      </c>
      <c r="O829" s="2">
        <v>-4.2393839668523903</v>
      </c>
      <c r="P829" t="s">
        <v>3116</v>
      </c>
      <c r="Q829" s="10">
        <f>IF(N829&lt;='[1]statistical criteria'!$B$2,IF(O829&gt;=LOG('[1]statistical criteria'!$B$3,2),1,IF(O829&lt;=-1*LOG('[1]statistical criteria'!$B$3,2),2,"-")),"-")</f>
        <v>2</v>
      </c>
      <c r="R829" t="s">
        <v>3118</v>
      </c>
      <c r="S829" t="s">
        <v>3119</v>
      </c>
      <c r="T829">
        <v>0</v>
      </c>
      <c r="U829" t="s">
        <v>3120</v>
      </c>
    </row>
    <row r="830" spans="1:21" x14ac:dyDescent="0.35">
      <c r="A830" t="s">
        <v>3121</v>
      </c>
      <c r="B830" t="s">
        <v>3122</v>
      </c>
      <c r="C830">
        <v>1149</v>
      </c>
      <c r="D830" s="5">
        <v>14.515891999999999</v>
      </c>
      <c r="E830" s="5">
        <v>12.827893</v>
      </c>
      <c r="F830" s="5">
        <v>8.6891379999999998</v>
      </c>
      <c r="G830" s="5">
        <v>18.903199999999998</v>
      </c>
      <c r="H830" s="11">
        <v>0</v>
      </c>
      <c r="I830" s="6">
        <v>2.2597019999999999</v>
      </c>
      <c r="J830" s="11">
        <v>0</v>
      </c>
      <c r="K830" s="7">
        <f t="shared" si="26"/>
        <v>13.734030749999999</v>
      </c>
      <c r="L830" s="8">
        <f t="shared" si="27"/>
        <v>0.75323399999999996</v>
      </c>
      <c r="M830">
        <v>1.64983244318978E-4</v>
      </c>
      <c r="N830">
        <v>1.0578272032985699E-3</v>
      </c>
      <c r="O830" s="2">
        <v>-4.2431582195081603</v>
      </c>
      <c r="P830" t="s">
        <v>3121</v>
      </c>
      <c r="Q830" s="10">
        <f>IF(N830&lt;='[1]statistical criteria'!$B$2,IF(O830&gt;=LOG('[1]statistical criteria'!$B$3,2),1,IF(O830&lt;=-1*LOG('[1]statistical criteria'!$B$3,2),2,"-")),"-")</f>
        <v>2</v>
      </c>
      <c r="R830" t="s">
        <v>3123</v>
      </c>
      <c r="S830" t="s">
        <v>3124</v>
      </c>
      <c r="T830">
        <v>0</v>
      </c>
      <c r="U830" t="s">
        <v>3125</v>
      </c>
    </row>
    <row r="831" spans="1:21" x14ac:dyDescent="0.35">
      <c r="A831" t="s">
        <v>3126</v>
      </c>
      <c r="B831" t="s">
        <v>3127</v>
      </c>
      <c r="C831">
        <v>1692</v>
      </c>
      <c r="D831" s="5">
        <v>9.5356799999999993</v>
      </c>
      <c r="E831" s="5">
        <v>12.753852</v>
      </c>
      <c r="F831" s="5">
        <v>8.7636380000000003</v>
      </c>
      <c r="G831" s="5">
        <v>15.660784</v>
      </c>
      <c r="H831" s="6">
        <v>1.519153</v>
      </c>
      <c r="I831" s="11">
        <v>0</v>
      </c>
      <c r="J831" s="11">
        <v>0</v>
      </c>
      <c r="K831" s="7">
        <f t="shared" si="26"/>
        <v>11.6784885</v>
      </c>
      <c r="L831" s="8">
        <f t="shared" si="27"/>
        <v>0.50638433333333333</v>
      </c>
      <c r="M831" s="9">
        <v>1.45843347221238E-9</v>
      </c>
      <c r="N831" s="9">
        <v>3.06335419163373E-8</v>
      </c>
      <c r="O831" s="2">
        <v>-4.2436915126391401</v>
      </c>
      <c r="P831" t="s">
        <v>3126</v>
      </c>
      <c r="Q831" s="10">
        <f>IF(N831&lt;='[1]statistical criteria'!$B$2,IF(O831&gt;=LOG('[1]statistical criteria'!$B$3,2),1,IF(O831&lt;=-1*LOG('[1]statistical criteria'!$B$3,2),2,"-")),"-")</f>
        <v>2</v>
      </c>
      <c r="R831" t="s">
        <v>3128</v>
      </c>
      <c r="S831" t="s">
        <v>3129</v>
      </c>
      <c r="T831" s="9">
        <v>4.0000000000000002E-153</v>
      </c>
      <c r="U831" t="s">
        <v>3130</v>
      </c>
    </row>
    <row r="832" spans="1:21" x14ac:dyDescent="0.35">
      <c r="A832" t="s">
        <v>3131</v>
      </c>
      <c r="B832" t="s">
        <v>3132</v>
      </c>
      <c r="C832">
        <v>1899</v>
      </c>
      <c r="D832" s="5">
        <v>2.211538</v>
      </c>
      <c r="E832" s="5">
        <v>8.6204730000000005</v>
      </c>
      <c r="F832" s="5">
        <v>0.74595</v>
      </c>
      <c r="G832" s="5">
        <v>2.2691409999999999</v>
      </c>
      <c r="H832" s="11">
        <v>0</v>
      </c>
      <c r="I832" s="11">
        <v>0</v>
      </c>
      <c r="J832" s="11">
        <v>0</v>
      </c>
      <c r="K832" s="7">
        <f t="shared" si="26"/>
        <v>3.4617755000000003</v>
      </c>
      <c r="L832" s="8">
        <f t="shared" si="27"/>
        <v>0</v>
      </c>
      <c r="M832" s="9">
        <v>1.25073118003348E-6</v>
      </c>
      <c r="N832" s="9">
        <v>1.4058720824593701E-5</v>
      </c>
      <c r="O832" s="2">
        <v>-4.2438107172136199</v>
      </c>
      <c r="P832" t="s">
        <v>3131</v>
      </c>
      <c r="Q832" s="10">
        <f>IF(N832&lt;='[1]statistical criteria'!$B$2,IF(O832&gt;=LOG('[1]statistical criteria'!$B$3,2),1,IF(O832&lt;=-1*LOG('[1]statistical criteria'!$B$3,2),2,"-")),"-")</f>
        <v>2</v>
      </c>
      <c r="S832" t="s">
        <v>3133</v>
      </c>
      <c r="T832" s="9">
        <v>2E-50</v>
      </c>
      <c r="U832" t="s">
        <v>3134</v>
      </c>
    </row>
    <row r="833" spans="1:21" x14ac:dyDescent="0.35">
      <c r="A833" t="s">
        <v>3135</v>
      </c>
      <c r="B833" t="s">
        <v>3136</v>
      </c>
      <c r="C833">
        <v>1404</v>
      </c>
      <c r="D833" s="5">
        <v>9.6155080000000002</v>
      </c>
      <c r="E833" s="5">
        <v>9.4595450000000003</v>
      </c>
      <c r="F833" s="5">
        <v>16.385869</v>
      </c>
      <c r="G833" s="5">
        <v>19.814629</v>
      </c>
      <c r="H833" s="11">
        <v>0</v>
      </c>
      <c r="I833" s="11">
        <v>0</v>
      </c>
      <c r="J833" s="6">
        <v>5.5689520000000003</v>
      </c>
      <c r="K833" s="7">
        <f t="shared" si="26"/>
        <v>13.818887749999998</v>
      </c>
      <c r="L833" s="8">
        <f t="shared" si="27"/>
        <v>1.8563173333333334</v>
      </c>
      <c r="M833" s="9">
        <v>6.8397275660730504E-7</v>
      </c>
      <c r="N833" s="9">
        <v>8.2083381920544899E-6</v>
      </c>
      <c r="O833" s="2">
        <v>-4.2494002359565597</v>
      </c>
      <c r="P833" t="s">
        <v>3135</v>
      </c>
      <c r="Q833" s="10">
        <f>IF(N833&lt;='[1]statistical criteria'!$B$2,IF(O833&gt;=LOG('[1]statistical criteria'!$B$3,2),1,IF(O833&lt;=-1*LOG('[1]statistical criteria'!$B$3,2),2,"-")),"-")</f>
        <v>2</v>
      </c>
      <c r="R833" t="s">
        <v>3137</v>
      </c>
      <c r="S833" t="s">
        <v>3138</v>
      </c>
      <c r="T833">
        <v>0</v>
      </c>
      <c r="U833" t="s">
        <v>3139</v>
      </c>
    </row>
    <row r="834" spans="1:21" x14ac:dyDescent="0.35">
      <c r="A834" t="s">
        <v>3140</v>
      </c>
      <c r="B834" t="s">
        <v>3141</v>
      </c>
      <c r="C834">
        <v>690</v>
      </c>
      <c r="D834" s="5">
        <v>2.539126</v>
      </c>
      <c r="E834" s="5">
        <v>7.8924760000000003</v>
      </c>
      <c r="F834" s="5">
        <v>5.1578169999999997</v>
      </c>
      <c r="G834" s="5">
        <v>2.759134</v>
      </c>
      <c r="H834" s="11">
        <v>0</v>
      </c>
      <c r="I834" s="11">
        <v>0</v>
      </c>
      <c r="J834" s="11">
        <v>0</v>
      </c>
      <c r="K834" s="7">
        <f t="shared" si="26"/>
        <v>4.5871382499999998</v>
      </c>
      <c r="L834" s="8">
        <f t="shared" si="27"/>
        <v>0</v>
      </c>
      <c r="M834" s="9">
        <v>4.6131309337512304E-6</v>
      </c>
      <c r="N834" s="9">
        <v>4.5298184555875098E-5</v>
      </c>
      <c r="O834" s="2">
        <v>-4.2543342732368901</v>
      </c>
      <c r="P834" t="s">
        <v>3140</v>
      </c>
      <c r="Q834" s="10">
        <f>IF(N834&lt;='[1]statistical criteria'!$B$2,IF(O834&gt;=LOG('[1]statistical criteria'!$B$3,2),1,IF(O834&lt;=-1*LOG('[1]statistical criteria'!$B$3,2),2,"-")),"-")</f>
        <v>2</v>
      </c>
      <c r="R834" t="s">
        <v>3142</v>
      </c>
      <c r="S834" t="s">
        <v>3143</v>
      </c>
      <c r="T834" s="9">
        <v>3.9999999999999997E-77</v>
      </c>
      <c r="U834" t="s">
        <v>3144</v>
      </c>
    </row>
    <row r="835" spans="1:21" x14ac:dyDescent="0.35">
      <c r="A835" t="s">
        <v>3145</v>
      </c>
      <c r="B835" t="s">
        <v>3146</v>
      </c>
      <c r="C835">
        <v>1256</v>
      </c>
      <c r="D835" s="5">
        <v>16.604965</v>
      </c>
      <c r="E835" s="5">
        <v>17.307870999999999</v>
      </c>
      <c r="F835" s="5">
        <v>15.297567000000001</v>
      </c>
      <c r="G835" s="5">
        <v>24.833738</v>
      </c>
      <c r="H835" s="11">
        <v>0</v>
      </c>
      <c r="I835" s="11">
        <v>0</v>
      </c>
      <c r="J835" s="6">
        <v>8.5187749999999998</v>
      </c>
      <c r="K835" s="7">
        <f t="shared" si="26"/>
        <v>18.511035249999999</v>
      </c>
      <c r="L835" s="8">
        <f t="shared" si="27"/>
        <v>2.8395916666666667</v>
      </c>
      <c r="M835" s="9">
        <v>4.0002469336567497E-6</v>
      </c>
      <c r="N835" s="9">
        <v>3.9835007403185697E-5</v>
      </c>
      <c r="O835" s="2">
        <v>-4.25611430548632</v>
      </c>
      <c r="P835" t="s">
        <v>3145</v>
      </c>
      <c r="Q835" s="10">
        <f>IF(N835&lt;='[1]statistical criteria'!$B$2,IF(O835&gt;=LOG('[1]statistical criteria'!$B$3,2),1,IF(O835&lt;=-1*LOG('[1]statistical criteria'!$B$3,2),2,"-")),"-")</f>
        <v>2</v>
      </c>
      <c r="R835" t="s">
        <v>3147</v>
      </c>
      <c r="S835" t="s">
        <v>3148</v>
      </c>
      <c r="T835">
        <v>0</v>
      </c>
      <c r="U835" t="s">
        <v>3149</v>
      </c>
    </row>
    <row r="836" spans="1:21" x14ac:dyDescent="0.35">
      <c r="A836" t="s">
        <v>3150</v>
      </c>
      <c r="B836" t="s">
        <v>3151</v>
      </c>
      <c r="C836">
        <v>2262</v>
      </c>
      <c r="D836" s="5">
        <v>3.3521969999999999</v>
      </c>
      <c r="E836" s="5">
        <v>1.713131</v>
      </c>
      <c r="F836" s="5">
        <v>1.387159</v>
      </c>
      <c r="G836" s="5">
        <v>1.548162</v>
      </c>
      <c r="H836" s="11">
        <v>0</v>
      </c>
      <c r="I836" s="11">
        <v>0</v>
      </c>
      <c r="J836" s="11">
        <v>0</v>
      </c>
      <c r="K836" s="7">
        <f t="shared" si="26"/>
        <v>2.0001622499999998</v>
      </c>
      <c r="L836" s="8">
        <f t="shared" si="27"/>
        <v>0</v>
      </c>
      <c r="M836" s="9">
        <v>1.0316037651818199E-7</v>
      </c>
      <c r="N836" s="9">
        <v>1.4782695520640001E-6</v>
      </c>
      <c r="O836" s="2">
        <v>-4.25628286693094</v>
      </c>
      <c r="P836" t="s">
        <v>3150</v>
      </c>
      <c r="Q836" s="10">
        <f>IF(N836&lt;='[1]statistical criteria'!$B$2,IF(O836&gt;=LOG('[1]statistical criteria'!$B$3,2),1,IF(O836&lt;=-1*LOG('[1]statistical criteria'!$B$3,2),2,"-")),"-")</f>
        <v>2</v>
      </c>
      <c r="S836" t="s">
        <v>3152</v>
      </c>
      <c r="T836" s="9">
        <v>7E-45</v>
      </c>
      <c r="U836" t="s">
        <v>61</v>
      </c>
    </row>
    <row r="837" spans="1:21" x14ac:dyDescent="0.35">
      <c r="A837" t="s">
        <v>3153</v>
      </c>
      <c r="B837" t="s">
        <v>3154</v>
      </c>
      <c r="C837">
        <v>1575</v>
      </c>
      <c r="D837" s="5">
        <v>3.6154860000000002</v>
      </c>
      <c r="E837" s="5">
        <v>1.7605789999999999</v>
      </c>
      <c r="F837" s="5">
        <v>1.9682329999999999</v>
      </c>
      <c r="G837" s="5">
        <v>0.98881699999999995</v>
      </c>
      <c r="H837" s="11">
        <v>0</v>
      </c>
      <c r="I837" s="11">
        <v>0</v>
      </c>
      <c r="J837" s="11">
        <v>0</v>
      </c>
      <c r="K837" s="7">
        <f t="shared" si="26"/>
        <v>2.0832787499999998</v>
      </c>
      <c r="L837" s="8">
        <f t="shared" si="27"/>
        <v>0</v>
      </c>
      <c r="M837" s="9">
        <v>4.5906428405286699E-7</v>
      </c>
      <c r="N837" s="9">
        <v>5.72203289204772E-6</v>
      </c>
      <c r="O837" s="2">
        <v>-4.2570676600597901</v>
      </c>
      <c r="P837" t="s">
        <v>3153</v>
      </c>
      <c r="Q837" s="10">
        <f>IF(N837&lt;='[1]statistical criteria'!$B$2,IF(O837&gt;=LOG('[1]statistical criteria'!$B$3,2),1,IF(O837&lt;=-1*LOG('[1]statistical criteria'!$B$3,2),2,"-")),"-")</f>
        <v>2</v>
      </c>
      <c r="R837" t="s">
        <v>708</v>
      </c>
      <c r="S837" t="s">
        <v>709</v>
      </c>
      <c r="T837">
        <v>0</v>
      </c>
      <c r="U837" t="s">
        <v>710</v>
      </c>
    </row>
    <row r="838" spans="1:21" x14ac:dyDescent="0.35">
      <c r="A838" t="s">
        <v>3155</v>
      </c>
      <c r="B838" t="s">
        <v>3156</v>
      </c>
      <c r="C838">
        <v>3172</v>
      </c>
      <c r="D838" s="5">
        <v>13.213868</v>
      </c>
      <c r="E838" s="5">
        <v>10.634285999999999</v>
      </c>
      <c r="F838" s="5">
        <v>20.827075000000001</v>
      </c>
      <c r="G838" s="5">
        <v>20.883785</v>
      </c>
      <c r="H838" s="6">
        <v>0.648872</v>
      </c>
      <c r="I838" s="6">
        <v>0.822882</v>
      </c>
      <c r="J838" s="11">
        <v>0</v>
      </c>
      <c r="K838" s="7">
        <f t="shared" si="26"/>
        <v>16.389753500000001</v>
      </c>
      <c r="L838" s="8">
        <f t="shared" si="27"/>
        <v>0.49058466666666667</v>
      </c>
      <c r="M838" s="9">
        <v>9.1732543743970305E-11</v>
      </c>
      <c r="N838" s="9">
        <v>2.33690804209873E-9</v>
      </c>
      <c r="O838" s="2">
        <v>-4.2594037005248504</v>
      </c>
      <c r="P838" t="s">
        <v>3155</v>
      </c>
      <c r="Q838" s="10">
        <f>IF(N838&lt;='[1]statistical criteria'!$B$2,IF(O838&gt;=LOG('[1]statistical criteria'!$B$3,2),1,IF(O838&lt;=-1*LOG('[1]statistical criteria'!$B$3,2),2,"-")),"-")</f>
        <v>2</v>
      </c>
      <c r="R838" t="s">
        <v>3157</v>
      </c>
      <c r="S838" t="s">
        <v>3158</v>
      </c>
      <c r="T838">
        <v>0</v>
      </c>
      <c r="U838" t="s">
        <v>880</v>
      </c>
    </row>
    <row r="839" spans="1:21" x14ac:dyDescent="0.35">
      <c r="A839" t="s">
        <v>3159</v>
      </c>
      <c r="B839" t="s">
        <v>3160</v>
      </c>
      <c r="C839">
        <v>1404</v>
      </c>
      <c r="D839" s="5">
        <v>2.4464649999999999</v>
      </c>
      <c r="E839" s="5">
        <v>2.182461</v>
      </c>
      <c r="F839" s="5">
        <v>7.7736919999999996</v>
      </c>
      <c r="G839" s="5">
        <v>1.4948140000000001</v>
      </c>
      <c r="H839" s="11">
        <v>0</v>
      </c>
      <c r="I839" s="11">
        <v>0</v>
      </c>
      <c r="J839" s="11">
        <v>0</v>
      </c>
      <c r="K839" s="7">
        <f t="shared" si="26"/>
        <v>3.4743580000000001</v>
      </c>
      <c r="L839" s="8">
        <f t="shared" si="27"/>
        <v>0</v>
      </c>
      <c r="M839" s="9">
        <v>2.73875047513712E-5</v>
      </c>
      <c r="N839">
        <v>2.2056039586059801E-4</v>
      </c>
      <c r="O839" s="2">
        <v>-4.2617060771170596</v>
      </c>
      <c r="P839" t="s">
        <v>3159</v>
      </c>
      <c r="Q839" s="10">
        <f>IF(N839&lt;='[1]statistical criteria'!$B$2,IF(O839&gt;=LOG('[1]statistical criteria'!$B$3,2),1,IF(O839&lt;=-1*LOG('[1]statistical criteria'!$B$3,2),2,"-")),"-")</f>
        <v>2</v>
      </c>
      <c r="R839" t="s">
        <v>3161</v>
      </c>
      <c r="S839" t="s">
        <v>3162</v>
      </c>
      <c r="T839" s="9">
        <v>3.9999999999999998E-162</v>
      </c>
      <c r="U839" t="s">
        <v>3163</v>
      </c>
    </row>
    <row r="840" spans="1:21" x14ac:dyDescent="0.35">
      <c r="A840" t="s">
        <v>3164</v>
      </c>
      <c r="B840" t="s">
        <v>3165</v>
      </c>
      <c r="C840">
        <v>411</v>
      </c>
      <c r="D840" s="5">
        <v>6.0145549999999997</v>
      </c>
      <c r="E840" s="5">
        <v>3.0423230000000001</v>
      </c>
      <c r="F840" s="5">
        <v>8.7749129999999997</v>
      </c>
      <c r="G840" s="5">
        <v>12.637340999999999</v>
      </c>
      <c r="H840" s="11">
        <v>0</v>
      </c>
      <c r="I840" s="11">
        <v>0</v>
      </c>
      <c r="J840" s="11">
        <v>0</v>
      </c>
      <c r="K840" s="7">
        <f t="shared" si="26"/>
        <v>7.6172829999999996</v>
      </c>
      <c r="L840" s="8">
        <f t="shared" si="27"/>
        <v>0</v>
      </c>
      <c r="M840" s="9">
        <v>3.9397701215329602E-6</v>
      </c>
      <c r="N840" s="9">
        <v>3.92944577635075E-5</v>
      </c>
      <c r="O840" s="2">
        <v>-4.2633781549676497</v>
      </c>
      <c r="P840" t="s">
        <v>3164</v>
      </c>
      <c r="Q840" s="10">
        <f>IF(N840&lt;='[1]statistical criteria'!$B$2,IF(O840&gt;=LOG('[1]statistical criteria'!$B$3,2),1,IF(O840&lt;=-1*LOG('[1]statistical criteria'!$B$3,2),2,"-")),"-")</f>
        <v>2</v>
      </c>
    </row>
    <row r="841" spans="1:21" x14ac:dyDescent="0.35">
      <c r="A841" t="s">
        <v>3166</v>
      </c>
      <c r="B841" t="s">
        <v>2927</v>
      </c>
      <c r="C841">
        <v>288</v>
      </c>
      <c r="D841" s="5">
        <v>30.941841</v>
      </c>
      <c r="E841" s="5">
        <v>71.845466999999999</v>
      </c>
      <c r="F841" s="5">
        <v>46.932034999999999</v>
      </c>
      <c r="G841" s="5">
        <v>49.221566000000003</v>
      </c>
      <c r="H841" s="6">
        <v>3.7178719999999998</v>
      </c>
      <c r="I841" s="11">
        <v>0</v>
      </c>
      <c r="J841" s="11">
        <v>0</v>
      </c>
      <c r="K841" s="7">
        <f t="shared" si="26"/>
        <v>49.735227249999994</v>
      </c>
      <c r="L841" s="8">
        <f t="shared" si="27"/>
        <v>1.2392906666666665</v>
      </c>
      <c r="M841" s="9">
        <v>1.1666237154172901E-6</v>
      </c>
      <c r="N841" s="9">
        <v>1.32147912526137E-5</v>
      </c>
      <c r="O841" s="2">
        <v>-4.2690791855313801</v>
      </c>
      <c r="P841" t="s">
        <v>3166</v>
      </c>
      <c r="Q841" s="10">
        <f>IF(N841&lt;='[1]statistical criteria'!$B$2,IF(O841&gt;=LOG('[1]statistical criteria'!$B$3,2),1,IF(O841&lt;=-1*LOG('[1]statistical criteria'!$B$3,2),2,"-")),"-")</f>
        <v>2</v>
      </c>
      <c r="S841" t="s">
        <v>3167</v>
      </c>
      <c r="T841">
        <v>0.5</v>
      </c>
      <c r="U841" t="s">
        <v>3168</v>
      </c>
    </row>
    <row r="842" spans="1:21" x14ac:dyDescent="0.35">
      <c r="A842" t="s">
        <v>3169</v>
      </c>
      <c r="B842" t="s">
        <v>3170</v>
      </c>
      <c r="C842">
        <v>3036</v>
      </c>
      <c r="D842" s="5">
        <v>34.643884999999997</v>
      </c>
      <c r="E842" s="5">
        <v>40.296101</v>
      </c>
      <c r="F842" s="5">
        <v>27.781666000000001</v>
      </c>
      <c r="G842" s="5">
        <v>24.641687999999998</v>
      </c>
      <c r="H842" s="11">
        <v>0</v>
      </c>
      <c r="I842" s="6">
        <v>1.966934</v>
      </c>
      <c r="J842" s="6">
        <v>2.5434679999999998</v>
      </c>
      <c r="K842" s="7">
        <f t="shared" si="26"/>
        <v>31.840835000000002</v>
      </c>
      <c r="L842" s="8">
        <f t="shared" si="27"/>
        <v>1.5034673333333333</v>
      </c>
      <c r="M842" s="9">
        <v>2.0447272003273599E-7</v>
      </c>
      <c r="N842" s="9">
        <v>2.7431201002629302E-6</v>
      </c>
      <c r="O842" s="2">
        <v>-4.2700924801612796</v>
      </c>
      <c r="P842" t="s">
        <v>3169</v>
      </c>
      <c r="Q842" s="10">
        <f>IF(N842&lt;='[1]statistical criteria'!$B$2,IF(O842&gt;=LOG('[1]statistical criteria'!$B$3,2),1,IF(O842&lt;=-1*LOG('[1]statistical criteria'!$B$3,2),2,"-")),"-")</f>
        <v>2</v>
      </c>
      <c r="R842" t="s">
        <v>3171</v>
      </c>
      <c r="S842" t="s">
        <v>3172</v>
      </c>
      <c r="T842">
        <v>0</v>
      </c>
      <c r="U842" t="s">
        <v>3173</v>
      </c>
    </row>
    <row r="843" spans="1:21" x14ac:dyDescent="0.35">
      <c r="A843" t="s">
        <v>3174</v>
      </c>
      <c r="B843" t="s">
        <v>2959</v>
      </c>
      <c r="C843">
        <v>1377</v>
      </c>
      <c r="D843" s="5">
        <v>3.0962350000000001</v>
      </c>
      <c r="E843" s="5">
        <v>2.2267830000000002</v>
      </c>
      <c r="F843" s="5">
        <v>1.8493250000000001</v>
      </c>
      <c r="G843" s="5">
        <v>6.0104249999999997</v>
      </c>
      <c r="H843" s="11">
        <v>0</v>
      </c>
      <c r="I843" s="11">
        <v>0</v>
      </c>
      <c r="J843" s="11">
        <v>0</v>
      </c>
      <c r="K843" s="7">
        <f t="shared" si="26"/>
        <v>3.2956919999999998</v>
      </c>
      <c r="L843" s="8">
        <f t="shared" si="27"/>
        <v>0</v>
      </c>
      <c r="M843" s="9">
        <v>2.5943529268188299E-6</v>
      </c>
      <c r="N843" s="9">
        <v>2.69269354771543E-5</v>
      </c>
      <c r="O843" s="2">
        <v>-4.2761246452353898</v>
      </c>
      <c r="P843" t="s">
        <v>3174</v>
      </c>
      <c r="Q843" s="10">
        <f>IF(N843&lt;='[1]statistical criteria'!$B$2,IF(O843&gt;=LOG('[1]statistical criteria'!$B$3,2),1,IF(O843&lt;=-1*LOG('[1]statistical criteria'!$B$3,2),2,"-")),"-")</f>
        <v>2</v>
      </c>
      <c r="R843" t="s">
        <v>2960</v>
      </c>
      <c r="S843" t="s">
        <v>2961</v>
      </c>
      <c r="T843" s="9">
        <v>5E-108</v>
      </c>
      <c r="U843" t="s">
        <v>2962</v>
      </c>
    </row>
    <row r="844" spans="1:21" x14ac:dyDescent="0.35">
      <c r="A844" t="s">
        <v>3175</v>
      </c>
      <c r="B844" t="s">
        <v>3176</v>
      </c>
      <c r="C844">
        <v>312</v>
      </c>
      <c r="D844" s="5">
        <v>7.1605309999999998</v>
      </c>
      <c r="E844" s="5">
        <v>47.316648000000001</v>
      </c>
      <c r="F844" s="5">
        <v>8.8451839999999997</v>
      </c>
      <c r="G844" s="5">
        <v>31.364699999999999</v>
      </c>
      <c r="H844" s="11">
        <v>0</v>
      </c>
      <c r="I844" s="11">
        <v>0</v>
      </c>
      <c r="J844" s="11">
        <v>0</v>
      </c>
      <c r="K844" s="7">
        <f t="shared" si="26"/>
        <v>23.671765749999999</v>
      </c>
      <c r="L844" s="8">
        <f t="shared" si="27"/>
        <v>0</v>
      </c>
      <c r="M844" s="9">
        <v>1.1511473019252199E-7</v>
      </c>
      <c r="N844" s="9">
        <v>1.6298933252527399E-6</v>
      </c>
      <c r="O844" s="2">
        <v>-4.2787576307996504</v>
      </c>
      <c r="P844" t="s">
        <v>3175</v>
      </c>
      <c r="Q844" s="10">
        <f>IF(N844&lt;='[1]statistical criteria'!$B$2,IF(O844&gt;=LOG('[1]statistical criteria'!$B$3,2),1,IF(O844&lt;=-1*LOG('[1]statistical criteria'!$B$3,2),2,"-")),"-")</f>
        <v>2</v>
      </c>
      <c r="R844" t="s">
        <v>3030</v>
      </c>
      <c r="S844" t="s">
        <v>3177</v>
      </c>
      <c r="T844" s="9">
        <v>7.0000000000000001E-67</v>
      </c>
      <c r="U844" t="s">
        <v>3178</v>
      </c>
    </row>
    <row r="845" spans="1:21" x14ac:dyDescent="0.35">
      <c r="A845" t="s">
        <v>3179</v>
      </c>
      <c r="B845" t="s">
        <v>3180</v>
      </c>
      <c r="C845">
        <v>1512</v>
      </c>
      <c r="D845" s="5">
        <v>1.888404</v>
      </c>
      <c r="E845" s="5">
        <v>5.2649460000000001</v>
      </c>
      <c r="F845" s="5">
        <v>2.149734</v>
      </c>
      <c r="G845" s="5">
        <v>1.4508589999999999</v>
      </c>
      <c r="H845" s="11">
        <v>0</v>
      </c>
      <c r="I845" s="11">
        <v>0</v>
      </c>
      <c r="J845" s="11">
        <v>0</v>
      </c>
      <c r="K845" s="7">
        <f t="shared" si="26"/>
        <v>2.6884857499999999</v>
      </c>
      <c r="L845" s="8">
        <f t="shared" si="27"/>
        <v>0</v>
      </c>
      <c r="M845" s="9">
        <v>4.2671965860751298E-6</v>
      </c>
      <c r="N845" s="9">
        <v>4.2261124659385801E-5</v>
      </c>
      <c r="O845" s="2">
        <v>-4.2803872550218003</v>
      </c>
      <c r="P845" t="s">
        <v>3179</v>
      </c>
      <c r="Q845" s="10">
        <f>IF(N845&lt;='[1]statistical criteria'!$B$2,IF(O845&gt;=LOG('[1]statistical criteria'!$B$3,2),1,IF(O845&lt;=-1*LOG('[1]statistical criteria'!$B$3,2),2,"-")),"-")</f>
        <v>2</v>
      </c>
      <c r="R845" t="s">
        <v>3181</v>
      </c>
      <c r="S845" t="s">
        <v>3182</v>
      </c>
      <c r="T845" s="9">
        <v>3.0000000000000003E-166</v>
      </c>
      <c r="U845" t="s">
        <v>3183</v>
      </c>
    </row>
    <row r="846" spans="1:21" x14ac:dyDescent="0.35">
      <c r="A846" t="s">
        <v>3184</v>
      </c>
      <c r="B846" t="s">
        <v>3185</v>
      </c>
      <c r="C846">
        <v>3063</v>
      </c>
      <c r="D846" s="5">
        <v>0.35441400000000001</v>
      </c>
      <c r="E846" s="5">
        <v>3.911413</v>
      </c>
      <c r="F846" s="5">
        <v>1.8129630000000001</v>
      </c>
      <c r="G846" s="5">
        <v>1.4361299999999999</v>
      </c>
      <c r="H846" s="11">
        <v>0</v>
      </c>
      <c r="I846" s="11">
        <v>0</v>
      </c>
      <c r="J846" s="11">
        <v>0</v>
      </c>
      <c r="K846" s="7">
        <f t="shared" si="26"/>
        <v>1.87873</v>
      </c>
      <c r="L846" s="8">
        <f t="shared" si="27"/>
        <v>0</v>
      </c>
      <c r="M846" s="9">
        <v>1.5520822479322101E-12</v>
      </c>
      <c r="N846" s="9">
        <v>5.1908831596045497E-11</v>
      </c>
      <c r="O846" s="2">
        <v>-4.2813861543446903</v>
      </c>
      <c r="P846" t="s">
        <v>3184</v>
      </c>
      <c r="Q846" s="10">
        <f>IF(N846&lt;='[1]statistical criteria'!$B$2,IF(O846&gt;=LOG('[1]statistical criteria'!$B$3,2),1,IF(O846&lt;=-1*LOG('[1]statistical criteria'!$B$3,2),2,"-")),"-")</f>
        <v>2</v>
      </c>
      <c r="R846" t="s">
        <v>3186</v>
      </c>
      <c r="S846" t="s">
        <v>3187</v>
      </c>
      <c r="T846">
        <v>0</v>
      </c>
      <c r="U846" t="s">
        <v>3188</v>
      </c>
    </row>
    <row r="847" spans="1:21" x14ac:dyDescent="0.35">
      <c r="A847" t="s">
        <v>3189</v>
      </c>
      <c r="B847" t="s">
        <v>3190</v>
      </c>
      <c r="C847">
        <v>1230</v>
      </c>
      <c r="D847" s="5">
        <v>4.125292</v>
      </c>
      <c r="E847" s="5">
        <v>0.88289499999999999</v>
      </c>
      <c r="F847" s="5">
        <v>2.9841950000000002</v>
      </c>
      <c r="G847" s="5">
        <v>6.7201810000000002</v>
      </c>
      <c r="H847" s="11">
        <v>0</v>
      </c>
      <c r="I847" s="11">
        <v>0</v>
      </c>
      <c r="J847" s="11">
        <v>0</v>
      </c>
      <c r="K847" s="7">
        <f t="shared" si="26"/>
        <v>3.6781407499999998</v>
      </c>
      <c r="L847" s="8">
        <f t="shared" si="27"/>
        <v>0</v>
      </c>
      <c r="M847" s="9">
        <v>3.3656773934205602E-6</v>
      </c>
      <c r="N847" s="9">
        <v>3.4017053949433703E-5</v>
      </c>
      <c r="O847" s="2">
        <v>-4.2815902388673202</v>
      </c>
      <c r="P847" t="s">
        <v>3189</v>
      </c>
      <c r="Q847" s="10">
        <f>IF(N847&lt;='[1]statistical criteria'!$B$2,IF(O847&gt;=LOG('[1]statistical criteria'!$B$3,2),1,IF(O847&lt;=-1*LOG('[1]statistical criteria'!$B$3,2),2,"-")),"-")</f>
        <v>2</v>
      </c>
      <c r="R847" t="s">
        <v>3191</v>
      </c>
      <c r="S847" t="s">
        <v>3192</v>
      </c>
      <c r="T847" s="9">
        <v>1E-167</v>
      </c>
      <c r="U847" t="s">
        <v>3193</v>
      </c>
    </row>
    <row r="848" spans="1:21" x14ac:dyDescent="0.35">
      <c r="A848" t="s">
        <v>3194</v>
      </c>
      <c r="B848" t="s">
        <v>3195</v>
      </c>
      <c r="C848">
        <v>900</v>
      </c>
      <c r="D848" s="5">
        <v>66.362031000000002</v>
      </c>
      <c r="E848" s="5">
        <v>63.929732999999999</v>
      </c>
      <c r="F848" s="5">
        <v>61.319029999999998</v>
      </c>
      <c r="G848" s="5">
        <v>54.565179999999998</v>
      </c>
      <c r="H848" s="6">
        <v>0.93553799999999998</v>
      </c>
      <c r="I848" s="6">
        <v>1.791544</v>
      </c>
      <c r="J848" s="6">
        <v>0.54440999999999995</v>
      </c>
      <c r="K848" s="7">
        <f t="shared" si="26"/>
        <v>61.543993499999999</v>
      </c>
      <c r="L848" s="8">
        <f t="shared" si="27"/>
        <v>1.0904973333333334</v>
      </c>
      <c r="M848" s="9">
        <v>1.04697554785766E-18</v>
      </c>
      <c r="N848" s="9">
        <v>8.6064555834692694E-17</v>
      </c>
      <c r="O848" s="2">
        <v>-4.28809067800018</v>
      </c>
      <c r="P848" t="s">
        <v>3194</v>
      </c>
      <c r="Q848" s="10">
        <f>IF(N848&lt;='[1]statistical criteria'!$B$2,IF(O848&gt;=LOG('[1]statistical criteria'!$B$3,2),1,IF(O848&lt;=-1*LOG('[1]statistical criteria'!$B$3,2),2,"-")),"-")</f>
        <v>2</v>
      </c>
      <c r="R848" t="s">
        <v>773</v>
      </c>
      <c r="S848" t="s">
        <v>3196</v>
      </c>
      <c r="T848" s="9">
        <v>6.0000000000000004E-66</v>
      </c>
      <c r="U848" t="s">
        <v>160</v>
      </c>
    </row>
    <row r="849" spans="1:21" x14ac:dyDescent="0.35">
      <c r="A849" t="s">
        <v>3197</v>
      </c>
      <c r="B849" t="s">
        <v>3198</v>
      </c>
      <c r="C849">
        <v>966</v>
      </c>
      <c r="D849" s="5">
        <v>10.904806000000001</v>
      </c>
      <c r="E849" s="5">
        <v>2.8016190000000001</v>
      </c>
      <c r="F849" s="5">
        <v>11.126427</v>
      </c>
      <c r="G849" s="5">
        <v>6.0653430000000004</v>
      </c>
      <c r="H849" s="6">
        <v>0.53992600000000002</v>
      </c>
      <c r="I849" s="11">
        <v>0</v>
      </c>
      <c r="J849" s="11">
        <v>0</v>
      </c>
      <c r="K849" s="7">
        <f t="shared" si="26"/>
        <v>7.7245487500000003</v>
      </c>
      <c r="L849" s="8">
        <f t="shared" si="27"/>
        <v>0.17997533333333335</v>
      </c>
      <c r="M849" s="9">
        <v>2.4904531310922102E-6</v>
      </c>
      <c r="N849" s="9">
        <v>2.6004566850307199E-5</v>
      </c>
      <c r="O849" s="2">
        <v>-4.2893258064959401</v>
      </c>
      <c r="P849" t="s">
        <v>3197</v>
      </c>
      <c r="Q849" s="10">
        <f>IF(N849&lt;='[1]statistical criteria'!$B$2,IF(O849&gt;=LOG('[1]statistical criteria'!$B$3,2),1,IF(O849&lt;=-1*LOG('[1]statistical criteria'!$B$3,2),2,"-")),"-")</f>
        <v>2</v>
      </c>
      <c r="R849" t="s">
        <v>3199</v>
      </c>
      <c r="S849" t="s">
        <v>3200</v>
      </c>
      <c r="T849" s="9">
        <v>3E-153</v>
      </c>
      <c r="U849" t="s">
        <v>3201</v>
      </c>
    </row>
    <row r="850" spans="1:21" x14ac:dyDescent="0.35">
      <c r="A850" t="s">
        <v>3202</v>
      </c>
      <c r="B850" t="s">
        <v>3203</v>
      </c>
      <c r="C850">
        <v>1497</v>
      </c>
      <c r="D850" s="5">
        <v>37.934432999999999</v>
      </c>
      <c r="E850" s="5">
        <v>22.827009</v>
      </c>
      <c r="F850" s="5">
        <v>40.391430999999997</v>
      </c>
      <c r="G850" s="5">
        <v>54.453283999999996</v>
      </c>
      <c r="H850" s="6">
        <v>1.9348510000000001</v>
      </c>
      <c r="I850" s="11">
        <v>0</v>
      </c>
      <c r="J850" s="6">
        <v>2.5632820000000001</v>
      </c>
      <c r="K850" s="7">
        <f t="shared" si="26"/>
        <v>38.901539249999999</v>
      </c>
      <c r="L850" s="8">
        <f t="shared" si="27"/>
        <v>1.4993776666666667</v>
      </c>
      <c r="M850" s="9">
        <v>1.48955295392365E-9</v>
      </c>
      <c r="N850" s="9">
        <v>3.1175773374746101E-8</v>
      </c>
      <c r="O850" s="2">
        <v>-4.2893856010222997</v>
      </c>
      <c r="P850" t="s">
        <v>3202</v>
      </c>
      <c r="Q850" s="10">
        <f>IF(N850&lt;='[1]statistical criteria'!$B$2,IF(O850&gt;=LOG('[1]statistical criteria'!$B$3,2),1,IF(O850&lt;=-1*LOG('[1]statistical criteria'!$B$3,2),2,"-")),"-")</f>
        <v>2</v>
      </c>
      <c r="R850" t="s">
        <v>3204</v>
      </c>
      <c r="S850" t="s">
        <v>3205</v>
      </c>
      <c r="T850" s="9">
        <v>9.9999999999999994E-149</v>
      </c>
      <c r="U850" t="s">
        <v>3168</v>
      </c>
    </row>
    <row r="851" spans="1:21" x14ac:dyDescent="0.35">
      <c r="A851" t="s">
        <v>380</v>
      </c>
      <c r="B851" t="s">
        <v>381</v>
      </c>
      <c r="C851">
        <v>2070</v>
      </c>
      <c r="D851" s="4">
        <v>0</v>
      </c>
      <c r="E851" s="5">
        <v>3.521023</v>
      </c>
      <c r="F851" s="5">
        <v>28.224387</v>
      </c>
      <c r="G851" s="5">
        <v>11.224085000000001</v>
      </c>
      <c r="H851" s="11">
        <v>0</v>
      </c>
      <c r="I851" s="11">
        <v>0</v>
      </c>
      <c r="J851" s="11">
        <v>0</v>
      </c>
      <c r="K851" s="7">
        <f t="shared" si="26"/>
        <v>10.74237375</v>
      </c>
      <c r="L851" s="8">
        <f t="shared" si="27"/>
        <v>0</v>
      </c>
      <c r="M851">
        <v>1.0468243118420801E-4</v>
      </c>
      <c r="N851">
        <v>7.0931339342548798E-4</v>
      </c>
      <c r="O851" s="2">
        <v>-4.2920121573849297</v>
      </c>
      <c r="P851" t="s">
        <v>380</v>
      </c>
      <c r="Q851" s="10">
        <f>IF(N851&lt;='[1]statistical criteria'!$B$2,IF(O851&gt;=LOG('[1]statistical criteria'!$B$3,2),1,IF(O851&lt;=-1*LOG('[1]statistical criteria'!$B$3,2),2,"-")),"-")</f>
        <v>2</v>
      </c>
      <c r="R851" t="s">
        <v>405</v>
      </c>
      <c r="S851" t="s">
        <v>406</v>
      </c>
      <c r="T851">
        <v>0</v>
      </c>
      <c r="U851" t="s">
        <v>407</v>
      </c>
    </row>
    <row r="852" spans="1:21" x14ac:dyDescent="0.35">
      <c r="A852" t="s">
        <v>3206</v>
      </c>
      <c r="C852">
        <v>615</v>
      </c>
      <c r="D852" s="5">
        <v>16.29467</v>
      </c>
      <c r="E852" s="5">
        <v>27.043792</v>
      </c>
      <c r="F852" s="5">
        <v>21.306394000000001</v>
      </c>
      <c r="G852" s="5">
        <v>24.834126000000001</v>
      </c>
      <c r="H852" s="11">
        <v>0</v>
      </c>
      <c r="I852" s="6">
        <v>9.5202100000000005</v>
      </c>
      <c r="J852" s="11">
        <v>0</v>
      </c>
      <c r="K852" s="7">
        <f t="shared" si="26"/>
        <v>22.369745500000001</v>
      </c>
      <c r="L852" s="8">
        <f t="shared" si="27"/>
        <v>3.1734033333333334</v>
      </c>
      <c r="M852" s="9">
        <v>6.9317526812679301E-6</v>
      </c>
      <c r="N852" s="9">
        <v>6.5464641947656906E-5</v>
      </c>
      <c r="O852" s="2">
        <v>-4.2949259416289198</v>
      </c>
      <c r="P852" t="s">
        <v>3206</v>
      </c>
      <c r="Q852" s="10">
        <f>IF(N852&lt;='[1]statistical criteria'!$B$2,IF(O852&gt;=LOG('[1]statistical criteria'!$B$3,2),1,IF(O852&lt;=-1*LOG('[1]statistical criteria'!$B$3,2),2,"-")),"-")</f>
        <v>2</v>
      </c>
    </row>
    <row r="853" spans="1:21" x14ac:dyDescent="0.35">
      <c r="A853" t="s">
        <v>3207</v>
      </c>
      <c r="B853" t="s">
        <v>3208</v>
      </c>
      <c r="C853">
        <v>1767</v>
      </c>
      <c r="D853" s="5">
        <v>13.652536</v>
      </c>
      <c r="E853" s="5">
        <v>13.405519999999999</v>
      </c>
      <c r="F853" s="5">
        <v>13.086591</v>
      </c>
      <c r="G853" s="5">
        <v>14.234446999999999</v>
      </c>
      <c r="H853" s="6">
        <v>2.4779490000000002</v>
      </c>
      <c r="I853" s="11">
        <v>0</v>
      </c>
      <c r="J853" s="11">
        <v>0</v>
      </c>
      <c r="K853" s="7">
        <f t="shared" si="26"/>
        <v>13.594773499999999</v>
      </c>
      <c r="L853" s="8">
        <f t="shared" si="27"/>
        <v>0.82598300000000002</v>
      </c>
      <c r="M853" s="9">
        <v>6.5693971275683595E-8</v>
      </c>
      <c r="N853" s="9">
        <v>9.9061511361034798E-7</v>
      </c>
      <c r="O853" s="2">
        <v>-4.29571054563998</v>
      </c>
      <c r="P853" t="s">
        <v>3207</v>
      </c>
      <c r="Q853" s="10">
        <f>IF(N853&lt;='[1]statistical criteria'!$B$2,IF(O853&gt;=LOG('[1]statistical criteria'!$B$3,2),1,IF(O853&lt;=-1*LOG('[1]statistical criteria'!$B$3,2),2,"-")),"-")</f>
        <v>2</v>
      </c>
      <c r="R853" t="s">
        <v>3209</v>
      </c>
      <c r="S853" t="s">
        <v>3210</v>
      </c>
      <c r="T853">
        <v>0</v>
      </c>
      <c r="U853" t="s">
        <v>3211</v>
      </c>
    </row>
    <row r="854" spans="1:21" x14ac:dyDescent="0.35">
      <c r="A854" t="s">
        <v>3212</v>
      </c>
      <c r="B854" t="s">
        <v>3213</v>
      </c>
      <c r="C854">
        <v>1651</v>
      </c>
      <c r="D854" s="5">
        <v>6.5480879999999999</v>
      </c>
      <c r="E854" s="5">
        <v>12.104779000000001</v>
      </c>
      <c r="F854" s="5">
        <v>21.278309</v>
      </c>
      <c r="G854" s="5">
        <v>57.357190000000003</v>
      </c>
      <c r="H854" s="11">
        <v>0</v>
      </c>
      <c r="I854" s="6">
        <v>4.3975840000000002</v>
      </c>
      <c r="J854" s="11">
        <v>0</v>
      </c>
      <c r="K854" s="7">
        <f t="shared" si="26"/>
        <v>24.322091499999999</v>
      </c>
      <c r="L854" s="8">
        <f t="shared" si="27"/>
        <v>1.4658613333333335</v>
      </c>
      <c r="M854" s="9">
        <v>1.3558658606272999E-6</v>
      </c>
      <c r="N854" s="9">
        <v>1.50933766175709E-5</v>
      </c>
      <c r="O854" s="2">
        <v>-4.2961962152069999</v>
      </c>
      <c r="P854" t="s">
        <v>3212</v>
      </c>
      <c r="Q854" s="10">
        <f>IF(N854&lt;='[1]statistical criteria'!$B$2,IF(O854&gt;=LOG('[1]statistical criteria'!$B$3,2),1,IF(O854&lt;=-1*LOG('[1]statistical criteria'!$B$3,2),2,"-")),"-")</f>
        <v>2</v>
      </c>
      <c r="R854" t="s">
        <v>3214</v>
      </c>
      <c r="S854" t="s">
        <v>3215</v>
      </c>
      <c r="T854">
        <v>0</v>
      </c>
      <c r="U854" t="s">
        <v>3216</v>
      </c>
    </row>
    <row r="855" spans="1:21" x14ac:dyDescent="0.35">
      <c r="A855" t="s">
        <v>3217</v>
      </c>
      <c r="B855" t="s">
        <v>3218</v>
      </c>
      <c r="C855">
        <v>1014</v>
      </c>
      <c r="D855" s="5">
        <v>7.3029270000000004</v>
      </c>
      <c r="E855" s="5">
        <v>4.2417379999999998</v>
      </c>
      <c r="F855" s="5">
        <v>2.1320130000000002</v>
      </c>
      <c r="G855" s="5">
        <v>0.46091300000000002</v>
      </c>
      <c r="H855" s="11">
        <v>0</v>
      </c>
      <c r="I855" s="11">
        <v>0</v>
      </c>
      <c r="J855" s="11">
        <v>0</v>
      </c>
      <c r="K855" s="7">
        <f t="shared" si="26"/>
        <v>3.5343977500000001</v>
      </c>
      <c r="L855" s="8">
        <f t="shared" si="27"/>
        <v>0</v>
      </c>
      <c r="M855" s="9">
        <v>2.1567754853316201E-8</v>
      </c>
      <c r="N855" s="9">
        <v>3.6145695716301798E-7</v>
      </c>
      <c r="O855" s="2">
        <v>-4.2968413616377097</v>
      </c>
      <c r="P855" t="s">
        <v>3217</v>
      </c>
      <c r="Q855" s="10">
        <f>IF(N855&lt;='[1]statistical criteria'!$B$2,IF(O855&gt;=LOG('[1]statistical criteria'!$B$3,2),1,IF(O855&lt;=-1*LOG('[1]statistical criteria'!$B$3,2),2,"-")),"-")</f>
        <v>2</v>
      </c>
      <c r="R855" t="s">
        <v>3219</v>
      </c>
      <c r="S855" t="s">
        <v>3220</v>
      </c>
      <c r="T855" s="9">
        <v>2E-85</v>
      </c>
      <c r="U855" t="s">
        <v>3221</v>
      </c>
    </row>
    <row r="856" spans="1:21" x14ac:dyDescent="0.35">
      <c r="A856" t="s">
        <v>3222</v>
      </c>
      <c r="B856" t="s">
        <v>3223</v>
      </c>
      <c r="C856">
        <v>1095</v>
      </c>
      <c r="D856" s="5">
        <v>2.110106</v>
      </c>
      <c r="E856" s="5">
        <v>3.5314920000000001</v>
      </c>
      <c r="F856" s="5">
        <v>4.3605289999999997</v>
      </c>
      <c r="G856" s="5">
        <v>1.442825</v>
      </c>
      <c r="H856" s="11">
        <v>0</v>
      </c>
      <c r="I856" s="11">
        <v>0</v>
      </c>
      <c r="J856" s="11">
        <v>0</v>
      </c>
      <c r="K856" s="7">
        <f t="shared" si="26"/>
        <v>2.8612380000000002</v>
      </c>
      <c r="L856" s="8">
        <f t="shared" si="27"/>
        <v>0</v>
      </c>
      <c r="M856" s="9">
        <v>5.4149196999142296E-7</v>
      </c>
      <c r="N856" s="9">
        <v>6.6352815125156403E-6</v>
      </c>
      <c r="O856" s="2">
        <v>-4.3020144345675604</v>
      </c>
      <c r="P856" t="s">
        <v>3222</v>
      </c>
      <c r="Q856" s="10">
        <f>IF(N856&lt;='[1]statistical criteria'!$B$2,IF(O856&gt;=LOG('[1]statistical criteria'!$B$3,2),1,IF(O856&lt;=-1*LOG('[1]statistical criteria'!$B$3,2),2,"-")),"-")</f>
        <v>2</v>
      </c>
      <c r="S856" t="s">
        <v>3224</v>
      </c>
      <c r="T856" s="9">
        <v>5E-56</v>
      </c>
      <c r="U856" t="s">
        <v>311</v>
      </c>
    </row>
    <row r="857" spans="1:21" x14ac:dyDescent="0.35">
      <c r="A857" t="s">
        <v>3225</v>
      </c>
      <c r="B857" t="s">
        <v>3226</v>
      </c>
      <c r="C857">
        <v>1832</v>
      </c>
      <c r="D857" s="5">
        <v>3.9048669999999999</v>
      </c>
      <c r="E857" s="5">
        <v>1.1718649999999999</v>
      </c>
      <c r="F857" s="5">
        <v>5.699967</v>
      </c>
      <c r="G857" s="5">
        <v>2.2285149999999998</v>
      </c>
      <c r="H857" s="11">
        <v>0</v>
      </c>
      <c r="I857" s="11">
        <v>0</v>
      </c>
      <c r="J857" s="11">
        <v>0</v>
      </c>
      <c r="K857" s="7">
        <f t="shared" si="26"/>
        <v>3.2513035000000001</v>
      </c>
      <c r="L857" s="8">
        <f t="shared" si="27"/>
        <v>0</v>
      </c>
      <c r="M857" s="9">
        <v>2.5254540910312101E-7</v>
      </c>
      <c r="N857" s="9">
        <v>3.3282126975293498E-6</v>
      </c>
      <c r="O857" s="2">
        <v>-4.3021131015950997</v>
      </c>
      <c r="P857" t="s">
        <v>3225</v>
      </c>
      <c r="Q857" s="10">
        <f>IF(N857&lt;='[1]statistical criteria'!$B$2,IF(O857&gt;=LOG('[1]statistical criteria'!$B$3,2),1,IF(O857&lt;=-1*LOG('[1]statistical criteria'!$B$3,2),2,"-")),"-")</f>
        <v>2</v>
      </c>
      <c r="R857" t="s">
        <v>3227</v>
      </c>
      <c r="S857" t="s">
        <v>3228</v>
      </c>
      <c r="T857">
        <v>0</v>
      </c>
      <c r="U857" t="s">
        <v>3229</v>
      </c>
    </row>
    <row r="858" spans="1:21" x14ac:dyDescent="0.35">
      <c r="A858" t="s">
        <v>3230</v>
      </c>
      <c r="B858" t="s">
        <v>3231</v>
      </c>
      <c r="C858">
        <v>1788</v>
      </c>
      <c r="D858" s="5">
        <v>2.5573350000000001</v>
      </c>
      <c r="E858" s="5">
        <v>3.0654789999999998</v>
      </c>
      <c r="F858" s="5">
        <v>2.5577040000000002</v>
      </c>
      <c r="G858" s="5">
        <v>2.0150939999999999</v>
      </c>
      <c r="H858" s="11">
        <v>0</v>
      </c>
      <c r="I858" s="11">
        <v>0</v>
      </c>
      <c r="J858" s="11">
        <v>0</v>
      </c>
      <c r="K858" s="7">
        <f t="shared" si="26"/>
        <v>2.5489029999999997</v>
      </c>
      <c r="L858" s="8">
        <f t="shared" si="27"/>
        <v>0</v>
      </c>
      <c r="M858" s="9">
        <v>4.0465158330128802E-7</v>
      </c>
      <c r="N858" s="9">
        <v>5.1013710700387597E-6</v>
      </c>
      <c r="O858" s="2">
        <v>-4.3024139107741997</v>
      </c>
      <c r="P858" t="s">
        <v>3230</v>
      </c>
      <c r="Q858" s="10">
        <f>IF(N858&lt;='[1]statistical criteria'!$B$2,IF(O858&gt;=LOG('[1]statistical criteria'!$B$3,2),1,IF(O858&lt;=-1*LOG('[1]statistical criteria'!$B$3,2),2,"-")),"-")</f>
        <v>2</v>
      </c>
      <c r="R858" t="s">
        <v>3232</v>
      </c>
      <c r="S858" t="s">
        <v>3233</v>
      </c>
      <c r="T858">
        <v>0</v>
      </c>
      <c r="U858" t="s">
        <v>3234</v>
      </c>
    </row>
    <row r="859" spans="1:21" x14ac:dyDescent="0.35">
      <c r="A859" t="s">
        <v>3235</v>
      </c>
      <c r="B859" t="s">
        <v>3236</v>
      </c>
      <c r="C859">
        <v>1971</v>
      </c>
      <c r="D859" s="5">
        <v>8.1162229999999997</v>
      </c>
      <c r="E859" s="5">
        <v>4.1095639999999998</v>
      </c>
      <c r="F859" s="5">
        <v>12.21715</v>
      </c>
      <c r="G859" s="5">
        <v>3.027358</v>
      </c>
      <c r="H859" s="6">
        <v>0.28454299999999999</v>
      </c>
      <c r="I859" s="11">
        <v>0</v>
      </c>
      <c r="J859" s="11">
        <v>0</v>
      </c>
      <c r="K859" s="7">
        <f t="shared" si="26"/>
        <v>6.86757375</v>
      </c>
      <c r="L859" s="8">
        <f t="shared" si="27"/>
        <v>9.4847666666666663E-2</v>
      </c>
      <c r="M859" s="9">
        <v>8.5151630536002597E-10</v>
      </c>
      <c r="N859" s="9">
        <v>1.85404522780335E-8</v>
      </c>
      <c r="O859" s="2">
        <v>-4.3055341034287897</v>
      </c>
      <c r="P859" t="s">
        <v>3235</v>
      </c>
      <c r="Q859" s="10">
        <f>IF(N859&lt;='[1]statistical criteria'!$B$2,IF(O859&gt;=LOG('[1]statistical criteria'!$B$3,2),1,IF(O859&lt;=-1*LOG('[1]statistical criteria'!$B$3,2),2,"-")),"-")</f>
        <v>2</v>
      </c>
      <c r="R859" t="s">
        <v>1521</v>
      </c>
      <c r="S859" t="s">
        <v>3237</v>
      </c>
      <c r="T859">
        <v>0</v>
      </c>
      <c r="U859" t="s">
        <v>1523</v>
      </c>
    </row>
    <row r="860" spans="1:21" x14ac:dyDescent="0.35">
      <c r="A860" t="s">
        <v>3238</v>
      </c>
      <c r="B860" t="s">
        <v>3239</v>
      </c>
      <c r="C860">
        <v>1704</v>
      </c>
      <c r="D860" s="5">
        <v>2.0687920000000002</v>
      </c>
      <c r="E860" s="5">
        <v>7.6121549999999996</v>
      </c>
      <c r="F860" s="5">
        <v>7.0841050000000001</v>
      </c>
      <c r="G860" s="5">
        <v>0.52233399999999996</v>
      </c>
      <c r="H860" s="11">
        <v>0</v>
      </c>
      <c r="I860" s="11">
        <v>0</v>
      </c>
      <c r="J860" s="11">
        <v>0</v>
      </c>
      <c r="K860" s="7">
        <f t="shared" si="26"/>
        <v>4.3218465000000004</v>
      </c>
      <c r="L860" s="8">
        <f t="shared" si="27"/>
        <v>0</v>
      </c>
      <c r="M860" s="9">
        <v>3.9180483340421202E-6</v>
      </c>
      <c r="N860" s="9">
        <v>3.9098300889785903E-5</v>
      </c>
      <c r="O860" s="2">
        <v>-4.3060534605637804</v>
      </c>
      <c r="P860" t="s">
        <v>3238</v>
      </c>
      <c r="Q860" s="10">
        <f>IF(N860&lt;='[1]statistical criteria'!$B$2,IF(O860&gt;=LOG('[1]statistical criteria'!$B$3,2),1,IF(O860&lt;=-1*LOG('[1]statistical criteria'!$B$3,2),2,"-")),"-")</f>
        <v>2</v>
      </c>
      <c r="R860" t="s">
        <v>708</v>
      </c>
      <c r="S860" t="s">
        <v>3240</v>
      </c>
      <c r="T860">
        <v>0</v>
      </c>
      <c r="U860" t="s">
        <v>710</v>
      </c>
    </row>
    <row r="861" spans="1:21" x14ac:dyDescent="0.35">
      <c r="A861" t="s">
        <v>3241</v>
      </c>
      <c r="B861" t="s">
        <v>3242</v>
      </c>
      <c r="C861">
        <v>381</v>
      </c>
      <c r="D861" s="5">
        <v>49.023639000000003</v>
      </c>
      <c r="E861" s="5">
        <v>22.363651000000001</v>
      </c>
      <c r="F861" s="5">
        <v>62.098891999999999</v>
      </c>
      <c r="G861" s="5">
        <v>49.327970999999998</v>
      </c>
      <c r="H861" s="6">
        <v>9.8053760000000008</v>
      </c>
      <c r="I861" s="11">
        <v>0</v>
      </c>
      <c r="J861" s="11">
        <v>0</v>
      </c>
      <c r="K861" s="7">
        <f t="shared" si="26"/>
        <v>45.703538250000001</v>
      </c>
      <c r="L861" s="8">
        <f t="shared" si="27"/>
        <v>3.2684586666666671</v>
      </c>
      <c r="M861" s="9">
        <v>1.7956042518544299E-9</v>
      </c>
      <c r="N861" s="9">
        <v>3.7081225081703397E-8</v>
      </c>
      <c r="O861" s="2">
        <v>-4.3086550873342402</v>
      </c>
      <c r="P861" t="s">
        <v>3241</v>
      </c>
      <c r="Q861" s="10">
        <f>IF(N861&lt;='[1]statistical criteria'!$B$2,IF(O861&gt;=LOG('[1]statistical criteria'!$B$3,2),1,IF(O861&lt;=-1*LOG('[1]statistical criteria'!$B$3,2),2,"-")),"-")</f>
        <v>2</v>
      </c>
      <c r="R861" t="s">
        <v>3243</v>
      </c>
      <c r="S861" t="s">
        <v>3244</v>
      </c>
      <c r="T861" s="9">
        <v>1E-22</v>
      </c>
      <c r="U861" t="s">
        <v>61</v>
      </c>
    </row>
    <row r="862" spans="1:21" x14ac:dyDescent="0.35">
      <c r="A862" t="s">
        <v>3245</v>
      </c>
      <c r="B862" t="s">
        <v>3246</v>
      </c>
      <c r="C862">
        <v>1362</v>
      </c>
      <c r="D862" s="5">
        <v>10.267364000000001</v>
      </c>
      <c r="E862" s="5">
        <v>7.8740269999999999</v>
      </c>
      <c r="F862" s="5">
        <v>7.955406</v>
      </c>
      <c r="G862" s="5">
        <v>6.3674239999999998</v>
      </c>
      <c r="H862" s="6">
        <v>0.70694500000000005</v>
      </c>
      <c r="I862" s="11">
        <v>0</v>
      </c>
      <c r="J862" s="11">
        <v>0</v>
      </c>
      <c r="K862" s="7">
        <f t="shared" si="26"/>
        <v>8.1160552499999987</v>
      </c>
      <c r="L862" s="8">
        <f t="shared" si="27"/>
        <v>0.23564833333333335</v>
      </c>
      <c r="M862" s="9">
        <v>7.9153227806607E-8</v>
      </c>
      <c r="N862" s="9">
        <v>1.1718500957949001E-6</v>
      </c>
      <c r="O862" s="2">
        <v>-4.3111491088216098</v>
      </c>
      <c r="P862" t="s">
        <v>3245</v>
      </c>
      <c r="Q862" s="10">
        <f>IF(N862&lt;='[1]statistical criteria'!$B$2,IF(O862&gt;=LOG('[1]statistical criteria'!$B$3,2),1,IF(O862&lt;=-1*LOG('[1]statistical criteria'!$B$3,2),2,"-")),"-")</f>
        <v>2</v>
      </c>
      <c r="R862" t="s">
        <v>3247</v>
      </c>
      <c r="S862" t="s">
        <v>3248</v>
      </c>
      <c r="T862" s="9">
        <v>5.0000000000000002E-98</v>
      </c>
      <c r="U862" t="s">
        <v>3249</v>
      </c>
    </row>
    <row r="863" spans="1:21" x14ac:dyDescent="0.35">
      <c r="A863" t="s">
        <v>3250</v>
      </c>
      <c r="B863" t="s">
        <v>3251</v>
      </c>
      <c r="C863">
        <v>1218</v>
      </c>
      <c r="D863" s="5">
        <v>2.9791069999999999</v>
      </c>
      <c r="E863" s="5">
        <v>6.3496220000000001</v>
      </c>
      <c r="F863" s="5">
        <v>5.5252540000000003</v>
      </c>
      <c r="G863" s="5">
        <v>1.565067</v>
      </c>
      <c r="H863" s="11">
        <v>0</v>
      </c>
      <c r="I863" s="11">
        <v>0</v>
      </c>
      <c r="J863" s="11">
        <v>0</v>
      </c>
      <c r="K863" s="7">
        <f t="shared" si="26"/>
        <v>4.1047624999999996</v>
      </c>
      <c r="L863" s="8">
        <f t="shared" si="27"/>
        <v>0</v>
      </c>
      <c r="M863" s="9">
        <v>3.7807030737733399E-6</v>
      </c>
      <c r="N863" s="9">
        <v>3.7826908251265402E-5</v>
      </c>
      <c r="O863" s="2">
        <v>-4.3156252670028596</v>
      </c>
      <c r="P863" t="s">
        <v>3250</v>
      </c>
      <c r="Q863" s="10">
        <f>IF(N863&lt;='[1]statistical criteria'!$B$2,IF(O863&gt;=LOG('[1]statistical criteria'!$B$3,2),1,IF(O863&lt;=-1*LOG('[1]statistical criteria'!$B$3,2),2,"-")),"-")</f>
        <v>2</v>
      </c>
      <c r="R863" t="s">
        <v>419</v>
      </c>
      <c r="S863" t="s">
        <v>3252</v>
      </c>
      <c r="T863" s="9">
        <v>2E-140</v>
      </c>
      <c r="U863" t="s">
        <v>421</v>
      </c>
    </row>
    <row r="864" spans="1:21" x14ac:dyDescent="0.35">
      <c r="A864" t="s">
        <v>3253</v>
      </c>
      <c r="B864" t="s">
        <v>3254</v>
      </c>
      <c r="C864">
        <v>7890</v>
      </c>
      <c r="D864" s="5">
        <v>4.3947250000000002</v>
      </c>
      <c r="E864" s="5">
        <v>4.9170660000000002</v>
      </c>
      <c r="F864" s="5">
        <v>4.4137550000000001</v>
      </c>
      <c r="G864" s="5">
        <v>2.735754</v>
      </c>
      <c r="H864" s="6">
        <v>5.7852000000000001E-2</v>
      </c>
      <c r="I864" s="6">
        <v>0.90363899999999997</v>
      </c>
      <c r="J864" s="11">
        <v>0</v>
      </c>
      <c r="K864" s="7">
        <f t="shared" si="26"/>
        <v>4.1153250000000003</v>
      </c>
      <c r="L864" s="8">
        <f t="shared" si="27"/>
        <v>0.32049699999999998</v>
      </c>
      <c r="M864" s="9">
        <v>6.4464996792980904E-8</v>
      </c>
      <c r="N864" s="9">
        <v>9.7517399759175396E-7</v>
      </c>
      <c r="O864" s="2">
        <v>-4.3156582796154899</v>
      </c>
      <c r="P864" t="s">
        <v>3253</v>
      </c>
      <c r="Q864" s="10">
        <f>IF(N864&lt;='[1]statistical criteria'!$B$2,IF(O864&gt;=LOG('[1]statistical criteria'!$B$3,2),1,IF(O864&lt;=-1*LOG('[1]statistical criteria'!$B$3,2),2,"-")),"-")</f>
        <v>2</v>
      </c>
      <c r="R864" t="s">
        <v>3255</v>
      </c>
      <c r="S864" t="s">
        <v>3256</v>
      </c>
      <c r="T864">
        <v>0</v>
      </c>
      <c r="U864" t="s">
        <v>3257</v>
      </c>
    </row>
    <row r="865" spans="1:21" x14ac:dyDescent="0.35">
      <c r="A865" t="s">
        <v>3258</v>
      </c>
      <c r="B865" t="s">
        <v>3259</v>
      </c>
      <c r="C865">
        <v>1004</v>
      </c>
      <c r="D865" s="5">
        <v>5.9419409999999999</v>
      </c>
      <c r="E865" s="5">
        <v>11.394339</v>
      </c>
      <c r="F865" s="5">
        <v>0.48311999999999999</v>
      </c>
      <c r="G865" s="5">
        <v>3.3853080000000002</v>
      </c>
      <c r="H865" s="11">
        <v>0</v>
      </c>
      <c r="I865" s="11">
        <v>0</v>
      </c>
      <c r="J865" s="11">
        <v>0</v>
      </c>
      <c r="K865" s="7">
        <f t="shared" si="26"/>
        <v>5.3011770000000009</v>
      </c>
      <c r="L865" s="8">
        <f t="shared" si="27"/>
        <v>0</v>
      </c>
      <c r="M865" s="9">
        <v>4.02951845930476E-8</v>
      </c>
      <c r="N865" s="9">
        <v>6.3609901518514696E-7</v>
      </c>
      <c r="O865" s="2">
        <v>-4.3156797392574502</v>
      </c>
      <c r="P865" t="s">
        <v>3258</v>
      </c>
      <c r="Q865" s="10">
        <f>IF(N865&lt;='[1]statistical criteria'!$B$2,IF(O865&gt;=LOG('[1]statistical criteria'!$B$3,2),1,IF(O865&lt;=-1*LOG('[1]statistical criteria'!$B$3,2),2,"-")),"-")</f>
        <v>2</v>
      </c>
      <c r="R865" t="s">
        <v>3260</v>
      </c>
      <c r="S865" t="s">
        <v>3261</v>
      </c>
      <c r="T865" s="9">
        <v>5.0000000000000002E-169</v>
      </c>
      <c r="U865" t="s">
        <v>3262</v>
      </c>
    </row>
    <row r="866" spans="1:21" x14ac:dyDescent="0.35">
      <c r="A866" t="s">
        <v>3263</v>
      </c>
      <c r="B866" t="s">
        <v>3264</v>
      </c>
      <c r="C866">
        <v>2370</v>
      </c>
      <c r="D866" s="5">
        <v>3.6235840000000001</v>
      </c>
      <c r="E866" s="5">
        <v>12.782964</v>
      </c>
      <c r="F866" s="5">
        <v>7.2986630000000003</v>
      </c>
      <c r="G866" s="5">
        <v>8.2519200000000001</v>
      </c>
      <c r="H866" s="11">
        <v>0</v>
      </c>
      <c r="I866" s="6">
        <v>1.028489</v>
      </c>
      <c r="J866" s="11">
        <v>0</v>
      </c>
      <c r="K866" s="7">
        <f t="shared" si="26"/>
        <v>7.989282750000001</v>
      </c>
      <c r="L866" s="8">
        <f t="shared" si="27"/>
        <v>0.34282966666666664</v>
      </c>
      <c r="M866" s="9">
        <v>1.7189078933689799E-8</v>
      </c>
      <c r="N866" s="9">
        <v>2.9376575851649399E-7</v>
      </c>
      <c r="O866" s="2">
        <v>-4.3179979423298702</v>
      </c>
      <c r="P866" t="s">
        <v>3263</v>
      </c>
      <c r="Q866" s="10">
        <f>IF(N866&lt;='[1]statistical criteria'!$B$2,IF(O866&gt;=LOG('[1]statistical criteria'!$B$3,2),1,IF(O866&lt;=-1*LOG('[1]statistical criteria'!$B$3,2),2,"-")),"-")</f>
        <v>2</v>
      </c>
      <c r="R866" t="s">
        <v>1889</v>
      </c>
      <c r="S866" t="s">
        <v>3265</v>
      </c>
      <c r="T866">
        <v>0</v>
      </c>
      <c r="U866" t="s">
        <v>3266</v>
      </c>
    </row>
    <row r="867" spans="1:21" x14ac:dyDescent="0.35">
      <c r="A867" t="s">
        <v>3267</v>
      </c>
      <c r="B867" t="s">
        <v>3268</v>
      </c>
      <c r="C867">
        <v>1020</v>
      </c>
      <c r="D867" s="5">
        <v>0.747803</v>
      </c>
      <c r="E867" s="5">
        <v>4.996937</v>
      </c>
      <c r="F867" s="5">
        <v>3.8403900000000002</v>
      </c>
      <c r="G867" s="5">
        <v>1.282494</v>
      </c>
      <c r="H867" s="11">
        <v>0</v>
      </c>
      <c r="I867" s="11">
        <v>0</v>
      </c>
      <c r="J867" s="11">
        <v>0</v>
      </c>
      <c r="K867" s="7">
        <f t="shared" si="26"/>
        <v>2.7169059999999998</v>
      </c>
      <c r="L867" s="8">
        <f t="shared" si="27"/>
        <v>0</v>
      </c>
      <c r="M867" s="9">
        <v>4.0957241124133697E-6</v>
      </c>
      <c r="N867" s="9">
        <v>4.0700590004817999E-5</v>
      </c>
      <c r="O867" s="2">
        <v>-4.3195165798092496</v>
      </c>
      <c r="P867" t="s">
        <v>3267</v>
      </c>
      <c r="Q867" s="10">
        <f>IF(N867&lt;='[1]statistical criteria'!$B$2,IF(O867&gt;=LOG('[1]statistical criteria'!$B$3,2),1,IF(O867&lt;=-1*LOG('[1]statistical criteria'!$B$3,2),2,"-")),"-")</f>
        <v>2</v>
      </c>
      <c r="R867" t="s">
        <v>2850</v>
      </c>
      <c r="S867" t="s">
        <v>2851</v>
      </c>
      <c r="T867" s="9">
        <v>2E-12</v>
      </c>
      <c r="U867" t="s">
        <v>2852</v>
      </c>
    </row>
    <row r="868" spans="1:21" x14ac:dyDescent="0.35">
      <c r="A868" t="s">
        <v>3269</v>
      </c>
      <c r="B868" t="s">
        <v>3270</v>
      </c>
      <c r="C868">
        <v>1131</v>
      </c>
      <c r="D868" s="5">
        <v>2.9709620000000001</v>
      </c>
      <c r="E868" s="5">
        <v>4.0171859999999997</v>
      </c>
      <c r="F868" s="5">
        <v>1.778913</v>
      </c>
      <c r="G868" s="5">
        <v>3.0650849999999998</v>
      </c>
      <c r="H868" s="11">
        <v>0</v>
      </c>
      <c r="I868" s="11">
        <v>0</v>
      </c>
      <c r="J868" s="11">
        <v>0</v>
      </c>
      <c r="K868" s="7">
        <f t="shared" si="26"/>
        <v>2.9580365</v>
      </c>
      <c r="L868" s="8">
        <f t="shared" si="27"/>
        <v>0</v>
      </c>
      <c r="M868" s="9">
        <v>2.7984375757756198E-6</v>
      </c>
      <c r="N868" s="9">
        <v>2.8793872434176799E-5</v>
      </c>
      <c r="O868" s="2">
        <v>-4.3236504249243</v>
      </c>
      <c r="P868" t="s">
        <v>3269</v>
      </c>
      <c r="Q868" s="10">
        <f>IF(N868&lt;='[1]statistical criteria'!$B$2,IF(O868&gt;=LOG('[1]statistical criteria'!$B$3,2),1,IF(O868&lt;=-1*LOG('[1]statistical criteria'!$B$3,2),2,"-")),"-")</f>
        <v>2</v>
      </c>
      <c r="R868" t="s">
        <v>3271</v>
      </c>
      <c r="S868" t="s">
        <v>3272</v>
      </c>
      <c r="T868">
        <v>0</v>
      </c>
      <c r="U868" t="s">
        <v>3273</v>
      </c>
    </row>
    <row r="869" spans="1:21" x14ac:dyDescent="0.35">
      <c r="A869" t="s">
        <v>3274</v>
      </c>
      <c r="B869" t="s">
        <v>3275</v>
      </c>
      <c r="C869">
        <v>1593</v>
      </c>
      <c r="D869" s="5">
        <v>5.0790059999999997</v>
      </c>
      <c r="E869" s="5">
        <v>14.505922999999999</v>
      </c>
      <c r="F869" s="5">
        <v>26.046762999999999</v>
      </c>
      <c r="G869" s="5">
        <v>13.174156</v>
      </c>
      <c r="H869" s="11">
        <v>0</v>
      </c>
      <c r="I869" s="6">
        <v>4.5142470000000001</v>
      </c>
      <c r="J869" s="11">
        <v>0</v>
      </c>
      <c r="K869" s="7">
        <f t="shared" si="26"/>
        <v>14.701461999999999</v>
      </c>
      <c r="L869" s="8">
        <f t="shared" si="27"/>
        <v>1.5047490000000001</v>
      </c>
      <c r="M869" s="9">
        <v>3.4469203294748801E-6</v>
      </c>
      <c r="N869" s="9">
        <v>3.4724665891957102E-5</v>
      </c>
      <c r="O869" s="2">
        <v>-4.3244183185490197</v>
      </c>
      <c r="P869" t="s">
        <v>3274</v>
      </c>
      <c r="Q869" s="10">
        <f>IF(N869&lt;='[1]statistical criteria'!$B$2,IF(O869&gt;=LOG('[1]statistical criteria'!$B$3,2),1,IF(O869&lt;=-1*LOG('[1]statistical criteria'!$B$3,2),2,"-")),"-")</f>
        <v>2</v>
      </c>
      <c r="R869" t="s">
        <v>3214</v>
      </c>
      <c r="S869" t="s">
        <v>3215</v>
      </c>
      <c r="T869">
        <v>0</v>
      </c>
      <c r="U869" t="s">
        <v>3216</v>
      </c>
    </row>
    <row r="870" spans="1:21" x14ac:dyDescent="0.35">
      <c r="A870" t="s">
        <v>3276</v>
      </c>
      <c r="B870" t="s">
        <v>3277</v>
      </c>
      <c r="C870">
        <v>684</v>
      </c>
      <c r="D870" s="5">
        <v>7.2990199999999996</v>
      </c>
      <c r="E870" s="5">
        <v>9.5232659999999996</v>
      </c>
      <c r="F870" s="5">
        <v>1.204909</v>
      </c>
      <c r="G870" s="5">
        <v>12.242984999999999</v>
      </c>
      <c r="H870" s="11">
        <v>0</v>
      </c>
      <c r="I870" s="11">
        <v>0</v>
      </c>
      <c r="J870" s="11">
        <v>0</v>
      </c>
      <c r="K870" s="7">
        <f t="shared" si="26"/>
        <v>7.5675449999999991</v>
      </c>
      <c r="L870" s="8">
        <f t="shared" si="27"/>
        <v>0</v>
      </c>
      <c r="M870" s="9">
        <v>2.72231010422874E-6</v>
      </c>
      <c r="N870" s="9">
        <v>2.81551963497135E-5</v>
      </c>
      <c r="O870" s="2">
        <v>-4.3271461141543197</v>
      </c>
      <c r="P870" t="s">
        <v>3276</v>
      </c>
      <c r="Q870" s="10">
        <f>IF(N870&lt;='[1]statistical criteria'!$B$2,IF(O870&gt;=LOG('[1]statistical criteria'!$B$3,2),1,IF(O870&lt;=-1*LOG('[1]statistical criteria'!$B$3,2),2,"-")),"-")</f>
        <v>2</v>
      </c>
      <c r="R870" t="s">
        <v>3278</v>
      </c>
      <c r="S870" t="s">
        <v>3279</v>
      </c>
      <c r="T870" s="9">
        <v>8.9999999999999996E-144</v>
      </c>
      <c r="U870" t="s">
        <v>61</v>
      </c>
    </row>
    <row r="871" spans="1:21" x14ac:dyDescent="0.35">
      <c r="A871" t="s">
        <v>3280</v>
      </c>
      <c r="B871" t="s">
        <v>3281</v>
      </c>
      <c r="C871">
        <v>2640</v>
      </c>
      <c r="D871" s="5">
        <v>32.285015000000001</v>
      </c>
      <c r="E871" s="5">
        <v>41.171850999999997</v>
      </c>
      <c r="F871" s="5">
        <v>36.080316000000003</v>
      </c>
      <c r="G871" s="5">
        <v>34.386684000000002</v>
      </c>
      <c r="H871" s="6">
        <v>2.1949990000000001</v>
      </c>
      <c r="I871" s="6">
        <v>1.562756</v>
      </c>
      <c r="J871" s="11">
        <v>0</v>
      </c>
      <c r="K871" s="7">
        <f t="shared" ref="K871:K934" si="28">AVERAGE(D871:G871)</f>
        <v>35.980966500000001</v>
      </c>
      <c r="L871" s="8">
        <f t="shared" ref="L871:L934" si="29">AVERAGE(H871:J871)</f>
        <v>1.2525850000000001</v>
      </c>
      <c r="M871" s="9">
        <v>5.7913701392519598E-7</v>
      </c>
      <c r="N871" s="9">
        <v>7.0534255199977498E-6</v>
      </c>
      <c r="O871" s="2">
        <v>-4.3289766398829901</v>
      </c>
      <c r="P871" t="s">
        <v>3280</v>
      </c>
      <c r="Q871" s="10">
        <f>IF(N871&lt;='[1]statistical criteria'!$B$2,IF(O871&gt;=LOG('[1]statistical criteria'!$B$3,2),1,IF(O871&lt;=-1*LOG('[1]statistical criteria'!$B$3,2),2,"-")),"-")</f>
        <v>2</v>
      </c>
      <c r="R871" t="s">
        <v>3282</v>
      </c>
      <c r="S871" t="s">
        <v>3283</v>
      </c>
      <c r="T871">
        <v>2.6</v>
      </c>
      <c r="U871" t="s">
        <v>61</v>
      </c>
    </row>
    <row r="872" spans="1:21" x14ac:dyDescent="0.35">
      <c r="A872" t="s">
        <v>3284</v>
      </c>
      <c r="B872" t="s">
        <v>3285</v>
      </c>
      <c r="C872">
        <v>1026</v>
      </c>
      <c r="D872" s="5">
        <v>1.688879</v>
      </c>
      <c r="E872" s="5">
        <v>1.807078</v>
      </c>
      <c r="F872" s="5">
        <v>1.8798889999999999</v>
      </c>
      <c r="G872" s="5">
        <v>3.4552510000000001</v>
      </c>
      <c r="H872" s="11">
        <v>0</v>
      </c>
      <c r="I872" s="11">
        <v>0</v>
      </c>
      <c r="J872" s="11">
        <v>0</v>
      </c>
      <c r="K872" s="7">
        <f t="shared" si="28"/>
        <v>2.2077742499999999</v>
      </c>
      <c r="L872" s="8">
        <f t="shared" si="29"/>
        <v>0</v>
      </c>
      <c r="M872" s="9">
        <v>2.2519622900376599E-8</v>
      </c>
      <c r="N872" s="9">
        <v>3.75425688825376E-7</v>
      </c>
      <c r="O872" s="2">
        <v>-4.3352485248469597</v>
      </c>
      <c r="P872" t="s">
        <v>3284</v>
      </c>
      <c r="Q872" s="10">
        <f>IF(N872&lt;='[1]statistical criteria'!$B$2,IF(O872&gt;=LOG('[1]statistical criteria'!$B$3,2),1,IF(O872&lt;=-1*LOG('[1]statistical criteria'!$B$3,2),2,"-")),"-")</f>
        <v>2</v>
      </c>
      <c r="R872" t="s">
        <v>3286</v>
      </c>
      <c r="S872" t="s">
        <v>3287</v>
      </c>
      <c r="T872" s="9">
        <v>1.0000000000000001E-152</v>
      </c>
      <c r="U872" t="s">
        <v>3288</v>
      </c>
    </row>
    <row r="873" spans="1:21" x14ac:dyDescent="0.35">
      <c r="A873" t="s">
        <v>3289</v>
      </c>
      <c r="B873" t="s">
        <v>3290</v>
      </c>
      <c r="C873">
        <v>927</v>
      </c>
      <c r="D873" s="5">
        <v>1.9737169999999999</v>
      </c>
      <c r="E873" s="5">
        <v>7.1771960000000004</v>
      </c>
      <c r="F873" s="5">
        <v>1.0506219999999999</v>
      </c>
      <c r="G873" s="5">
        <v>5.0427020000000002</v>
      </c>
      <c r="H873" s="11">
        <v>0</v>
      </c>
      <c r="I873" s="11">
        <v>0</v>
      </c>
      <c r="J873" s="11">
        <v>0</v>
      </c>
      <c r="K873" s="7">
        <f t="shared" si="28"/>
        <v>3.8110592500000005</v>
      </c>
      <c r="L873" s="8">
        <f t="shared" si="29"/>
        <v>0</v>
      </c>
      <c r="M873" s="9">
        <v>3.7794211574602999E-7</v>
      </c>
      <c r="N873" s="9">
        <v>4.8012272781354803E-6</v>
      </c>
      <c r="O873" s="2">
        <v>-4.3379992957986104</v>
      </c>
      <c r="P873" t="s">
        <v>3289</v>
      </c>
      <c r="Q873" s="10">
        <f>IF(N873&lt;='[1]statistical criteria'!$B$2,IF(O873&gt;=LOG('[1]statistical criteria'!$B$3,2),1,IF(O873&lt;=-1*LOG('[1]statistical criteria'!$B$3,2),2,"-")),"-")</f>
        <v>2</v>
      </c>
      <c r="R873" t="s">
        <v>2801</v>
      </c>
      <c r="S873" t="s">
        <v>2802</v>
      </c>
      <c r="T873" s="9">
        <v>8.0000000000000001E-155</v>
      </c>
      <c r="U873" t="s">
        <v>2803</v>
      </c>
    </row>
    <row r="874" spans="1:21" x14ac:dyDescent="0.35">
      <c r="A874" t="s">
        <v>3291</v>
      </c>
      <c r="B874" t="s">
        <v>3292</v>
      </c>
      <c r="C874">
        <v>1470</v>
      </c>
      <c r="D874" s="5">
        <v>78.237826999999996</v>
      </c>
      <c r="E874" s="5">
        <v>110.971456</v>
      </c>
      <c r="F874" s="5">
        <v>84.247440999999995</v>
      </c>
      <c r="G874" s="5">
        <v>51.066932999999999</v>
      </c>
      <c r="H874" s="6">
        <v>5.8785309999999997</v>
      </c>
      <c r="I874" s="6">
        <v>6.9524499999999998</v>
      </c>
      <c r="J874" s="11">
        <v>0</v>
      </c>
      <c r="K874" s="7">
        <f t="shared" si="28"/>
        <v>81.130914250000004</v>
      </c>
      <c r="L874" s="8">
        <f t="shared" si="29"/>
        <v>4.2769936666666668</v>
      </c>
      <c r="M874" s="9">
        <v>8.4286376411808101E-7</v>
      </c>
      <c r="N874" s="9">
        <v>9.8766609797826905E-6</v>
      </c>
      <c r="O874" s="2">
        <v>-4.3390353178092198</v>
      </c>
      <c r="P874" t="s">
        <v>3291</v>
      </c>
      <c r="Q874" s="10">
        <f>IF(N874&lt;='[1]statistical criteria'!$B$2,IF(O874&gt;=LOG('[1]statistical criteria'!$B$3,2),1,IF(O874&lt;=-1*LOG('[1]statistical criteria'!$B$3,2),2,"-")),"-")</f>
        <v>2</v>
      </c>
      <c r="R874" t="s">
        <v>3293</v>
      </c>
      <c r="S874" t="s">
        <v>3294</v>
      </c>
      <c r="T874">
        <v>0</v>
      </c>
      <c r="U874" t="s">
        <v>3295</v>
      </c>
    </row>
    <row r="875" spans="1:21" x14ac:dyDescent="0.35">
      <c r="A875" t="s">
        <v>3296</v>
      </c>
      <c r="B875" t="s">
        <v>3297</v>
      </c>
      <c r="C875">
        <v>354</v>
      </c>
      <c r="D875" s="5">
        <v>96.795681000000002</v>
      </c>
      <c r="E875" s="5">
        <v>95.524377999999999</v>
      </c>
      <c r="F875" s="5">
        <v>100.25478699999999</v>
      </c>
      <c r="G875" s="5">
        <v>169.08356499999999</v>
      </c>
      <c r="H875" s="6">
        <v>3.0505610000000001</v>
      </c>
      <c r="I875" s="6">
        <v>8.3728940000000005</v>
      </c>
      <c r="J875" s="11">
        <v>0</v>
      </c>
      <c r="K875" s="7">
        <f t="shared" si="28"/>
        <v>115.41460275</v>
      </c>
      <c r="L875" s="8">
        <f t="shared" si="29"/>
        <v>3.8078183333333335</v>
      </c>
      <c r="M875" s="9">
        <v>2.7930406668572401E-10</v>
      </c>
      <c r="N875" s="9">
        <v>6.5377077355834197E-9</v>
      </c>
      <c r="O875" s="2">
        <v>-4.3437806813090996</v>
      </c>
      <c r="P875" t="s">
        <v>3296</v>
      </c>
      <c r="Q875" s="10">
        <f>IF(N875&lt;='[1]statistical criteria'!$B$2,IF(O875&gt;=LOG('[1]statistical criteria'!$B$3,2),1,IF(O875&lt;=-1*LOG('[1]statistical criteria'!$B$3,2),2,"-")),"-")</f>
        <v>2</v>
      </c>
      <c r="R875" t="s">
        <v>3298</v>
      </c>
      <c r="S875" t="s">
        <v>3299</v>
      </c>
      <c r="T875" s="9">
        <v>3.0000000000000002E-40</v>
      </c>
      <c r="U875" t="s">
        <v>3300</v>
      </c>
    </row>
    <row r="876" spans="1:21" x14ac:dyDescent="0.35">
      <c r="A876" t="s">
        <v>3301</v>
      </c>
      <c r="B876" t="s">
        <v>3302</v>
      </c>
      <c r="C876">
        <v>1767</v>
      </c>
      <c r="D876" s="5">
        <v>2.4704030000000001</v>
      </c>
      <c r="E876" s="5">
        <v>3.7995070000000002</v>
      </c>
      <c r="F876" s="5">
        <v>3.000534</v>
      </c>
      <c r="G876" s="5">
        <v>3.2832849999999998</v>
      </c>
      <c r="H876" s="11">
        <v>0</v>
      </c>
      <c r="I876" s="11">
        <v>0</v>
      </c>
      <c r="J876" s="11">
        <v>0</v>
      </c>
      <c r="K876" s="7">
        <f t="shared" si="28"/>
        <v>3.1384322500000001</v>
      </c>
      <c r="L876" s="8">
        <f t="shared" si="29"/>
        <v>0</v>
      </c>
      <c r="M876" s="9">
        <v>2.5424302730621201E-6</v>
      </c>
      <c r="N876" s="9">
        <v>2.6481909193416602E-5</v>
      </c>
      <c r="O876" s="2">
        <v>-4.3444085208902203</v>
      </c>
      <c r="P876" t="s">
        <v>3301</v>
      </c>
      <c r="Q876" s="10">
        <f>IF(N876&lt;='[1]statistical criteria'!$B$2,IF(O876&gt;=LOG('[1]statistical criteria'!$B$3,2),1,IF(O876&lt;=-1*LOG('[1]statistical criteria'!$B$3,2),2,"-")),"-")</f>
        <v>2</v>
      </c>
      <c r="R876" t="s">
        <v>3303</v>
      </c>
      <c r="S876" t="s">
        <v>3304</v>
      </c>
      <c r="T876">
        <v>0</v>
      </c>
      <c r="U876" t="s">
        <v>3305</v>
      </c>
    </row>
    <row r="877" spans="1:21" x14ac:dyDescent="0.35">
      <c r="A877" t="s">
        <v>3306</v>
      </c>
      <c r="B877" t="s">
        <v>3307</v>
      </c>
      <c r="C877">
        <v>2175</v>
      </c>
      <c r="D877" s="5">
        <v>37.879112999999997</v>
      </c>
      <c r="E877" s="5">
        <v>30.947631999999999</v>
      </c>
      <c r="F877" s="5">
        <v>29.822182999999999</v>
      </c>
      <c r="G877" s="5">
        <v>29.706167000000001</v>
      </c>
      <c r="H877" s="6">
        <v>0.67788999999999999</v>
      </c>
      <c r="I877" s="6">
        <v>2.1976300000000002</v>
      </c>
      <c r="J877" s="11">
        <v>0</v>
      </c>
      <c r="K877" s="7">
        <f t="shared" si="28"/>
        <v>32.088773749999994</v>
      </c>
      <c r="L877" s="8">
        <f t="shared" si="29"/>
        <v>0.95850666666666673</v>
      </c>
      <c r="M877" s="9">
        <v>1.56122853093594E-9</v>
      </c>
      <c r="N877" s="9">
        <v>3.25056662403839E-8</v>
      </c>
      <c r="O877" s="2">
        <v>-4.3464971703369999</v>
      </c>
      <c r="P877" t="s">
        <v>3306</v>
      </c>
      <c r="Q877" s="10">
        <f>IF(N877&lt;='[1]statistical criteria'!$B$2,IF(O877&gt;=LOG('[1]statistical criteria'!$B$3,2),1,IF(O877&lt;=-1*LOG('[1]statistical criteria'!$B$3,2),2,"-")),"-")</f>
        <v>2</v>
      </c>
      <c r="R877" t="s">
        <v>3308</v>
      </c>
      <c r="S877" t="s">
        <v>3309</v>
      </c>
      <c r="T877">
        <v>0</v>
      </c>
      <c r="U877" t="s">
        <v>3310</v>
      </c>
    </row>
    <row r="878" spans="1:21" x14ac:dyDescent="0.35">
      <c r="A878" t="s">
        <v>3311</v>
      </c>
      <c r="B878" t="s">
        <v>3312</v>
      </c>
      <c r="C878">
        <v>243</v>
      </c>
      <c r="D878" s="5">
        <v>21.111222000000001</v>
      </c>
      <c r="E878" s="5">
        <v>55.463729999999998</v>
      </c>
      <c r="F878" s="5">
        <v>50.084420999999999</v>
      </c>
      <c r="G878" s="5">
        <v>33.779283999999997</v>
      </c>
      <c r="H878" s="11">
        <v>0</v>
      </c>
      <c r="I878" s="11">
        <v>0</v>
      </c>
      <c r="J878" s="11">
        <v>0</v>
      </c>
      <c r="K878" s="7">
        <f t="shared" si="28"/>
        <v>40.109664249999994</v>
      </c>
      <c r="L878" s="8">
        <f t="shared" si="29"/>
        <v>0</v>
      </c>
      <c r="M878" s="9">
        <v>2.3995698456863801E-6</v>
      </c>
      <c r="N878" s="9">
        <v>2.5138350764333498E-5</v>
      </c>
      <c r="O878" s="2">
        <v>-4.3486004683229096</v>
      </c>
      <c r="P878" t="s">
        <v>3311</v>
      </c>
      <c r="Q878" s="10">
        <f>IF(N878&lt;='[1]statistical criteria'!$B$2,IF(O878&gt;=LOG('[1]statistical criteria'!$B$3,2),1,IF(O878&lt;=-1*LOG('[1]statistical criteria'!$B$3,2),2,"-")),"-")</f>
        <v>2</v>
      </c>
      <c r="R878" t="s">
        <v>3313</v>
      </c>
    </row>
    <row r="879" spans="1:21" x14ac:dyDescent="0.35">
      <c r="A879" t="s">
        <v>3314</v>
      </c>
      <c r="B879" t="s">
        <v>3315</v>
      </c>
      <c r="C879">
        <v>2010</v>
      </c>
      <c r="D879" s="5">
        <v>9.0443090000000002</v>
      </c>
      <c r="E879" s="5">
        <v>4.0346710000000003</v>
      </c>
      <c r="F879" s="5">
        <v>13.230223000000001</v>
      </c>
      <c r="G879" s="5">
        <v>7.1513730000000004</v>
      </c>
      <c r="H879" s="6">
        <v>1.0403279999999999</v>
      </c>
      <c r="I879" s="11">
        <v>0</v>
      </c>
      <c r="J879" s="11">
        <v>0</v>
      </c>
      <c r="K879" s="7">
        <f t="shared" si="28"/>
        <v>8.3651440000000008</v>
      </c>
      <c r="L879" s="8">
        <f t="shared" si="29"/>
        <v>0.34677599999999997</v>
      </c>
      <c r="M879" s="9">
        <v>2.7217324709856198E-7</v>
      </c>
      <c r="N879" s="9">
        <v>3.5683478417400201E-6</v>
      </c>
      <c r="O879" s="2">
        <v>-4.3494355019505804</v>
      </c>
      <c r="P879" t="s">
        <v>3314</v>
      </c>
      <c r="Q879" s="10">
        <f>IF(N879&lt;='[1]statistical criteria'!$B$2,IF(O879&gt;=LOG('[1]statistical criteria'!$B$3,2),1,IF(O879&lt;=-1*LOG('[1]statistical criteria'!$B$3,2),2,"-")),"-")</f>
        <v>2</v>
      </c>
      <c r="S879" t="s">
        <v>3316</v>
      </c>
      <c r="T879" s="9">
        <v>9.9999999999999996E-82</v>
      </c>
      <c r="U879" t="s">
        <v>61</v>
      </c>
    </row>
    <row r="880" spans="1:21" x14ac:dyDescent="0.35">
      <c r="A880" t="s">
        <v>3317</v>
      </c>
      <c r="B880" t="s">
        <v>3318</v>
      </c>
      <c r="C880">
        <v>1221</v>
      </c>
      <c r="D880" s="5">
        <v>15.056203</v>
      </c>
      <c r="E880" s="5">
        <v>4.159707</v>
      </c>
      <c r="F880" s="5">
        <v>3.8250950000000001</v>
      </c>
      <c r="G880" s="5">
        <v>0.58893200000000001</v>
      </c>
      <c r="H880" s="11">
        <v>0</v>
      </c>
      <c r="I880" s="11">
        <v>0</v>
      </c>
      <c r="J880" s="11">
        <v>0</v>
      </c>
      <c r="K880" s="7">
        <f t="shared" si="28"/>
        <v>5.9074842500000004</v>
      </c>
      <c r="L880" s="8">
        <f t="shared" si="29"/>
        <v>0</v>
      </c>
      <c r="M880" s="9">
        <v>2.3709781992370399E-8</v>
      </c>
      <c r="N880" s="9">
        <v>3.9388664453497102E-7</v>
      </c>
      <c r="O880" s="2">
        <v>-4.3526943530158402</v>
      </c>
      <c r="P880" t="s">
        <v>3317</v>
      </c>
      <c r="Q880" s="10">
        <f>IF(N880&lt;='[1]statistical criteria'!$B$2,IF(O880&gt;=LOG('[1]statistical criteria'!$B$3,2),1,IF(O880&lt;=-1*LOG('[1]statistical criteria'!$B$3,2),2,"-")),"-")</f>
        <v>2</v>
      </c>
      <c r="S880" t="s">
        <v>3319</v>
      </c>
      <c r="T880" s="9">
        <v>9.9999999999999998E-141</v>
      </c>
      <c r="U880" t="s">
        <v>294</v>
      </c>
    </row>
    <row r="881" spans="1:21" x14ac:dyDescent="0.35">
      <c r="A881" t="s">
        <v>3320</v>
      </c>
      <c r="B881" t="s">
        <v>3321</v>
      </c>
      <c r="C881">
        <v>1254</v>
      </c>
      <c r="D881" s="5">
        <v>1.0315460000000001</v>
      </c>
      <c r="E881" s="5">
        <v>11.327754000000001</v>
      </c>
      <c r="F881" s="5">
        <v>3.9226800000000002</v>
      </c>
      <c r="G881" s="5">
        <v>3.0171869999999998</v>
      </c>
      <c r="H881" s="11">
        <v>0</v>
      </c>
      <c r="I881" s="11">
        <v>0</v>
      </c>
      <c r="J881" s="11">
        <v>0</v>
      </c>
      <c r="K881" s="7">
        <f t="shared" si="28"/>
        <v>4.8247917500000002</v>
      </c>
      <c r="L881" s="8">
        <f t="shared" si="29"/>
        <v>0</v>
      </c>
      <c r="M881" s="9">
        <v>2.3411890774289301E-6</v>
      </c>
      <c r="N881" s="9">
        <v>2.4601230338747899E-5</v>
      </c>
      <c r="O881" s="2">
        <v>-4.3547583822461799</v>
      </c>
      <c r="P881" t="s">
        <v>3320</v>
      </c>
      <c r="Q881" s="10">
        <f>IF(N881&lt;='[1]statistical criteria'!$B$2,IF(O881&gt;=LOG('[1]statistical criteria'!$B$3,2),1,IF(O881&lt;=-1*LOG('[1]statistical criteria'!$B$3,2),2,"-")),"-")</f>
        <v>2</v>
      </c>
      <c r="R881" t="s">
        <v>285</v>
      </c>
    </row>
    <row r="882" spans="1:21" x14ac:dyDescent="0.35">
      <c r="A882" t="s">
        <v>3322</v>
      </c>
      <c r="B882" t="s">
        <v>3323</v>
      </c>
      <c r="C882">
        <v>2625</v>
      </c>
      <c r="D882" s="5">
        <v>13.128266</v>
      </c>
      <c r="E882" s="5">
        <v>23.194908999999999</v>
      </c>
      <c r="F882" s="5">
        <v>24.433444000000001</v>
      </c>
      <c r="G882" s="5">
        <v>19.363274000000001</v>
      </c>
      <c r="H882" s="6">
        <v>2.5466570000000002</v>
      </c>
      <c r="I882" s="6">
        <v>0.12997500000000001</v>
      </c>
      <c r="J882" s="11">
        <v>0</v>
      </c>
      <c r="K882" s="7">
        <f t="shared" si="28"/>
        <v>20.029973250000001</v>
      </c>
      <c r="L882" s="8">
        <f t="shared" si="29"/>
        <v>0.89221066666666671</v>
      </c>
      <c r="M882" s="9">
        <v>1.50873099003656E-9</v>
      </c>
      <c r="N882" s="9">
        <v>3.1533389061390199E-8</v>
      </c>
      <c r="O882" s="2">
        <v>-4.3553452692866301</v>
      </c>
      <c r="P882" t="s">
        <v>3322</v>
      </c>
      <c r="Q882" s="10">
        <f>IF(N882&lt;='[1]statistical criteria'!$B$2,IF(O882&gt;=LOG('[1]statistical criteria'!$B$3,2),1,IF(O882&lt;=-1*LOG('[1]statistical criteria'!$B$3,2),2,"-")),"-")</f>
        <v>2</v>
      </c>
      <c r="R882" t="s">
        <v>1112</v>
      </c>
      <c r="S882" t="s">
        <v>3324</v>
      </c>
      <c r="T882">
        <v>0</v>
      </c>
      <c r="U882" t="s">
        <v>1114</v>
      </c>
    </row>
    <row r="883" spans="1:21" x14ac:dyDescent="0.35">
      <c r="A883" t="s">
        <v>3325</v>
      </c>
      <c r="B883" t="s">
        <v>3326</v>
      </c>
      <c r="C883">
        <v>1431</v>
      </c>
      <c r="D883" s="5">
        <v>5.0485910000000001</v>
      </c>
      <c r="E883" s="5">
        <v>4.0311620000000001</v>
      </c>
      <c r="F883" s="5">
        <v>0.75389600000000001</v>
      </c>
      <c r="G883" s="5">
        <v>3.2310989999999999</v>
      </c>
      <c r="H883" s="11">
        <v>0</v>
      </c>
      <c r="I883" s="11">
        <v>0</v>
      </c>
      <c r="J883" s="11">
        <v>0</v>
      </c>
      <c r="K883" s="7">
        <f t="shared" si="28"/>
        <v>3.266187</v>
      </c>
      <c r="L883" s="8">
        <f t="shared" si="29"/>
        <v>0</v>
      </c>
      <c r="M883" s="9">
        <v>3.0082580215742199E-6</v>
      </c>
      <c r="N883" s="9">
        <v>3.07945939486592E-5</v>
      </c>
      <c r="O883" s="2">
        <v>-4.35929748749124</v>
      </c>
      <c r="P883" t="s">
        <v>3325</v>
      </c>
      <c r="Q883" s="10">
        <f>IF(N883&lt;='[1]statistical criteria'!$B$2,IF(O883&gt;=LOG('[1]statistical criteria'!$B$3,2),1,IF(O883&lt;=-1*LOG('[1]statistical criteria'!$B$3,2),2,"-")),"-")</f>
        <v>2</v>
      </c>
      <c r="R883" t="s">
        <v>94</v>
      </c>
      <c r="S883" t="s">
        <v>3327</v>
      </c>
      <c r="T883">
        <v>0</v>
      </c>
      <c r="U883" t="s">
        <v>95</v>
      </c>
    </row>
    <row r="884" spans="1:21" x14ac:dyDescent="0.35">
      <c r="A884" t="s">
        <v>3328</v>
      </c>
      <c r="B884" t="s">
        <v>3329</v>
      </c>
      <c r="C884">
        <v>672</v>
      </c>
      <c r="D884" s="5">
        <v>5.7974160000000001</v>
      </c>
      <c r="E884" s="5">
        <v>9.0073500000000006</v>
      </c>
      <c r="F884" s="5">
        <v>5.3417190000000003</v>
      </c>
      <c r="G884" s="5">
        <v>3.1600199999999998</v>
      </c>
      <c r="H884" s="11">
        <v>0</v>
      </c>
      <c r="I884" s="11">
        <v>0</v>
      </c>
      <c r="J884" s="11">
        <v>0</v>
      </c>
      <c r="K884" s="7">
        <f t="shared" si="28"/>
        <v>5.8266262500000003</v>
      </c>
      <c r="L884" s="8">
        <f t="shared" si="29"/>
        <v>0</v>
      </c>
      <c r="M884" s="9">
        <v>3.4966294255964501E-6</v>
      </c>
      <c r="N884" s="9">
        <v>3.5160294831757202E-5</v>
      </c>
      <c r="O884" s="2">
        <v>-4.3626798655791097</v>
      </c>
      <c r="P884" t="s">
        <v>3328</v>
      </c>
      <c r="Q884" s="10">
        <f>IF(N884&lt;='[1]statistical criteria'!$B$2,IF(O884&gt;=LOG('[1]statistical criteria'!$B$3,2),1,IF(O884&lt;=-1*LOG('[1]statistical criteria'!$B$3,2),2,"-")),"-")</f>
        <v>2</v>
      </c>
      <c r="R884" t="s">
        <v>3003</v>
      </c>
      <c r="S884" t="s">
        <v>3004</v>
      </c>
      <c r="T884" s="9">
        <v>1E-100</v>
      </c>
      <c r="U884" t="s">
        <v>3005</v>
      </c>
    </row>
    <row r="885" spans="1:21" x14ac:dyDescent="0.35">
      <c r="A885" t="s">
        <v>3330</v>
      </c>
      <c r="B885" t="s">
        <v>3331</v>
      </c>
      <c r="C885">
        <v>1428</v>
      </c>
      <c r="D885" s="5">
        <v>11.820375</v>
      </c>
      <c r="E885" s="5">
        <v>11.548316</v>
      </c>
      <c r="F885" s="5">
        <v>5.619847</v>
      </c>
      <c r="G885" s="5">
        <v>3.7464249999999999</v>
      </c>
      <c r="H885" s="6">
        <v>1.1149020000000001</v>
      </c>
      <c r="I885" s="11">
        <v>0</v>
      </c>
      <c r="J885" s="11">
        <v>0</v>
      </c>
      <c r="K885" s="7">
        <f t="shared" si="28"/>
        <v>8.1837407500000001</v>
      </c>
      <c r="L885" s="8">
        <f t="shared" si="29"/>
        <v>0.37163400000000002</v>
      </c>
      <c r="M885" s="9">
        <v>9.9659773133619505E-14</v>
      </c>
      <c r="N885" s="9">
        <v>4.0223233992211599E-12</v>
      </c>
      <c r="O885" s="2">
        <v>-4.3634945865817096</v>
      </c>
      <c r="P885" t="s">
        <v>3330</v>
      </c>
      <c r="Q885" s="10">
        <f>IF(N885&lt;='[1]statistical criteria'!$B$2,IF(O885&gt;=LOG('[1]statistical criteria'!$B$3,2),1,IF(O885&lt;=-1*LOG('[1]statistical criteria'!$B$3,2),2,"-")),"-")</f>
        <v>2</v>
      </c>
      <c r="R885" t="s">
        <v>3332</v>
      </c>
      <c r="S885" t="s">
        <v>3333</v>
      </c>
      <c r="T885" s="9">
        <v>8E-90</v>
      </c>
      <c r="U885" t="s">
        <v>3334</v>
      </c>
    </row>
    <row r="886" spans="1:21" x14ac:dyDescent="0.35">
      <c r="A886" t="s">
        <v>3335</v>
      </c>
      <c r="B886" t="s">
        <v>3336</v>
      </c>
      <c r="C886">
        <v>801</v>
      </c>
      <c r="D886" s="5">
        <v>2.369246</v>
      </c>
      <c r="E886" s="5">
        <v>6.2677490000000002</v>
      </c>
      <c r="F886" s="5">
        <v>3.5409809999999999</v>
      </c>
      <c r="G886" s="5">
        <v>3.5926619999999998</v>
      </c>
      <c r="H886" s="11">
        <v>0</v>
      </c>
      <c r="I886" s="11">
        <v>0</v>
      </c>
      <c r="J886" s="11">
        <v>0</v>
      </c>
      <c r="K886" s="7">
        <f t="shared" si="28"/>
        <v>3.9426595000000004</v>
      </c>
      <c r="L886" s="8">
        <f t="shared" si="29"/>
        <v>0</v>
      </c>
      <c r="M886" s="9">
        <v>2.1247184443635802E-6</v>
      </c>
      <c r="N886" s="9">
        <v>2.2538122628895699E-5</v>
      </c>
      <c r="O886" s="2">
        <v>-4.3647737775865103</v>
      </c>
      <c r="P886" t="s">
        <v>3335</v>
      </c>
      <c r="Q886" s="10">
        <f>IF(N886&lt;='[1]statistical criteria'!$B$2,IF(O886&gt;=LOG('[1]statistical criteria'!$B$3,2),1,IF(O886&lt;=-1*LOG('[1]statistical criteria'!$B$3,2),2,"-")),"-")</f>
        <v>2</v>
      </c>
      <c r="R886" t="s">
        <v>3008</v>
      </c>
      <c r="S886" t="s">
        <v>3009</v>
      </c>
      <c r="T886" s="9">
        <v>7.9999999999999996E-144</v>
      </c>
      <c r="U886" t="s">
        <v>3010</v>
      </c>
    </row>
    <row r="887" spans="1:21" x14ac:dyDescent="0.35">
      <c r="A887" t="s">
        <v>3337</v>
      </c>
      <c r="B887" t="s">
        <v>3338</v>
      </c>
      <c r="C887">
        <v>3449</v>
      </c>
      <c r="D887" s="5">
        <v>3.965681</v>
      </c>
      <c r="E887" s="5">
        <v>3.3866710000000002</v>
      </c>
      <c r="F887" s="5">
        <v>7.2578889999999996</v>
      </c>
      <c r="G887" s="5">
        <v>4.5708169999999999</v>
      </c>
      <c r="H887" s="11">
        <v>0</v>
      </c>
      <c r="I887" s="11">
        <v>0</v>
      </c>
      <c r="J887" s="6">
        <v>0.73454900000000001</v>
      </c>
      <c r="K887" s="7">
        <f t="shared" si="28"/>
        <v>4.7952645</v>
      </c>
      <c r="L887" s="8">
        <f t="shared" si="29"/>
        <v>0.24484966666666666</v>
      </c>
      <c r="M887" s="9">
        <v>1.0406542237633699E-6</v>
      </c>
      <c r="N887" s="9">
        <v>1.1915553476664801E-5</v>
      </c>
      <c r="O887" s="2">
        <v>-4.3656775606733902</v>
      </c>
      <c r="P887" t="s">
        <v>3337</v>
      </c>
      <c r="Q887" s="10">
        <f>IF(N887&lt;='[1]statistical criteria'!$B$2,IF(O887&gt;=LOG('[1]statistical criteria'!$B$3,2),1,IF(O887&lt;=-1*LOG('[1]statistical criteria'!$B$3,2),2,"-")),"-")</f>
        <v>2</v>
      </c>
      <c r="R887" t="s">
        <v>3339</v>
      </c>
      <c r="S887" t="s">
        <v>3340</v>
      </c>
      <c r="T887">
        <v>0</v>
      </c>
      <c r="U887" t="s">
        <v>3341</v>
      </c>
    </row>
    <row r="888" spans="1:21" x14ac:dyDescent="0.35">
      <c r="A888" t="s">
        <v>3342</v>
      </c>
      <c r="B888" t="s">
        <v>3343</v>
      </c>
      <c r="C888">
        <v>1515</v>
      </c>
      <c r="D888" s="5">
        <v>8.6105219999999996</v>
      </c>
      <c r="E888" s="5">
        <v>7.4285459999999999</v>
      </c>
      <c r="F888" s="5">
        <v>6.0548149999999996</v>
      </c>
      <c r="G888" s="5">
        <v>5.681851</v>
      </c>
      <c r="H888" s="6">
        <v>0.70427799999999996</v>
      </c>
      <c r="I888" s="11">
        <v>0</v>
      </c>
      <c r="J888" s="11">
        <v>0</v>
      </c>
      <c r="K888" s="7">
        <f t="shared" si="28"/>
        <v>6.9439335</v>
      </c>
      <c r="L888" s="8">
        <f t="shared" si="29"/>
        <v>0.23475933333333332</v>
      </c>
      <c r="M888" s="9">
        <v>9.1246254147056599E-7</v>
      </c>
      <c r="N888" s="9">
        <v>1.0597596682444201E-5</v>
      </c>
      <c r="O888" s="2">
        <v>-4.36654215865111</v>
      </c>
      <c r="P888" t="s">
        <v>3342</v>
      </c>
      <c r="Q888" s="10">
        <f>IF(N888&lt;='[1]statistical criteria'!$B$2,IF(O888&gt;=LOG('[1]statistical criteria'!$B$3,2),1,IF(O888&lt;=-1*LOG('[1]statistical criteria'!$B$3,2),2,"-")),"-")</f>
        <v>2</v>
      </c>
      <c r="R888" t="s">
        <v>3181</v>
      </c>
      <c r="S888" t="s">
        <v>3344</v>
      </c>
      <c r="T888" s="9">
        <v>3.0000000000000002E-163</v>
      </c>
      <c r="U888" t="s">
        <v>3183</v>
      </c>
    </row>
    <row r="889" spans="1:21" x14ac:dyDescent="0.35">
      <c r="A889" t="s">
        <v>3345</v>
      </c>
      <c r="B889" t="s">
        <v>3346</v>
      </c>
      <c r="C889">
        <v>1176</v>
      </c>
      <c r="D889" s="5">
        <v>2.9458839999999999</v>
      </c>
      <c r="E889" s="5">
        <v>1.395464</v>
      </c>
      <c r="F889" s="5">
        <v>10.287008</v>
      </c>
      <c r="G889" s="5">
        <v>6.2469960000000002</v>
      </c>
      <c r="H889" s="11">
        <v>0</v>
      </c>
      <c r="I889" s="11">
        <v>0</v>
      </c>
      <c r="J889" s="11">
        <v>0</v>
      </c>
      <c r="K889" s="7">
        <f t="shared" si="28"/>
        <v>5.2188379999999999</v>
      </c>
      <c r="L889" s="8">
        <f t="shared" si="29"/>
        <v>0</v>
      </c>
      <c r="M889" s="9">
        <v>2.6040155258696799E-6</v>
      </c>
      <c r="N889" s="9">
        <v>2.7019855756434E-5</v>
      </c>
      <c r="O889" s="2">
        <v>-4.3665907684242899</v>
      </c>
      <c r="P889" t="s">
        <v>3345</v>
      </c>
      <c r="Q889" s="10">
        <f>IF(N889&lt;='[1]statistical criteria'!$B$2,IF(O889&gt;=LOG('[1]statistical criteria'!$B$3,2),1,IF(O889&lt;=-1*LOG('[1]statistical criteria'!$B$3,2),2,"-")),"-")</f>
        <v>2</v>
      </c>
      <c r="R889" t="s">
        <v>3347</v>
      </c>
      <c r="S889" t="s">
        <v>3348</v>
      </c>
      <c r="T889" s="9">
        <v>3.0000000000000001E-95</v>
      </c>
      <c r="U889" t="s">
        <v>61</v>
      </c>
    </row>
    <row r="890" spans="1:21" x14ac:dyDescent="0.35">
      <c r="A890" t="s">
        <v>3349</v>
      </c>
      <c r="B890" t="s">
        <v>3350</v>
      </c>
      <c r="C890">
        <v>2025</v>
      </c>
      <c r="D890" s="5">
        <v>9.9813030000000005</v>
      </c>
      <c r="E890" s="5">
        <v>16.776244999999999</v>
      </c>
      <c r="F890" s="5">
        <v>10.229153</v>
      </c>
      <c r="G890" s="5">
        <v>8.5902770000000004</v>
      </c>
      <c r="H890" s="6">
        <v>2.6538349999999999</v>
      </c>
      <c r="I890" s="11">
        <v>0</v>
      </c>
      <c r="J890" s="11">
        <v>0</v>
      </c>
      <c r="K890" s="7">
        <f t="shared" si="28"/>
        <v>11.394244499999999</v>
      </c>
      <c r="L890" s="8">
        <f t="shared" si="29"/>
        <v>0.88461166666666669</v>
      </c>
      <c r="M890" s="9">
        <v>1.0685725645532599E-8</v>
      </c>
      <c r="N890" s="9">
        <v>1.9031292375712199E-7</v>
      </c>
      <c r="O890" s="2">
        <v>-4.3673176163643603</v>
      </c>
      <c r="P890" t="s">
        <v>3349</v>
      </c>
      <c r="Q890" s="10">
        <f>IF(N890&lt;='[1]statistical criteria'!$B$2,IF(O890&gt;=LOG('[1]statistical criteria'!$B$3,2),1,IF(O890&lt;=-1*LOG('[1]statistical criteria'!$B$3,2),2,"-")),"-")</f>
        <v>2</v>
      </c>
      <c r="R890" t="s">
        <v>1521</v>
      </c>
      <c r="S890" t="s">
        <v>3351</v>
      </c>
      <c r="T890">
        <v>0</v>
      </c>
      <c r="U890" t="s">
        <v>1523</v>
      </c>
    </row>
    <row r="891" spans="1:21" x14ac:dyDescent="0.35">
      <c r="A891" t="s">
        <v>3352</v>
      </c>
      <c r="B891" t="s">
        <v>3353</v>
      </c>
      <c r="C891">
        <v>3366</v>
      </c>
      <c r="D891" s="5">
        <v>5.3202280000000002</v>
      </c>
      <c r="E891" s="5">
        <v>15.496136999999999</v>
      </c>
      <c r="F891" s="5">
        <v>14.237038</v>
      </c>
      <c r="G891" s="5">
        <v>10.369652</v>
      </c>
      <c r="H891" s="6">
        <v>0.72616700000000001</v>
      </c>
      <c r="I891" s="6">
        <v>0.317743</v>
      </c>
      <c r="J891" s="11">
        <v>0</v>
      </c>
      <c r="K891" s="7">
        <f t="shared" si="28"/>
        <v>11.355763749999999</v>
      </c>
      <c r="L891" s="8">
        <f t="shared" si="29"/>
        <v>0.34796999999999995</v>
      </c>
      <c r="M891" s="9">
        <v>1.40353657259885E-8</v>
      </c>
      <c r="N891" s="9">
        <v>2.4425515296347598E-7</v>
      </c>
      <c r="O891" s="2">
        <v>-4.3673765161728504</v>
      </c>
      <c r="P891" t="s">
        <v>3352</v>
      </c>
      <c r="Q891" s="10">
        <f>IF(N891&lt;='[1]statistical criteria'!$B$2,IF(O891&gt;=LOG('[1]statistical criteria'!$B$3,2),1,IF(O891&lt;=-1*LOG('[1]statistical criteria'!$B$3,2),2,"-")),"-")</f>
        <v>2</v>
      </c>
      <c r="R891" t="s">
        <v>3354</v>
      </c>
      <c r="S891" t="s">
        <v>3355</v>
      </c>
      <c r="T891">
        <v>0</v>
      </c>
      <c r="U891" t="s">
        <v>3356</v>
      </c>
    </row>
    <row r="892" spans="1:21" x14ac:dyDescent="0.35">
      <c r="A892" t="s">
        <v>3357</v>
      </c>
      <c r="B892" t="s">
        <v>3358</v>
      </c>
      <c r="C892">
        <v>543</v>
      </c>
      <c r="D892" s="5">
        <v>558.86491699999999</v>
      </c>
      <c r="E892" s="5">
        <v>544.10177999999996</v>
      </c>
      <c r="F892" s="5">
        <v>536.99912099999995</v>
      </c>
      <c r="G892" s="5">
        <v>589.88281400000005</v>
      </c>
      <c r="H892" s="6">
        <v>19.999773999999999</v>
      </c>
      <c r="I892" s="6">
        <v>37.232765999999998</v>
      </c>
      <c r="J892" s="6">
        <v>2.9214000000000002</v>
      </c>
      <c r="K892" s="7">
        <f t="shared" si="28"/>
        <v>557.46215799999993</v>
      </c>
      <c r="L892" s="8">
        <f t="shared" si="29"/>
        <v>20.051313333333333</v>
      </c>
      <c r="M892" s="9">
        <v>1.58277044618151E-20</v>
      </c>
      <c r="N892" s="9">
        <v>1.58171171189665E-18</v>
      </c>
      <c r="O892" s="2">
        <v>-4.3683275522702596</v>
      </c>
      <c r="P892" t="s">
        <v>3357</v>
      </c>
      <c r="Q892" s="10">
        <f>IF(N892&lt;='[1]statistical criteria'!$B$2,IF(O892&gt;=LOG('[1]statistical criteria'!$B$3,2),1,IF(O892&lt;=-1*LOG('[1]statistical criteria'!$B$3,2),2,"-")),"-")</f>
        <v>2</v>
      </c>
      <c r="R892" t="s">
        <v>3359</v>
      </c>
      <c r="S892" t="s">
        <v>3360</v>
      </c>
      <c r="T892" s="9">
        <v>2E-99</v>
      </c>
      <c r="U892" t="s">
        <v>3361</v>
      </c>
    </row>
    <row r="893" spans="1:21" x14ac:dyDescent="0.35">
      <c r="A893" t="s">
        <v>3362</v>
      </c>
      <c r="B893" t="s">
        <v>3363</v>
      </c>
      <c r="C893">
        <v>465</v>
      </c>
      <c r="D893" s="5">
        <v>25.132407000000001</v>
      </c>
      <c r="E893" s="5">
        <v>21.048981999999999</v>
      </c>
      <c r="F893" s="5">
        <v>26.360220999999999</v>
      </c>
      <c r="G893" s="5">
        <v>31.153489</v>
      </c>
      <c r="H893" s="6">
        <v>2.4160370000000002</v>
      </c>
      <c r="I893" s="11">
        <v>0</v>
      </c>
      <c r="J893" s="11">
        <v>0</v>
      </c>
      <c r="K893" s="7">
        <f t="shared" si="28"/>
        <v>25.92377475</v>
      </c>
      <c r="L893" s="8">
        <f t="shared" si="29"/>
        <v>0.80534566666666674</v>
      </c>
      <c r="M893" s="9">
        <v>8.5894118463129401E-20</v>
      </c>
      <c r="N893" s="9">
        <v>8.0322608076331796E-18</v>
      </c>
      <c r="O893" s="2">
        <v>-4.3708817408460297</v>
      </c>
      <c r="P893" t="s">
        <v>3362</v>
      </c>
      <c r="Q893" s="10">
        <f>IF(N893&lt;='[1]statistical criteria'!$B$2,IF(O893&gt;=LOG('[1]statistical criteria'!$B$3,2),1,IF(O893&lt;=-1*LOG('[1]statistical criteria'!$B$3,2),2,"-")),"-")</f>
        <v>2</v>
      </c>
    </row>
    <row r="894" spans="1:21" x14ac:dyDescent="0.35">
      <c r="A894" t="s">
        <v>3364</v>
      </c>
      <c r="B894" t="s">
        <v>3365</v>
      </c>
      <c r="C894">
        <v>429</v>
      </c>
      <c r="D894" s="5">
        <v>4.021185</v>
      </c>
      <c r="E894" s="5">
        <v>4.3171369999999998</v>
      </c>
      <c r="F894" s="5">
        <v>25.042210000000001</v>
      </c>
      <c r="G894" s="5">
        <v>27.593091000000001</v>
      </c>
      <c r="H894" s="11">
        <v>0</v>
      </c>
      <c r="I894" s="11">
        <v>0</v>
      </c>
      <c r="J894" s="11">
        <v>0</v>
      </c>
      <c r="K894" s="7">
        <f t="shared" si="28"/>
        <v>15.243405750000001</v>
      </c>
      <c r="L894" s="8">
        <f t="shared" si="29"/>
        <v>0</v>
      </c>
      <c r="M894" s="9">
        <v>2.3421289102146001E-6</v>
      </c>
      <c r="N894" s="9">
        <v>2.46043130893645E-5</v>
      </c>
      <c r="O894" s="2">
        <v>-4.3712640697470002</v>
      </c>
      <c r="P894" t="s">
        <v>3364</v>
      </c>
      <c r="Q894" s="10">
        <f>IF(N894&lt;='[1]statistical criteria'!$B$2,IF(O894&gt;=LOG('[1]statistical criteria'!$B$3,2),1,IF(O894&lt;=-1*LOG('[1]statistical criteria'!$B$3,2),2,"-")),"-")</f>
        <v>2</v>
      </c>
    </row>
    <row r="895" spans="1:21" x14ac:dyDescent="0.35">
      <c r="A895" t="s">
        <v>3366</v>
      </c>
      <c r="B895" t="s">
        <v>3367</v>
      </c>
      <c r="C895">
        <v>885</v>
      </c>
      <c r="D895" s="5">
        <v>6.3632780000000002</v>
      </c>
      <c r="E895" s="5">
        <v>0.79188800000000004</v>
      </c>
      <c r="F895" s="5">
        <v>2.2369330000000001</v>
      </c>
      <c r="G895" s="5">
        <v>4.357297</v>
      </c>
      <c r="H895" s="11">
        <v>0</v>
      </c>
      <c r="I895" s="11">
        <v>0</v>
      </c>
      <c r="J895" s="11">
        <v>0</v>
      </c>
      <c r="K895" s="7">
        <f t="shared" si="28"/>
        <v>3.4373490000000002</v>
      </c>
      <c r="L895" s="8">
        <f t="shared" si="29"/>
        <v>0</v>
      </c>
      <c r="M895" s="9">
        <v>2.3582276589164501E-7</v>
      </c>
      <c r="N895" s="9">
        <v>3.1273221149254399E-6</v>
      </c>
      <c r="O895" s="2">
        <v>-4.3737597726179303</v>
      </c>
      <c r="P895" t="s">
        <v>3366</v>
      </c>
      <c r="Q895" s="10">
        <f>IF(N895&lt;='[1]statistical criteria'!$B$2,IF(O895&gt;=LOG('[1]statistical criteria'!$B$3,2),1,IF(O895&lt;=-1*LOG('[1]statistical criteria'!$B$3,2),2,"-")),"-")</f>
        <v>2</v>
      </c>
      <c r="R895" t="s">
        <v>611</v>
      </c>
    </row>
    <row r="896" spans="1:21" x14ac:dyDescent="0.35">
      <c r="A896" t="s">
        <v>3368</v>
      </c>
      <c r="B896" t="s">
        <v>3369</v>
      </c>
      <c r="C896">
        <v>1119</v>
      </c>
      <c r="D896" s="5">
        <v>8.1715060000000008</v>
      </c>
      <c r="E896" s="5">
        <v>3.7049690000000002</v>
      </c>
      <c r="F896" s="5">
        <v>12.157612</v>
      </c>
      <c r="G896" s="5">
        <v>1.0868610000000001</v>
      </c>
      <c r="H896" s="11">
        <v>0</v>
      </c>
      <c r="I896" s="11">
        <v>0</v>
      </c>
      <c r="J896" s="11">
        <v>0</v>
      </c>
      <c r="K896" s="7">
        <f t="shared" si="28"/>
        <v>6.2802369999999996</v>
      </c>
      <c r="L896" s="8">
        <f t="shared" si="29"/>
        <v>0</v>
      </c>
      <c r="M896" s="9">
        <v>2.25833962288395E-6</v>
      </c>
      <c r="N896" s="9">
        <v>2.3862411451128102E-5</v>
      </c>
      <c r="O896" s="2">
        <v>-4.3745652655413396</v>
      </c>
      <c r="P896" t="s">
        <v>3368</v>
      </c>
      <c r="Q896" s="10">
        <f>IF(N896&lt;='[1]statistical criteria'!$B$2,IF(O896&gt;=LOG('[1]statistical criteria'!$B$3,2),1,IF(O896&lt;=-1*LOG('[1]statistical criteria'!$B$3,2),2,"-")),"-")</f>
        <v>2</v>
      </c>
      <c r="R896" t="s">
        <v>3370</v>
      </c>
      <c r="S896" t="s">
        <v>3371</v>
      </c>
      <c r="T896" s="9">
        <v>1E-99</v>
      </c>
      <c r="U896" t="s">
        <v>3372</v>
      </c>
    </row>
    <row r="897" spans="1:21" x14ac:dyDescent="0.35">
      <c r="A897" t="s">
        <v>220</v>
      </c>
      <c r="B897" t="s">
        <v>221</v>
      </c>
      <c r="C897">
        <v>990</v>
      </c>
      <c r="D897" s="5">
        <v>1.055188</v>
      </c>
      <c r="E897" s="5">
        <v>6.0034809999999998</v>
      </c>
      <c r="F897" s="5">
        <v>6.6495490000000004</v>
      </c>
      <c r="G897" s="5">
        <v>2.1724890000000001</v>
      </c>
      <c r="H897" s="11">
        <v>0</v>
      </c>
      <c r="I897" s="11">
        <v>0</v>
      </c>
      <c r="J897" s="11">
        <v>0</v>
      </c>
      <c r="K897" s="7">
        <f t="shared" si="28"/>
        <v>3.9701767500000003</v>
      </c>
      <c r="L897" s="8">
        <f t="shared" si="29"/>
        <v>0</v>
      </c>
      <c r="M897" s="9">
        <v>2.55375986966528E-6</v>
      </c>
      <c r="N897" s="9">
        <v>2.6578096975515599E-5</v>
      </c>
      <c r="O897" s="2">
        <v>-4.3747990611288303</v>
      </c>
      <c r="P897" t="s">
        <v>220</v>
      </c>
      <c r="Q897" s="10">
        <f>IF(N897&lt;='[1]statistical criteria'!$B$2,IF(O897&gt;=LOG('[1]statistical criteria'!$B$3,2),1,IF(O897&lt;=-1*LOG('[1]statistical criteria'!$B$3,2),2,"-")),"-")</f>
        <v>2</v>
      </c>
      <c r="R897" t="s">
        <v>222</v>
      </c>
      <c r="S897" t="s">
        <v>223</v>
      </c>
      <c r="T897" s="9">
        <v>9.9999999999999998E-122</v>
      </c>
      <c r="U897" t="s">
        <v>224</v>
      </c>
    </row>
    <row r="898" spans="1:21" x14ac:dyDescent="0.35">
      <c r="A898" t="s">
        <v>3373</v>
      </c>
      <c r="B898" t="s">
        <v>3374</v>
      </c>
      <c r="C898">
        <v>1065</v>
      </c>
      <c r="D898" s="5">
        <v>1.605329</v>
      </c>
      <c r="E898" s="5">
        <v>1.5590599999999999</v>
      </c>
      <c r="F898" s="5">
        <v>3.307639</v>
      </c>
      <c r="G898" s="5">
        <v>2.259979</v>
      </c>
      <c r="H898" s="11">
        <v>0</v>
      </c>
      <c r="I898" s="11">
        <v>0</v>
      </c>
      <c r="J898" s="11">
        <v>0</v>
      </c>
      <c r="K898" s="7">
        <f t="shared" si="28"/>
        <v>2.1830017499999999</v>
      </c>
      <c r="L898" s="8">
        <f t="shared" si="29"/>
        <v>0</v>
      </c>
      <c r="M898" s="9">
        <v>2.7546283309171202E-6</v>
      </c>
      <c r="N898" s="9">
        <v>2.84276448684126E-5</v>
      </c>
      <c r="O898" s="2">
        <v>-4.37646434008093</v>
      </c>
      <c r="P898" t="s">
        <v>3373</v>
      </c>
      <c r="Q898" s="10">
        <f>IF(N898&lt;='[1]statistical criteria'!$B$2,IF(O898&gt;=LOG('[1]statistical criteria'!$B$3,2),1,IF(O898&lt;=-1*LOG('[1]statistical criteria'!$B$3,2),2,"-")),"-")</f>
        <v>2</v>
      </c>
      <c r="R898" t="s">
        <v>3375</v>
      </c>
      <c r="S898" t="s">
        <v>3376</v>
      </c>
      <c r="T898" s="9">
        <v>1.0000000000000001E-122</v>
      </c>
      <c r="U898" t="s">
        <v>61</v>
      </c>
    </row>
    <row r="899" spans="1:21" x14ac:dyDescent="0.35">
      <c r="A899" t="s">
        <v>363</v>
      </c>
      <c r="B899" t="s">
        <v>364</v>
      </c>
      <c r="C899">
        <v>978</v>
      </c>
      <c r="D899" s="5">
        <v>17.634360000000001</v>
      </c>
      <c r="E899" s="5">
        <v>26.115345999999999</v>
      </c>
      <c r="F899" s="5">
        <v>7.4641140000000004</v>
      </c>
      <c r="G899" s="5">
        <v>20.831187</v>
      </c>
      <c r="H899" s="11">
        <v>0</v>
      </c>
      <c r="I899" s="11">
        <v>0</v>
      </c>
      <c r="J899" s="6">
        <v>5.7891940000000002</v>
      </c>
      <c r="K899" s="7">
        <f t="shared" si="28"/>
        <v>18.01125175</v>
      </c>
      <c r="L899" s="8">
        <f t="shared" si="29"/>
        <v>1.9297313333333335</v>
      </c>
      <c r="M899" s="9">
        <v>4.1223833916511601E-8</v>
      </c>
      <c r="N899" s="9">
        <v>6.4968079456001297E-7</v>
      </c>
      <c r="O899" s="2">
        <v>-4.3787711433253103</v>
      </c>
      <c r="P899" t="s">
        <v>363</v>
      </c>
      <c r="Q899" s="10">
        <f>IF(N899&lt;='[1]statistical criteria'!$B$2,IF(O899&gt;=LOG('[1]statistical criteria'!$B$3,2),1,IF(O899&lt;=-1*LOG('[1]statistical criteria'!$B$3,2),2,"-")),"-")</f>
        <v>2</v>
      </c>
      <c r="S899" t="s">
        <v>417</v>
      </c>
      <c r="T899" s="9">
        <v>2.9999999999999999E-35</v>
      </c>
      <c r="U899" t="s">
        <v>418</v>
      </c>
    </row>
    <row r="900" spans="1:21" x14ac:dyDescent="0.35">
      <c r="A900" t="s">
        <v>3377</v>
      </c>
      <c r="B900" t="s">
        <v>3378</v>
      </c>
      <c r="C900">
        <v>870</v>
      </c>
      <c r="D900" s="5">
        <v>2.3316469999999998</v>
      </c>
      <c r="E900" s="5">
        <v>2.9135200000000001</v>
      </c>
      <c r="F900" s="5">
        <v>2.3409550000000001</v>
      </c>
      <c r="G900" s="5">
        <v>1.9575020000000001</v>
      </c>
      <c r="H900" s="11">
        <v>0</v>
      </c>
      <c r="I900" s="11">
        <v>0</v>
      </c>
      <c r="J900" s="11">
        <v>0</v>
      </c>
      <c r="K900" s="7">
        <f t="shared" si="28"/>
        <v>2.3859060000000003</v>
      </c>
      <c r="L900" s="8">
        <f t="shared" si="29"/>
        <v>0</v>
      </c>
      <c r="M900" s="9">
        <v>1.96590988902899E-7</v>
      </c>
      <c r="N900" s="9">
        <v>2.6476479255641701E-6</v>
      </c>
      <c r="O900" s="2">
        <v>-4.3807421182743997</v>
      </c>
      <c r="P900" t="s">
        <v>3377</v>
      </c>
      <c r="Q900" s="10">
        <f>IF(N900&lt;='[1]statistical criteria'!$B$2,IF(O900&gt;=LOG('[1]statistical criteria'!$B$3,2),1,IF(O900&lt;=-1*LOG('[1]statistical criteria'!$B$3,2),2,"-")),"-")</f>
        <v>2</v>
      </c>
      <c r="R900" t="s">
        <v>3379</v>
      </c>
    </row>
    <row r="901" spans="1:21" x14ac:dyDescent="0.35">
      <c r="A901" t="s">
        <v>3380</v>
      </c>
      <c r="B901" t="s">
        <v>3381</v>
      </c>
      <c r="C901">
        <v>2637</v>
      </c>
      <c r="D901" s="5">
        <v>14.085224</v>
      </c>
      <c r="E901" s="5">
        <v>16.196057</v>
      </c>
      <c r="F901" s="5">
        <v>22.293082999999999</v>
      </c>
      <c r="G901" s="5">
        <v>19.001263000000002</v>
      </c>
      <c r="H901" s="11">
        <v>0</v>
      </c>
      <c r="I901" s="6">
        <v>0.174202</v>
      </c>
      <c r="J901" s="6">
        <v>2.6362429999999999</v>
      </c>
      <c r="K901" s="7">
        <f t="shared" si="28"/>
        <v>17.893906749999999</v>
      </c>
      <c r="L901" s="8">
        <f t="shared" si="29"/>
        <v>0.93681500000000006</v>
      </c>
      <c r="M901" s="9">
        <v>1.20380578416478E-5</v>
      </c>
      <c r="N901">
        <v>1.05837025052695E-4</v>
      </c>
      <c r="O901" s="2">
        <v>-4.3808428355740698</v>
      </c>
      <c r="P901" t="s">
        <v>3380</v>
      </c>
      <c r="Q901" s="10">
        <f>IF(N901&lt;='[1]statistical criteria'!$B$2,IF(O901&gt;=LOG('[1]statistical criteria'!$B$3,2),1,IF(O901&lt;=-1*LOG('[1]statistical criteria'!$B$3,2),2,"-")),"-")</f>
        <v>2</v>
      </c>
      <c r="R901" t="s">
        <v>3382</v>
      </c>
      <c r="S901" t="s">
        <v>3383</v>
      </c>
      <c r="T901">
        <v>0</v>
      </c>
      <c r="U901" t="s">
        <v>3384</v>
      </c>
    </row>
    <row r="902" spans="1:21" x14ac:dyDescent="0.35">
      <c r="A902" t="s">
        <v>3385</v>
      </c>
      <c r="B902" t="s">
        <v>3386</v>
      </c>
      <c r="C902">
        <v>1398</v>
      </c>
      <c r="D902" s="5">
        <v>6.5217710000000002</v>
      </c>
      <c r="E902" s="5">
        <v>15.175404</v>
      </c>
      <c r="F902" s="5">
        <v>5.0010579999999996</v>
      </c>
      <c r="G902" s="5">
        <v>8.0412300000000005</v>
      </c>
      <c r="H902" s="6">
        <v>1.1348</v>
      </c>
      <c r="I902" s="11">
        <v>0</v>
      </c>
      <c r="J902" s="11">
        <v>0</v>
      </c>
      <c r="K902" s="7">
        <f t="shared" si="28"/>
        <v>8.6848657500000002</v>
      </c>
      <c r="L902" s="8">
        <f t="shared" si="29"/>
        <v>0.3782666666666667</v>
      </c>
      <c r="M902" s="9">
        <v>3.7557001859124801E-13</v>
      </c>
      <c r="N902" s="9">
        <v>1.38643985524568E-11</v>
      </c>
      <c r="O902" s="2">
        <v>-4.3825961627149104</v>
      </c>
      <c r="P902" t="s">
        <v>3385</v>
      </c>
      <c r="Q902" s="10">
        <f>IF(N902&lt;='[1]statistical criteria'!$B$2,IF(O902&gt;=LOG('[1]statistical criteria'!$B$3,2),1,IF(O902&lt;=-1*LOG('[1]statistical criteria'!$B$3,2),2,"-")),"-")</f>
        <v>2</v>
      </c>
      <c r="R902" t="s">
        <v>151</v>
      </c>
      <c r="S902" t="s">
        <v>152</v>
      </c>
      <c r="T902">
        <v>0</v>
      </c>
      <c r="U902" t="s">
        <v>153</v>
      </c>
    </row>
    <row r="903" spans="1:21" x14ac:dyDescent="0.35">
      <c r="A903" t="s">
        <v>3387</v>
      </c>
      <c r="B903" t="s">
        <v>2701</v>
      </c>
      <c r="C903">
        <v>879</v>
      </c>
      <c r="D903" s="5">
        <v>29.948466</v>
      </c>
      <c r="E903" s="5">
        <v>36.511344999999999</v>
      </c>
      <c r="F903" s="5">
        <v>35.123693000000003</v>
      </c>
      <c r="G903" s="5">
        <v>25.822282000000001</v>
      </c>
      <c r="H903" s="6">
        <v>0.77300000000000002</v>
      </c>
      <c r="I903" s="6">
        <v>4.4404409999999999</v>
      </c>
      <c r="J903" s="11">
        <v>0</v>
      </c>
      <c r="K903" s="7">
        <f t="shared" si="28"/>
        <v>31.851446500000002</v>
      </c>
      <c r="L903" s="8">
        <f t="shared" si="29"/>
        <v>1.7378136666666666</v>
      </c>
      <c r="M903" s="9">
        <v>5.3067139120777301E-9</v>
      </c>
      <c r="N903" s="9">
        <v>1.0028477234045599E-7</v>
      </c>
      <c r="O903" s="2">
        <v>-4.3840249317253503</v>
      </c>
      <c r="P903" t="s">
        <v>3387</v>
      </c>
      <c r="Q903" s="10">
        <f>IF(N903&lt;='[1]statistical criteria'!$B$2,IF(O903&gt;=LOG('[1]statistical criteria'!$B$3,2),1,IF(O903&lt;=-1*LOG('[1]statistical criteria'!$B$3,2),2,"-")),"-")</f>
        <v>2</v>
      </c>
    </row>
    <row r="904" spans="1:21" x14ac:dyDescent="0.35">
      <c r="A904" t="s">
        <v>3388</v>
      </c>
      <c r="B904" t="s">
        <v>3389</v>
      </c>
      <c r="C904">
        <v>1401</v>
      </c>
      <c r="D904" s="5">
        <v>17.940104000000002</v>
      </c>
      <c r="E904" s="5">
        <v>11.083436000000001</v>
      </c>
      <c r="F904" s="5">
        <v>12.574724</v>
      </c>
      <c r="G904" s="5">
        <v>9.6467019999999994</v>
      </c>
      <c r="H904" s="6">
        <v>3.1974290000000001</v>
      </c>
      <c r="I904" s="11">
        <v>0</v>
      </c>
      <c r="J904" s="11">
        <v>0</v>
      </c>
      <c r="K904" s="7">
        <f t="shared" si="28"/>
        <v>12.8112415</v>
      </c>
      <c r="L904" s="8">
        <f t="shared" si="29"/>
        <v>1.0658096666666668</v>
      </c>
      <c r="M904" s="9">
        <v>6.9572926374965303E-9</v>
      </c>
      <c r="N904" s="9">
        <v>1.28291936910425E-7</v>
      </c>
      <c r="O904" s="2">
        <v>-4.3846863845424497</v>
      </c>
      <c r="P904" t="s">
        <v>3388</v>
      </c>
      <c r="Q904" s="10">
        <f>IF(N904&lt;='[1]statistical criteria'!$B$2,IF(O904&gt;=LOG('[1]statistical criteria'!$B$3,2),1,IF(O904&lt;=-1*LOG('[1]statistical criteria'!$B$3,2),2,"-")),"-")</f>
        <v>2</v>
      </c>
      <c r="R904" t="s">
        <v>3390</v>
      </c>
      <c r="S904" t="s">
        <v>3391</v>
      </c>
      <c r="T904" s="9">
        <v>3.0000000000000002E-85</v>
      </c>
      <c r="U904" t="s">
        <v>3392</v>
      </c>
    </row>
    <row r="905" spans="1:21" x14ac:dyDescent="0.35">
      <c r="A905" t="s">
        <v>3393</v>
      </c>
      <c r="B905" t="s">
        <v>3394</v>
      </c>
      <c r="C905">
        <v>1518</v>
      </c>
      <c r="D905" s="5">
        <v>55.093789000000001</v>
      </c>
      <c r="E905" s="5">
        <v>70.970844999999997</v>
      </c>
      <c r="F905" s="5">
        <v>48.562846999999998</v>
      </c>
      <c r="G905" s="5">
        <v>52.739431000000003</v>
      </c>
      <c r="H905" s="6">
        <v>2.017887</v>
      </c>
      <c r="I905" s="11">
        <v>0</v>
      </c>
      <c r="J905" s="6">
        <v>5.5398019999999999</v>
      </c>
      <c r="K905" s="7">
        <f t="shared" si="28"/>
        <v>56.841727999999996</v>
      </c>
      <c r="L905" s="8">
        <f t="shared" si="29"/>
        <v>2.5192296666666665</v>
      </c>
      <c r="M905" s="9">
        <v>4.3458739173666403E-8</v>
      </c>
      <c r="N905" s="9">
        <v>6.8235957629939896E-7</v>
      </c>
      <c r="O905" s="2">
        <v>-4.3847101949274903</v>
      </c>
      <c r="P905" t="s">
        <v>3393</v>
      </c>
      <c r="Q905" s="10">
        <f>IF(N905&lt;='[1]statistical criteria'!$B$2,IF(O905&gt;=LOG('[1]statistical criteria'!$B$3,2),1,IF(O905&lt;=-1*LOG('[1]statistical criteria'!$B$3,2),2,"-")),"-")</f>
        <v>2</v>
      </c>
      <c r="R905" t="s">
        <v>3395</v>
      </c>
      <c r="S905" t="s">
        <v>3396</v>
      </c>
      <c r="T905">
        <v>0</v>
      </c>
      <c r="U905" t="s">
        <v>3397</v>
      </c>
    </row>
    <row r="906" spans="1:21" x14ac:dyDescent="0.35">
      <c r="A906" t="s">
        <v>3398</v>
      </c>
      <c r="B906" t="s">
        <v>3399</v>
      </c>
      <c r="C906">
        <v>654</v>
      </c>
      <c r="D906" s="5">
        <v>3.7023899999999998</v>
      </c>
      <c r="E906" s="5">
        <v>10.169223000000001</v>
      </c>
      <c r="F906" s="5">
        <v>5.208164</v>
      </c>
      <c r="G906" s="5">
        <v>5.2654319999999997</v>
      </c>
      <c r="H906" s="11">
        <v>0</v>
      </c>
      <c r="I906" s="11">
        <v>0</v>
      </c>
      <c r="J906" s="11">
        <v>0</v>
      </c>
      <c r="K906" s="7">
        <f t="shared" si="28"/>
        <v>6.0863022500000001</v>
      </c>
      <c r="L906" s="8">
        <f t="shared" si="29"/>
        <v>0</v>
      </c>
      <c r="M906" s="9">
        <v>7.6349647827277702E-7</v>
      </c>
      <c r="N906" s="9">
        <v>9.0751642607938404E-6</v>
      </c>
      <c r="O906" s="2">
        <v>-4.3851369277568697</v>
      </c>
      <c r="P906" t="s">
        <v>3398</v>
      </c>
      <c r="Q906" s="10">
        <f>IF(N906&lt;='[1]statistical criteria'!$B$2,IF(O906&gt;=LOG('[1]statistical criteria'!$B$3,2),1,IF(O906&lt;=-1*LOG('[1]statistical criteria'!$B$3,2),2,"-")),"-")</f>
        <v>2</v>
      </c>
      <c r="R906" t="s">
        <v>3400</v>
      </c>
      <c r="S906" t="s">
        <v>3401</v>
      </c>
      <c r="T906" s="9">
        <v>2E-73</v>
      </c>
      <c r="U906" t="s">
        <v>61</v>
      </c>
    </row>
    <row r="907" spans="1:21" x14ac:dyDescent="0.35">
      <c r="A907" t="s">
        <v>3402</v>
      </c>
      <c r="B907" t="s">
        <v>3403</v>
      </c>
      <c r="C907">
        <v>1143</v>
      </c>
      <c r="D907" s="5">
        <v>11.117599</v>
      </c>
      <c r="E907" s="5">
        <v>2.0561250000000002</v>
      </c>
      <c r="F907" s="5">
        <v>9.6640700000000006</v>
      </c>
      <c r="G907" s="5">
        <v>1.8860380000000001</v>
      </c>
      <c r="H907" s="11">
        <v>0</v>
      </c>
      <c r="I907" s="11">
        <v>0</v>
      </c>
      <c r="J907" s="11">
        <v>0</v>
      </c>
      <c r="K907" s="7">
        <f t="shared" si="28"/>
        <v>6.1809580000000004</v>
      </c>
      <c r="L907" s="8">
        <f t="shared" si="29"/>
        <v>0</v>
      </c>
      <c r="M907" s="9">
        <v>2.4902173273010002E-7</v>
      </c>
      <c r="N907" s="9">
        <v>3.2874669260171998E-6</v>
      </c>
      <c r="O907" s="2">
        <v>-4.3854021980447797</v>
      </c>
      <c r="P907" t="s">
        <v>3402</v>
      </c>
      <c r="Q907" s="10">
        <f>IF(N907&lt;='[1]statistical criteria'!$B$2,IF(O907&gt;=LOG('[1]statistical criteria'!$B$3,2),1,IF(O907&lt;=-1*LOG('[1]statistical criteria'!$B$3,2),2,"-")),"-")</f>
        <v>2</v>
      </c>
      <c r="R907" t="s">
        <v>3404</v>
      </c>
      <c r="S907" t="s">
        <v>3405</v>
      </c>
      <c r="T907">
        <v>0</v>
      </c>
      <c r="U907" t="s">
        <v>3406</v>
      </c>
    </row>
    <row r="908" spans="1:21" x14ac:dyDescent="0.35">
      <c r="A908" t="s">
        <v>3407</v>
      </c>
      <c r="B908" t="s">
        <v>3408</v>
      </c>
      <c r="C908">
        <v>1030</v>
      </c>
      <c r="D908" s="5">
        <v>2.1536849999999998</v>
      </c>
      <c r="E908" s="5">
        <v>2.727277</v>
      </c>
      <c r="F908" s="5">
        <v>2.3821479999999999</v>
      </c>
      <c r="G908" s="5">
        <v>3.946698</v>
      </c>
      <c r="H908" s="11">
        <v>0</v>
      </c>
      <c r="I908" s="11">
        <v>0</v>
      </c>
      <c r="J908" s="11">
        <v>0</v>
      </c>
      <c r="K908" s="7">
        <f t="shared" si="28"/>
        <v>2.8024520000000002</v>
      </c>
      <c r="L908" s="8">
        <f t="shared" si="29"/>
        <v>0</v>
      </c>
      <c r="M908" s="9">
        <v>2.7570254333160198E-6</v>
      </c>
      <c r="N908" s="9">
        <v>2.84446700981316E-5</v>
      </c>
      <c r="O908" s="2">
        <v>-4.3854870588684403</v>
      </c>
      <c r="P908" t="s">
        <v>3407</v>
      </c>
      <c r="Q908" s="10">
        <f>IF(N908&lt;='[1]statistical criteria'!$B$2,IF(O908&gt;=LOG('[1]statistical criteria'!$B$3,2),1,IF(O908&lt;=-1*LOG('[1]statistical criteria'!$B$3,2),2,"-")),"-")</f>
        <v>2</v>
      </c>
      <c r="R908" t="s">
        <v>3409</v>
      </c>
      <c r="S908" t="s">
        <v>3410</v>
      </c>
      <c r="T908" s="9">
        <v>1.9999999999999999E-75</v>
      </c>
      <c r="U908" t="s">
        <v>3411</v>
      </c>
    </row>
    <row r="909" spans="1:21" x14ac:dyDescent="0.35">
      <c r="A909" t="s">
        <v>3412</v>
      </c>
      <c r="B909" t="s">
        <v>3413</v>
      </c>
      <c r="C909">
        <v>1197</v>
      </c>
      <c r="D909" s="5">
        <v>2.3715510000000002</v>
      </c>
      <c r="E909" s="5">
        <v>3.089804</v>
      </c>
      <c r="F909" s="5">
        <v>3.708866</v>
      </c>
      <c r="G909" s="5">
        <v>3.535609</v>
      </c>
      <c r="H909" s="11">
        <v>0</v>
      </c>
      <c r="I909" s="11">
        <v>0</v>
      </c>
      <c r="J909" s="11">
        <v>0</v>
      </c>
      <c r="K909" s="7">
        <f t="shared" si="28"/>
        <v>3.1764574999999997</v>
      </c>
      <c r="L909" s="8">
        <f t="shared" si="29"/>
        <v>0</v>
      </c>
      <c r="M909" s="9">
        <v>5.1600633030623502E-7</v>
      </c>
      <c r="N909" s="9">
        <v>6.3577859927016198E-6</v>
      </c>
      <c r="O909" s="2">
        <v>-4.3861363922993997</v>
      </c>
      <c r="P909" t="s">
        <v>3412</v>
      </c>
      <c r="Q909" s="10">
        <f>IF(N909&lt;='[1]statistical criteria'!$B$2,IF(O909&gt;=LOG('[1]statistical criteria'!$B$3,2),1,IF(O909&lt;=-1*LOG('[1]statistical criteria'!$B$3,2),2,"-")),"-")</f>
        <v>2</v>
      </c>
      <c r="S909" t="s">
        <v>3414</v>
      </c>
      <c r="T909" s="9">
        <v>5.0000000000000003E-34</v>
      </c>
      <c r="U909" t="s">
        <v>3415</v>
      </c>
    </row>
    <row r="910" spans="1:21" x14ac:dyDescent="0.35">
      <c r="A910" t="s">
        <v>3416</v>
      </c>
      <c r="B910" t="s">
        <v>3417</v>
      </c>
      <c r="C910">
        <v>798</v>
      </c>
      <c r="D910" s="5">
        <v>14.437684000000001</v>
      </c>
      <c r="E910" s="5">
        <v>0.29364400000000002</v>
      </c>
      <c r="F910" s="5">
        <v>6.0918299999999999</v>
      </c>
      <c r="G910" s="5">
        <v>8.4928670000000004</v>
      </c>
      <c r="H910" s="11">
        <v>0</v>
      </c>
      <c r="I910" s="11">
        <v>0</v>
      </c>
      <c r="J910" s="11">
        <v>0</v>
      </c>
      <c r="K910" s="7">
        <f t="shared" si="28"/>
        <v>7.3290062499999999</v>
      </c>
      <c r="L910" s="8">
        <f t="shared" si="29"/>
        <v>0</v>
      </c>
      <c r="M910" s="9">
        <v>3.26732547925521E-6</v>
      </c>
      <c r="N910" s="9">
        <v>3.3170020736317302E-5</v>
      </c>
      <c r="O910" s="2">
        <v>-4.38629628066544</v>
      </c>
      <c r="P910" t="s">
        <v>3416</v>
      </c>
      <c r="Q910" s="10">
        <f>IF(N910&lt;='[1]statistical criteria'!$B$2,IF(O910&gt;=LOG('[1]statistical criteria'!$B$3,2),1,IF(O910&lt;=-1*LOG('[1]statistical criteria'!$B$3,2),2,"-")),"-")</f>
        <v>2</v>
      </c>
      <c r="S910" t="s">
        <v>3418</v>
      </c>
      <c r="T910" s="9">
        <v>3.9999999999999996E-21</v>
      </c>
      <c r="U910" t="s">
        <v>61</v>
      </c>
    </row>
    <row r="911" spans="1:21" x14ac:dyDescent="0.35">
      <c r="A911" t="s">
        <v>3419</v>
      </c>
      <c r="B911" t="s">
        <v>3420</v>
      </c>
      <c r="C911">
        <v>675</v>
      </c>
      <c r="D911" s="5">
        <v>230.105199</v>
      </c>
      <c r="E911" s="5">
        <v>156.54147499999999</v>
      </c>
      <c r="F911" s="5">
        <v>255.17971</v>
      </c>
      <c r="G911" s="5">
        <v>248.44513599999999</v>
      </c>
      <c r="H911" s="6">
        <v>41.977096000000003</v>
      </c>
      <c r="I911" s="11">
        <v>0</v>
      </c>
      <c r="J911" s="6">
        <v>24.301708000000001</v>
      </c>
      <c r="K911" s="7">
        <f t="shared" si="28"/>
        <v>222.56788</v>
      </c>
      <c r="L911" s="8">
        <f t="shared" si="29"/>
        <v>22.092934666666668</v>
      </c>
      <c r="M911" s="9">
        <v>8.8891553450533703E-6</v>
      </c>
      <c r="N911" s="9">
        <v>8.1483923996322495E-5</v>
      </c>
      <c r="O911" s="2">
        <v>-4.3900855759637096</v>
      </c>
      <c r="P911" t="s">
        <v>3419</v>
      </c>
      <c r="Q911" s="10">
        <f>IF(N911&lt;='[1]statistical criteria'!$B$2,IF(O911&gt;=LOG('[1]statistical criteria'!$B$3,2),1,IF(O911&lt;=-1*LOG('[1]statistical criteria'!$B$3,2),2,"-")),"-")</f>
        <v>2</v>
      </c>
      <c r="R911" t="s">
        <v>3421</v>
      </c>
      <c r="S911" t="s">
        <v>3422</v>
      </c>
      <c r="T911" s="9">
        <v>1.9999999999999998E-71</v>
      </c>
      <c r="U911" t="s">
        <v>3423</v>
      </c>
    </row>
    <row r="912" spans="1:21" x14ac:dyDescent="0.35">
      <c r="A912" t="s">
        <v>3424</v>
      </c>
      <c r="B912" t="s">
        <v>3425</v>
      </c>
      <c r="C912">
        <v>1798</v>
      </c>
      <c r="D912" s="5">
        <v>7.1261910000000004</v>
      </c>
      <c r="E912" s="5">
        <v>10.489513000000001</v>
      </c>
      <c r="F912" s="5">
        <v>17.471038</v>
      </c>
      <c r="G912" s="5">
        <v>7.3428789999999999</v>
      </c>
      <c r="H912" s="6">
        <v>1.2191380000000001</v>
      </c>
      <c r="I912" s="11">
        <v>0</v>
      </c>
      <c r="J912" s="11">
        <v>0</v>
      </c>
      <c r="K912" s="7">
        <f t="shared" si="28"/>
        <v>10.607405249999999</v>
      </c>
      <c r="L912" s="8">
        <f t="shared" si="29"/>
        <v>0.40637933333333337</v>
      </c>
      <c r="M912" s="9">
        <v>2.13683543891599E-13</v>
      </c>
      <c r="N912" s="9">
        <v>8.2066555807409396E-12</v>
      </c>
      <c r="O912" s="2">
        <v>-4.3931440566209297</v>
      </c>
      <c r="P912" t="s">
        <v>3424</v>
      </c>
      <c r="Q912" s="10">
        <f>IF(N912&lt;='[1]statistical criteria'!$B$2,IF(O912&gt;=LOG('[1]statistical criteria'!$B$3,2),1,IF(O912&lt;=-1*LOG('[1]statistical criteria'!$B$3,2),2,"-")),"-")</f>
        <v>2</v>
      </c>
      <c r="R912" t="s">
        <v>3426</v>
      </c>
      <c r="S912" t="s">
        <v>3427</v>
      </c>
      <c r="T912">
        <v>0</v>
      </c>
      <c r="U912" t="s">
        <v>3428</v>
      </c>
    </row>
    <row r="913" spans="1:21" x14ac:dyDescent="0.35">
      <c r="A913" t="s">
        <v>3429</v>
      </c>
      <c r="B913" t="s">
        <v>3430</v>
      </c>
      <c r="C913">
        <v>1656</v>
      </c>
      <c r="D913" s="5">
        <v>5.0141400000000003</v>
      </c>
      <c r="E913" s="5">
        <v>3.5636019999999999</v>
      </c>
      <c r="F913" s="5">
        <v>4.4992409999999996</v>
      </c>
      <c r="G913" s="5">
        <v>3.7072880000000001</v>
      </c>
      <c r="H913" s="11">
        <v>0</v>
      </c>
      <c r="I913" s="11">
        <v>0</v>
      </c>
      <c r="J913" s="11">
        <v>0</v>
      </c>
      <c r="K913" s="7">
        <f t="shared" si="28"/>
        <v>4.1960677500000001</v>
      </c>
      <c r="L913" s="8">
        <f t="shared" si="29"/>
        <v>0</v>
      </c>
      <c r="M913" s="9">
        <v>2.4880430607449901E-6</v>
      </c>
      <c r="N913" s="9">
        <v>2.59865309802289E-5</v>
      </c>
      <c r="O913" s="2">
        <v>-4.3940473927986297</v>
      </c>
      <c r="P913" t="s">
        <v>3429</v>
      </c>
      <c r="Q913" s="10">
        <f>IF(N913&lt;='[1]statistical criteria'!$B$2,IF(O913&gt;=LOG('[1]statistical criteria'!$B$3,2),1,IF(O913&lt;=-1*LOG('[1]statistical criteria'!$B$3,2),2,"-")),"-")</f>
        <v>2</v>
      </c>
      <c r="R913" t="s">
        <v>3431</v>
      </c>
      <c r="S913" t="s">
        <v>3432</v>
      </c>
      <c r="T913">
        <v>0</v>
      </c>
      <c r="U913" t="s">
        <v>3433</v>
      </c>
    </row>
    <row r="914" spans="1:21" x14ac:dyDescent="0.35">
      <c r="A914" t="s">
        <v>3434</v>
      </c>
      <c r="B914" t="s">
        <v>3435</v>
      </c>
      <c r="C914">
        <v>945</v>
      </c>
      <c r="D914" s="5">
        <v>22.981835</v>
      </c>
      <c r="E914" s="5">
        <v>20.117640999999999</v>
      </c>
      <c r="F914" s="5">
        <v>10.723463000000001</v>
      </c>
      <c r="G914" s="5">
        <v>11.662165999999999</v>
      </c>
      <c r="H914" s="11">
        <v>0</v>
      </c>
      <c r="I914" s="11">
        <v>0</v>
      </c>
      <c r="J914" s="6">
        <v>5.9527330000000003</v>
      </c>
      <c r="K914" s="7">
        <f t="shared" si="28"/>
        <v>16.371276250000001</v>
      </c>
      <c r="L914" s="8">
        <f t="shared" si="29"/>
        <v>1.9842443333333335</v>
      </c>
      <c r="M914" s="9">
        <v>3.9750287309402498E-8</v>
      </c>
      <c r="N914" s="9">
        <v>6.2854006439379203E-7</v>
      </c>
      <c r="O914" s="2">
        <v>-4.3947782308497496</v>
      </c>
      <c r="P914" t="s">
        <v>3434</v>
      </c>
      <c r="Q914" s="10">
        <f>IF(N914&lt;='[1]statistical criteria'!$B$2,IF(O914&gt;=LOG('[1]statistical criteria'!$B$3,2),1,IF(O914&lt;=-1*LOG('[1]statistical criteria'!$B$3,2),2,"-")),"-")</f>
        <v>2</v>
      </c>
      <c r="R914" t="s">
        <v>3436</v>
      </c>
      <c r="S914" t="s">
        <v>3437</v>
      </c>
      <c r="T914" s="9">
        <v>3.0000000000000001E-96</v>
      </c>
      <c r="U914" t="s">
        <v>3438</v>
      </c>
    </row>
    <row r="915" spans="1:21" x14ac:dyDescent="0.35">
      <c r="A915" t="s">
        <v>3439</v>
      </c>
      <c r="B915" t="s">
        <v>3440</v>
      </c>
      <c r="C915">
        <v>297</v>
      </c>
      <c r="D915" s="5">
        <v>24.153358000000001</v>
      </c>
      <c r="E915" s="5">
        <v>38.241509000000001</v>
      </c>
      <c r="F915" s="5">
        <v>20.420313</v>
      </c>
      <c r="G915" s="5">
        <v>4.8203649999999998</v>
      </c>
      <c r="H915" s="11">
        <v>0</v>
      </c>
      <c r="I915" s="11">
        <v>0</v>
      </c>
      <c r="J915" s="11">
        <v>0</v>
      </c>
      <c r="K915" s="7">
        <f t="shared" si="28"/>
        <v>21.908886249999998</v>
      </c>
      <c r="L915" s="8">
        <f t="shared" si="29"/>
        <v>0</v>
      </c>
      <c r="M915" s="9">
        <v>9.0763031784738899E-7</v>
      </c>
      <c r="N915" s="9">
        <v>1.05446916658338E-5</v>
      </c>
      <c r="O915" s="2">
        <v>-4.3956234173101203</v>
      </c>
      <c r="P915" t="s">
        <v>3439</v>
      </c>
      <c r="Q915" s="10">
        <f>IF(N915&lt;='[1]statistical criteria'!$B$2,IF(O915&gt;=LOG('[1]statistical criteria'!$B$3,2),1,IF(O915&lt;=-1*LOG('[1]statistical criteria'!$B$3,2),2,"-")),"-")</f>
        <v>2</v>
      </c>
      <c r="S915" t="s">
        <v>3441</v>
      </c>
      <c r="T915" s="9">
        <v>3.9999999999999999E-12</v>
      </c>
      <c r="U915" t="s">
        <v>61</v>
      </c>
    </row>
    <row r="916" spans="1:21" x14ac:dyDescent="0.35">
      <c r="A916" t="s">
        <v>3442</v>
      </c>
      <c r="B916" t="s">
        <v>3443</v>
      </c>
      <c r="C916">
        <v>1331</v>
      </c>
      <c r="D916" s="5">
        <v>3.0673360000000001</v>
      </c>
      <c r="E916" s="5">
        <v>2.535892</v>
      </c>
      <c r="F916" s="5">
        <v>6.0667350000000004</v>
      </c>
      <c r="G916" s="5">
        <v>1.64832</v>
      </c>
      <c r="H916" s="11">
        <v>0</v>
      </c>
      <c r="I916" s="11">
        <v>0</v>
      </c>
      <c r="J916" s="11">
        <v>0</v>
      </c>
      <c r="K916" s="7">
        <f t="shared" si="28"/>
        <v>3.3295707499999998</v>
      </c>
      <c r="L916" s="8">
        <f t="shared" si="29"/>
        <v>0</v>
      </c>
      <c r="M916" s="9">
        <v>1.2561244017491799E-6</v>
      </c>
      <c r="N916" s="9">
        <v>1.41026828113788E-5</v>
      </c>
      <c r="O916" s="2">
        <v>-4.3959319461421398</v>
      </c>
      <c r="P916" t="s">
        <v>3442</v>
      </c>
      <c r="Q916" s="10">
        <f>IF(N916&lt;='[1]statistical criteria'!$B$2,IF(O916&gt;=LOG('[1]statistical criteria'!$B$3,2),1,IF(O916&lt;=-1*LOG('[1]statistical criteria'!$B$3,2),2,"-")),"-")</f>
        <v>2</v>
      </c>
      <c r="R916" t="s">
        <v>3444</v>
      </c>
      <c r="S916" t="s">
        <v>3445</v>
      </c>
      <c r="T916" s="9">
        <v>4E-174</v>
      </c>
      <c r="U916" t="s">
        <v>3446</v>
      </c>
    </row>
    <row r="917" spans="1:21" x14ac:dyDescent="0.35">
      <c r="A917" t="s">
        <v>3447</v>
      </c>
      <c r="B917" t="s">
        <v>3448</v>
      </c>
      <c r="C917">
        <v>1062</v>
      </c>
      <c r="D917" s="5">
        <v>1.2466930000000001</v>
      </c>
      <c r="E917" s="5">
        <v>7.064006</v>
      </c>
      <c r="F917" s="5">
        <v>4.263109</v>
      </c>
      <c r="G917" s="5">
        <v>0.83851699999999996</v>
      </c>
      <c r="H917" s="11">
        <v>0</v>
      </c>
      <c r="I917" s="11">
        <v>0</v>
      </c>
      <c r="J917" s="11">
        <v>0</v>
      </c>
      <c r="K917" s="7">
        <f t="shared" si="28"/>
        <v>3.3530812499999998</v>
      </c>
      <c r="L917" s="8">
        <f t="shared" si="29"/>
        <v>0</v>
      </c>
      <c r="M917" s="9">
        <v>2.0444286403736101E-6</v>
      </c>
      <c r="N917" s="9">
        <v>2.1771391732686002E-5</v>
      </c>
      <c r="O917" s="2">
        <v>-4.3960096843392904</v>
      </c>
      <c r="P917" t="s">
        <v>3447</v>
      </c>
      <c r="Q917" s="10">
        <f>IF(N917&lt;='[1]statistical criteria'!$B$2,IF(O917&gt;=LOG('[1]statistical criteria'!$B$3,2),1,IF(O917&lt;=-1*LOG('[1]statistical criteria'!$B$3,2),2,"-")),"-")</f>
        <v>2</v>
      </c>
      <c r="R917" t="s">
        <v>3449</v>
      </c>
      <c r="S917" t="s">
        <v>3450</v>
      </c>
      <c r="T917" s="9">
        <v>2.0000000000000001E-161</v>
      </c>
      <c r="U917" t="s">
        <v>3451</v>
      </c>
    </row>
    <row r="918" spans="1:21" x14ac:dyDescent="0.35">
      <c r="A918" t="s">
        <v>3452</v>
      </c>
      <c r="B918" t="s">
        <v>3453</v>
      </c>
      <c r="C918">
        <v>750</v>
      </c>
      <c r="D918" s="5">
        <v>20.648690999999999</v>
      </c>
      <c r="E918" s="5">
        <v>30.544163000000001</v>
      </c>
      <c r="F918" s="5">
        <v>9.6735760000000006</v>
      </c>
      <c r="G918" s="5">
        <v>14.206025</v>
      </c>
      <c r="H918" s="6">
        <v>5.2568729999999997</v>
      </c>
      <c r="I918" s="11">
        <v>0</v>
      </c>
      <c r="J918" s="11">
        <v>0</v>
      </c>
      <c r="K918" s="7">
        <f t="shared" si="28"/>
        <v>18.768113749999998</v>
      </c>
      <c r="L918" s="8">
        <f t="shared" si="29"/>
        <v>1.7522909999999998</v>
      </c>
      <c r="M918" s="9">
        <v>3.3043945435490399E-9</v>
      </c>
      <c r="N918" s="9">
        <v>6.4961392731134595E-8</v>
      </c>
      <c r="O918" s="2">
        <v>-4.39612951953898</v>
      </c>
      <c r="P918" t="s">
        <v>3452</v>
      </c>
      <c r="Q918" s="10">
        <f>IF(N918&lt;='[1]statistical criteria'!$B$2,IF(O918&gt;=LOG('[1]statistical criteria'!$B$3,2),1,IF(O918&lt;=-1*LOG('[1]statistical criteria'!$B$3,2),2,"-")),"-")</f>
        <v>2</v>
      </c>
      <c r="R918" t="s">
        <v>1393</v>
      </c>
      <c r="S918" t="s">
        <v>3454</v>
      </c>
      <c r="T918" s="9">
        <v>2.0000000000000001E-83</v>
      </c>
      <c r="U918" t="s">
        <v>1395</v>
      </c>
    </row>
    <row r="919" spans="1:21" x14ac:dyDescent="0.35">
      <c r="A919" t="s">
        <v>3455</v>
      </c>
      <c r="C919">
        <v>1197</v>
      </c>
      <c r="D919" s="5">
        <v>17.215513999999999</v>
      </c>
      <c r="E919" s="5">
        <v>35.223686999999998</v>
      </c>
      <c r="F919" s="5">
        <v>24.410751000000001</v>
      </c>
      <c r="G919" s="5">
        <v>22.922042999999999</v>
      </c>
      <c r="H919" s="6">
        <v>0.16218099999999999</v>
      </c>
      <c r="I919" s="11">
        <v>0</v>
      </c>
      <c r="J919" s="6">
        <v>2.913211</v>
      </c>
      <c r="K919" s="7">
        <f t="shared" si="28"/>
        <v>24.942998750000001</v>
      </c>
      <c r="L919" s="8">
        <f t="shared" si="29"/>
        <v>1.0251306666666666</v>
      </c>
      <c r="M919" s="9">
        <v>1.7920476598189901E-11</v>
      </c>
      <c r="N919" s="9">
        <v>5.0937516006505403E-10</v>
      </c>
      <c r="O919" s="2">
        <v>-4.3970180510179002</v>
      </c>
      <c r="P919" t="s">
        <v>3455</v>
      </c>
      <c r="Q919" s="10">
        <f>IF(N919&lt;='[1]statistical criteria'!$B$2,IF(O919&gt;=LOG('[1]statistical criteria'!$B$3,2),1,IF(O919&lt;=-1*LOG('[1]statistical criteria'!$B$3,2),2,"-")),"-")</f>
        <v>2</v>
      </c>
      <c r="R919" t="s">
        <v>3456</v>
      </c>
      <c r="S919" t="s">
        <v>3457</v>
      </c>
      <c r="T919" s="9">
        <v>2.9999999999999998E-128</v>
      </c>
      <c r="U919" t="s">
        <v>3458</v>
      </c>
    </row>
    <row r="920" spans="1:21" x14ac:dyDescent="0.35">
      <c r="A920" t="s">
        <v>3459</v>
      </c>
      <c r="B920" t="s">
        <v>3460</v>
      </c>
      <c r="C920">
        <v>1053</v>
      </c>
      <c r="D920" s="5">
        <v>0.55565399999999998</v>
      </c>
      <c r="E920" s="5">
        <v>7.0323469999999997</v>
      </c>
      <c r="F920" s="5">
        <v>2.0469650000000001</v>
      </c>
      <c r="G920" s="5">
        <v>2.1302819999999998</v>
      </c>
      <c r="H920" s="11">
        <v>0</v>
      </c>
      <c r="I920" s="11">
        <v>0</v>
      </c>
      <c r="J920" s="11">
        <v>0</v>
      </c>
      <c r="K920" s="7">
        <f t="shared" si="28"/>
        <v>2.9413119999999995</v>
      </c>
      <c r="L920" s="8">
        <f t="shared" si="29"/>
        <v>0</v>
      </c>
      <c r="M920" s="9">
        <v>2.1567494067361401E-6</v>
      </c>
      <c r="N920" s="9">
        <v>2.2852417154893501E-5</v>
      </c>
      <c r="O920" s="2">
        <v>-4.3988010990331103</v>
      </c>
      <c r="P920" t="s">
        <v>3459</v>
      </c>
      <c r="Q920" s="10">
        <f>IF(N920&lt;='[1]statistical criteria'!$B$2,IF(O920&gt;=LOG('[1]statistical criteria'!$B$3,2),1,IF(O920&lt;=-1*LOG('[1]statistical criteria'!$B$3,2),2,"-")),"-")</f>
        <v>2</v>
      </c>
      <c r="R920" t="s">
        <v>3449</v>
      </c>
      <c r="S920" t="s">
        <v>3450</v>
      </c>
      <c r="T920" s="9">
        <v>2.9999999999999998E-167</v>
      </c>
      <c r="U920" t="s">
        <v>3451</v>
      </c>
    </row>
    <row r="921" spans="1:21" x14ac:dyDescent="0.35">
      <c r="A921" t="s">
        <v>3461</v>
      </c>
      <c r="B921" t="s">
        <v>3462</v>
      </c>
      <c r="C921">
        <v>507</v>
      </c>
      <c r="D921" s="5">
        <v>1.6499790000000001</v>
      </c>
      <c r="E921" s="5">
        <v>9.2027079999999994</v>
      </c>
      <c r="F921" s="5">
        <v>13.420995</v>
      </c>
      <c r="G921" s="5">
        <v>8.3434080000000002</v>
      </c>
      <c r="H921" s="11">
        <v>0</v>
      </c>
      <c r="I921" s="11">
        <v>0</v>
      </c>
      <c r="J921" s="11">
        <v>0</v>
      </c>
      <c r="K921" s="7">
        <f t="shared" si="28"/>
        <v>8.1542725000000011</v>
      </c>
      <c r="L921" s="8">
        <f t="shared" si="29"/>
        <v>0</v>
      </c>
      <c r="M921" s="9">
        <v>2.8229543515687001E-6</v>
      </c>
      <c r="N921" s="9">
        <v>2.9022593900784699E-5</v>
      </c>
      <c r="O921" s="2">
        <v>-4.4058681125898396</v>
      </c>
      <c r="P921" t="s">
        <v>3461</v>
      </c>
      <c r="Q921" s="10">
        <f>IF(N921&lt;='[1]statistical criteria'!$B$2,IF(O921&gt;=LOG('[1]statistical criteria'!$B$3,2),1,IF(O921&lt;=-1*LOG('[1]statistical criteria'!$B$3,2),2,"-")),"-")</f>
        <v>2</v>
      </c>
    </row>
    <row r="922" spans="1:21" x14ac:dyDescent="0.35">
      <c r="A922" t="s">
        <v>3463</v>
      </c>
      <c r="B922" t="s">
        <v>3464</v>
      </c>
      <c r="C922">
        <v>2442</v>
      </c>
      <c r="D922" s="5">
        <v>6.7009720000000002</v>
      </c>
      <c r="E922" s="5">
        <v>10.217639999999999</v>
      </c>
      <c r="F922" s="5">
        <v>7.8572100000000002</v>
      </c>
      <c r="G922" s="5">
        <v>4.8516389999999996</v>
      </c>
      <c r="H922" s="11">
        <v>0</v>
      </c>
      <c r="I922" s="6">
        <v>1.281139</v>
      </c>
      <c r="J922" s="11">
        <v>0</v>
      </c>
      <c r="K922" s="7">
        <f t="shared" si="28"/>
        <v>7.4068652499999992</v>
      </c>
      <c r="L922" s="8">
        <f t="shared" si="29"/>
        <v>0.42704633333333336</v>
      </c>
      <c r="M922" s="9">
        <v>8.7681612975313105E-9</v>
      </c>
      <c r="N922" s="9">
        <v>1.58009573382596E-7</v>
      </c>
      <c r="O922" s="2">
        <v>-4.4066888012203602</v>
      </c>
      <c r="P922" t="s">
        <v>3463</v>
      </c>
      <c r="Q922" s="10">
        <f>IF(N922&lt;='[1]statistical criteria'!$B$2,IF(O922&gt;=LOG('[1]statistical criteria'!$B$3,2),1,IF(O922&lt;=-1*LOG('[1]statistical criteria'!$B$3,2),2,"-")),"-")</f>
        <v>2</v>
      </c>
      <c r="R922" t="s">
        <v>878</v>
      </c>
      <c r="S922" t="s">
        <v>3465</v>
      </c>
      <c r="T922">
        <v>2.4</v>
      </c>
      <c r="U922" t="s">
        <v>880</v>
      </c>
    </row>
    <row r="923" spans="1:21" x14ac:dyDescent="0.35">
      <c r="A923" t="s">
        <v>3466</v>
      </c>
      <c r="B923" t="s">
        <v>3467</v>
      </c>
      <c r="C923">
        <v>1602</v>
      </c>
      <c r="D923" s="5">
        <v>58.016365</v>
      </c>
      <c r="E923" s="5">
        <v>85.824406999999994</v>
      </c>
      <c r="F923" s="5">
        <v>57.856383999999998</v>
      </c>
      <c r="G923" s="5">
        <v>89.988764000000003</v>
      </c>
      <c r="H923" s="6">
        <v>6.6229880000000003</v>
      </c>
      <c r="I923" s="6">
        <v>3.3397269999999999</v>
      </c>
      <c r="J923" s="11">
        <v>0</v>
      </c>
      <c r="K923" s="7">
        <f t="shared" si="28"/>
        <v>72.921480000000003</v>
      </c>
      <c r="L923" s="8">
        <f t="shared" si="29"/>
        <v>3.3209049999999998</v>
      </c>
      <c r="M923" s="9">
        <v>5.2194717495548202E-7</v>
      </c>
      <c r="N923" s="9">
        <v>6.4226671447803602E-6</v>
      </c>
      <c r="O923" s="2">
        <v>-4.4086065670340897</v>
      </c>
      <c r="P923" t="s">
        <v>3466</v>
      </c>
      <c r="Q923" s="10">
        <f>IF(N923&lt;='[1]statistical criteria'!$B$2,IF(O923&gt;=LOG('[1]statistical criteria'!$B$3,2),1,IF(O923&lt;=-1*LOG('[1]statistical criteria'!$B$3,2),2,"-")),"-")</f>
        <v>2</v>
      </c>
      <c r="R923" t="s">
        <v>3030</v>
      </c>
    </row>
    <row r="924" spans="1:21" x14ac:dyDescent="0.35">
      <c r="A924" t="s">
        <v>3468</v>
      </c>
      <c r="B924" t="s">
        <v>3469</v>
      </c>
      <c r="C924">
        <v>1581</v>
      </c>
      <c r="D924" s="5">
        <v>2.2092450000000001</v>
      </c>
      <c r="E924" s="5">
        <v>5.3276399999999997</v>
      </c>
      <c r="F924" s="5">
        <v>1.271126</v>
      </c>
      <c r="G924" s="5">
        <v>1.8757010000000001</v>
      </c>
      <c r="H924" s="11">
        <v>0</v>
      </c>
      <c r="I924" s="11">
        <v>0</v>
      </c>
      <c r="J924" s="11">
        <v>0</v>
      </c>
      <c r="K924" s="7">
        <f t="shared" si="28"/>
        <v>2.670928</v>
      </c>
      <c r="L924" s="8">
        <f t="shared" si="29"/>
        <v>0</v>
      </c>
      <c r="M924" s="9">
        <v>1.1069682135899899E-6</v>
      </c>
      <c r="N924" s="9">
        <v>1.2587753274345599E-5</v>
      </c>
      <c r="O924" s="2">
        <v>-4.41178041520942</v>
      </c>
      <c r="P924" t="s">
        <v>3468</v>
      </c>
      <c r="Q924" s="10">
        <f>IF(N924&lt;='[1]statistical criteria'!$B$2,IF(O924&gt;=LOG('[1]statistical criteria'!$B$3,2),1,IF(O924&lt;=-1*LOG('[1]statistical criteria'!$B$3,2),2,"-")),"-")</f>
        <v>2</v>
      </c>
      <c r="R924" t="s">
        <v>980</v>
      </c>
      <c r="S924" t="s">
        <v>3470</v>
      </c>
      <c r="T924" s="9">
        <v>1E-50</v>
      </c>
      <c r="U924" t="s">
        <v>982</v>
      </c>
    </row>
    <row r="925" spans="1:21" x14ac:dyDescent="0.35">
      <c r="A925" t="s">
        <v>3471</v>
      </c>
      <c r="C925">
        <v>744</v>
      </c>
      <c r="D925" s="5">
        <v>1.8700410000000001</v>
      </c>
      <c r="E925" s="5">
        <v>4.5764849999999999</v>
      </c>
      <c r="F925" s="5">
        <v>10.995863</v>
      </c>
      <c r="G925" s="5">
        <v>2.8054709999999998</v>
      </c>
      <c r="H925" s="11">
        <v>0</v>
      </c>
      <c r="I925" s="11">
        <v>0</v>
      </c>
      <c r="J925" s="11">
        <v>0</v>
      </c>
      <c r="K925" s="7">
        <f t="shared" si="28"/>
        <v>5.0619649999999998</v>
      </c>
      <c r="L925" s="8">
        <f t="shared" si="29"/>
        <v>0</v>
      </c>
      <c r="M925" s="9">
        <v>2.9616979473662098E-6</v>
      </c>
      <c r="N925" s="9">
        <v>3.03506257072585E-5</v>
      </c>
      <c r="O925" s="2">
        <v>-4.4133073158030296</v>
      </c>
      <c r="P925" t="s">
        <v>3471</v>
      </c>
      <c r="Q925" s="10">
        <f>IF(N925&lt;='[1]statistical criteria'!$B$2,IF(O925&gt;=LOG('[1]statistical criteria'!$B$3,2),1,IF(O925&lt;=-1*LOG('[1]statistical criteria'!$B$3,2),2,"-")),"-")</f>
        <v>2</v>
      </c>
      <c r="R925" t="s">
        <v>3472</v>
      </c>
    </row>
    <row r="926" spans="1:21" x14ac:dyDescent="0.35">
      <c r="A926" t="s">
        <v>3473</v>
      </c>
      <c r="B926" t="s">
        <v>3474</v>
      </c>
      <c r="C926">
        <v>1284</v>
      </c>
      <c r="D926" s="5">
        <v>3.3306200000000001</v>
      </c>
      <c r="E926" s="5">
        <v>2.8088609999999998</v>
      </c>
      <c r="F926" s="5">
        <v>5.5340350000000003</v>
      </c>
      <c r="G926" s="5">
        <v>2.7306560000000002</v>
      </c>
      <c r="H926" s="11">
        <v>0</v>
      </c>
      <c r="I926" s="11">
        <v>0</v>
      </c>
      <c r="J926" s="11">
        <v>0</v>
      </c>
      <c r="K926" s="7">
        <f t="shared" si="28"/>
        <v>3.6010429999999998</v>
      </c>
      <c r="L926" s="8">
        <f t="shared" si="29"/>
        <v>0</v>
      </c>
      <c r="M926" s="9">
        <v>2.6297850674719801E-7</v>
      </c>
      <c r="N926" s="9">
        <v>3.4549402715907401E-6</v>
      </c>
      <c r="O926" s="2">
        <v>-4.4137768050302002</v>
      </c>
      <c r="P926" t="s">
        <v>3473</v>
      </c>
      <c r="Q926" s="10">
        <f>IF(N926&lt;='[1]statistical criteria'!$B$2,IF(O926&gt;=LOG('[1]statistical criteria'!$B$3,2),1,IF(O926&lt;=-1*LOG('[1]statistical criteria'!$B$3,2),2,"-")),"-")</f>
        <v>2</v>
      </c>
      <c r="S926" t="s">
        <v>3475</v>
      </c>
      <c r="T926" s="9">
        <v>1.9999999999999998E-65</v>
      </c>
      <c r="U926" t="s">
        <v>3476</v>
      </c>
    </row>
    <row r="927" spans="1:21" x14ac:dyDescent="0.35">
      <c r="A927" t="s">
        <v>3477</v>
      </c>
      <c r="B927" t="s">
        <v>3478</v>
      </c>
      <c r="C927">
        <v>756</v>
      </c>
      <c r="D927" s="5">
        <v>4.4872820000000004</v>
      </c>
      <c r="E927" s="5">
        <v>8.4821390000000001</v>
      </c>
      <c r="F927" s="5">
        <v>9.5946560000000005</v>
      </c>
      <c r="G927" s="5">
        <v>2.7108750000000001</v>
      </c>
      <c r="H927" s="11">
        <v>0</v>
      </c>
      <c r="I927" s="11">
        <v>0</v>
      </c>
      <c r="J927" s="11">
        <v>0</v>
      </c>
      <c r="K927" s="7">
        <f t="shared" si="28"/>
        <v>6.3187380000000006</v>
      </c>
      <c r="L927" s="8">
        <f t="shared" si="29"/>
        <v>0</v>
      </c>
      <c r="M927" s="9">
        <v>1.8715731575030901E-6</v>
      </c>
      <c r="N927" s="9">
        <v>2.0105016758274799E-5</v>
      </c>
      <c r="O927" s="2">
        <v>-4.4222254807236201</v>
      </c>
      <c r="P927" t="s">
        <v>3477</v>
      </c>
      <c r="Q927" s="10">
        <f>IF(N927&lt;='[1]statistical criteria'!$B$2,IF(O927&gt;=LOG('[1]statistical criteria'!$B$3,2),1,IF(O927&lt;=-1*LOG('[1]statistical criteria'!$B$3,2),2,"-")),"-")</f>
        <v>2</v>
      </c>
      <c r="R927" t="s">
        <v>216</v>
      </c>
      <c r="S927" t="s">
        <v>415</v>
      </c>
      <c r="T927" s="9">
        <v>9.9999999999999994E-37</v>
      </c>
      <c r="U927" t="s">
        <v>217</v>
      </c>
    </row>
    <row r="928" spans="1:21" x14ac:dyDescent="0.35">
      <c r="A928" t="s">
        <v>3479</v>
      </c>
      <c r="B928" t="s">
        <v>3480</v>
      </c>
      <c r="C928">
        <v>3570</v>
      </c>
      <c r="D928" s="5">
        <v>0.75183800000000001</v>
      </c>
      <c r="E928" s="5">
        <v>4.880992</v>
      </c>
      <c r="F928" s="5">
        <v>1.450704</v>
      </c>
      <c r="G928" s="5">
        <v>0.38594200000000001</v>
      </c>
      <c r="H928" s="11">
        <v>0</v>
      </c>
      <c r="I928" s="11">
        <v>0</v>
      </c>
      <c r="J928" s="11">
        <v>0</v>
      </c>
      <c r="K928" s="7">
        <f t="shared" si="28"/>
        <v>1.8673690000000001</v>
      </c>
      <c r="L928" s="8">
        <f t="shared" si="29"/>
        <v>0</v>
      </c>
      <c r="M928" s="9">
        <v>2.32927286475804E-6</v>
      </c>
      <c r="N928" s="9">
        <v>2.45098493869757E-5</v>
      </c>
      <c r="O928" s="2">
        <v>-4.4240342453093797</v>
      </c>
      <c r="P928" t="s">
        <v>3479</v>
      </c>
      <c r="Q928" s="10">
        <f>IF(N928&lt;='[1]statistical criteria'!$B$2,IF(O928&gt;=LOG('[1]statistical criteria'!$B$3,2),1,IF(O928&lt;=-1*LOG('[1]statistical criteria'!$B$3,2),2,"-")),"-")</f>
        <v>2</v>
      </c>
      <c r="R928" t="s">
        <v>3481</v>
      </c>
      <c r="S928" t="s">
        <v>3482</v>
      </c>
      <c r="T928" s="9">
        <v>6.0000000000000005E-44</v>
      </c>
      <c r="U928" t="s">
        <v>3483</v>
      </c>
    </row>
    <row r="929" spans="1:21" x14ac:dyDescent="0.35">
      <c r="A929" t="s">
        <v>379</v>
      </c>
      <c r="B929" t="s">
        <v>376</v>
      </c>
      <c r="C929">
        <v>633</v>
      </c>
      <c r="D929" s="4">
        <v>0</v>
      </c>
      <c r="E929" s="5">
        <v>16.794691</v>
      </c>
      <c r="F929" s="5">
        <v>23.979234000000002</v>
      </c>
      <c r="G929" s="5">
        <v>13.893050000000001</v>
      </c>
      <c r="H929" s="11">
        <v>0</v>
      </c>
      <c r="I929" s="11">
        <v>0</v>
      </c>
      <c r="J929" s="11">
        <v>0</v>
      </c>
      <c r="K929" s="7">
        <f t="shared" si="28"/>
        <v>13.666743750000002</v>
      </c>
      <c r="L929" s="8">
        <f t="shared" si="29"/>
        <v>0</v>
      </c>
      <c r="M929" s="9">
        <v>2.93788582636468E-5</v>
      </c>
      <c r="N929">
        <v>2.3485808559428701E-4</v>
      </c>
      <c r="O929" s="2">
        <v>-4.4245098302042596</v>
      </c>
      <c r="P929" t="s">
        <v>379</v>
      </c>
      <c r="Q929" s="10">
        <f>IF(N929&lt;='[1]statistical criteria'!$B$2,IF(O929&gt;=LOG('[1]statistical criteria'!$B$3,2),1,IF(O929&lt;=-1*LOG('[1]statistical criteria'!$B$3,2),2,"-")),"-")</f>
        <v>2</v>
      </c>
      <c r="R929" t="s">
        <v>416</v>
      </c>
    </row>
    <row r="930" spans="1:21" x14ac:dyDescent="0.35">
      <c r="A930" t="s">
        <v>3484</v>
      </c>
      <c r="B930" t="s">
        <v>3485</v>
      </c>
      <c r="C930">
        <v>426</v>
      </c>
      <c r="D930" s="5">
        <v>12.602995999999999</v>
      </c>
      <c r="E930" s="5">
        <v>14.658270999999999</v>
      </c>
      <c r="F930" s="5">
        <v>2.4090910000000001</v>
      </c>
      <c r="G930" s="5">
        <v>11.075457999999999</v>
      </c>
      <c r="H930" s="11">
        <v>0</v>
      </c>
      <c r="I930" s="11">
        <v>0</v>
      </c>
      <c r="J930" s="11">
        <v>0</v>
      </c>
      <c r="K930" s="7">
        <f t="shared" si="28"/>
        <v>10.186453999999999</v>
      </c>
      <c r="L930" s="8">
        <f t="shared" si="29"/>
        <v>0</v>
      </c>
      <c r="M930" s="9">
        <v>1.4602015548545101E-6</v>
      </c>
      <c r="N930" s="9">
        <v>1.6113444818139299E-5</v>
      </c>
      <c r="O930" s="2">
        <v>-4.4246233330649902</v>
      </c>
      <c r="P930" t="s">
        <v>3484</v>
      </c>
      <c r="Q930" s="10">
        <f>IF(N930&lt;='[1]statistical criteria'!$B$2,IF(O930&gt;=LOG('[1]statistical criteria'!$B$3,2),1,IF(O930&lt;=-1*LOG('[1]statistical criteria'!$B$3,2),2,"-")),"-")</f>
        <v>2</v>
      </c>
    </row>
    <row r="931" spans="1:21" x14ac:dyDescent="0.35">
      <c r="A931" t="s">
        <v>3486</v>
      </c>
      <c r="B931" t="s">
        <v>3487</v>
      </c>
      <c r="C931">
        <v>1074</v>
      </c>
      <c r="D931" s="5">
        <v>6.3891439999999999</v>
      </c>
      <c r="E931" s="5">
        <v>7.8549579999999999</v>
      </c>
      <c r="F931" s="5">
        <v>2.8117770000000002</v>
      </c>
      <c r="G931" s="5">
        <v>3.7734429999999999</v>
      </c>
      <c r="H931" s="6">
        <v>0.25220799999999999</v>
      </c>
      <c r="I931" s="11">
        <v>0</v>
      </c>
      <c r="J931" s="11">
        <v>0</v>
      </c>
      <c r="K931" s="7">
        <f t="shared" si="28"/>
        <v>5.2073305000000003</v>
      </c>
      <c r="L931" s="8">
        <f t="shared" si="29"/>
        <v>8.4069333333333329E-2</v>
      </c>
      <c r="M931" s="9">
        <v>3.3217083039714202E-6</v>
      </c>
      <c r="N931" s="9">
        <v>3.3632407036220402E-5</v>
      </c>
      <c r="O931" s="2">
        <v>-4.4255473424737302</v>
      </c>
      <c r="P931" t="s">
        <v>3486</v>
      </c>
      <c r="Q931" s="10">
        <f>IF(N931&lt;='[1]statistical criteria'!$B$2,IF(O931&gt;=LOG('[1]statistical criteria'!$B$3,2),1,IF(O931&lt;=-1*LOG('[1]statistical criteria'!$B$3,2),2,"-")),"-")</f>
        <v>2</v>
      </c>
      <c r="R931" t="s">
        <v>3488</v>
      </c>
    </row>
    <row r="932" spans="1:21" x14ac:dyDescent="0.35">
      <c r="A932" t="s">
        <v>3489</v>
      </c>
      <c r="B932" t="s">
        <v>3490</v>
      </c>
      <c r="C932">
        <v>843</v>
      </c>
      <c r="D932" s="5">
        <v>6.3057530000000002</v>
      </c>
      <c r="E932" s="5">
        <v>5.8055969999999997</v>
      </c>
      <c r="F932" s="5">
        <v>0.75536899999999996</v>
      </c>
      <c r="G932" s="5">
        <v>3.4328569999999998</v>
      </c>
      <c r="H932" s="11">
        <v>0</v>
      </c>
      <c r="I932" s="11">
        <v>0</v>
      </c>
      <c r="J932" s="11">
        <v>0</v>
      </c>
      <c r="K932" s="7">
        <f t="shared" si="28"/>
        <v>4.0748939999999996</v>
      </c>
      <c r="L932" s="8">
        <f t="shared" si="29"/>
        <v>0</v>
      </c>
      <c r="M932" s="9">
        <v>1.1408659695768401E-6</v>
      </c>
      <c r="N932" s="9">
        <v>1.29500026251401E-5</v>
      </c>
      <c r="O932" s="2">
        <v>-4.4270385781516097</v>
      </c>
      <c r="P932" t="s">
        <v>3489</v>
      </c>
      <c r="Q932" s="10">
        <f>IF(N932&lt;='[1]statistical criteria'!$B$2,IF(O932&gt;=LOG('[1]statistical criteria'!$B$3,2),1,IF(O932&lt;=-1*LOG('[1]statistical criteria'!$B$3,2),2,"-")),"-")</f>
        <v>2</v>
      </c>
      <c r="R932" t="s">
        <v>3491</v>
      </c>
      <c r="S932" t="s">
        <v>3492</v>
      </c>
      <c r="T932" s="9">
        <v>1E-107</v>
      </c>
      <c r="U932" t="s">
        <v>3493</v>
      </c>
    </row>
    <row r="933" spans="1:21" x14ac:dyDescent="0.35">
      <c r="A933" t="s">
        <v>3494</v>
      </c>
      <c r="B933" t="s">
        <v>3495</v>
      </c>
      <c r="C933">
        <v>1524</v>
      </c>
      <c r="D933" s="5">
        <v>7.8935649999999997</v>
      </c>
      <c r="E933" s="5">
        <v>9.5451929999999994</v>
      </c>
      <c r="F933" s="5">
        <v>19.602461999999999</v>
      </c>
      <c r="G933" s="5">
        <v>10.784084</v>
      </c>
      <c r="H933" s="6">
        <v>2.2027480000000002</v>
      </c>
      <c r="I933" s="11">
        <v>0</v>
      </c>
      <c r="J933" s="11">
        <v>0</v>
      </c>
      <c r="K933" s="7">
        <f t="shared" si="28"/>
        <v>11.956325999999999</v>
      </c>
      <c r="L933" s="8">
        <f t="shared" si="29"/>
        <v>0.73424933333333342</v>
      </c>
      <c r="M933" s="9">
        <v>4.7977325045581104E-10</v>
      </c>
      <c r="N933" s="9">
        <v>1.0843331301869501E-8</v>
      </c>
      <c r="O933" s="2">
        <v>-4.4278210736638801</v>
      </c>
      <c r="P933" t="s">
        <v>3494</v>
      </c>
      <c r="Q933" s="10">
        <f>IF(N933&lt;='[1]statistical criteria'!$B$2,IF(O933&gt;=LOG('[1]statistical criteria'!$B$3,2),1,IF(O933&lt;=-1*LOG('[1]statistical criteria'!$B$3,2),2,"-")),"-")</f>
        <v>2</v>
      </c>
      <c r="R933" t="s">
        <v>2841</v>
      </c>
      <c r="S933" t="s">
        <v>2842</v>
      </c>
      <c r="T933" s="9">
        <v>3E-34</v>
      </c>
      <c r="U933" t="s">
        <v>61</v>
      </c>
    </row>
    <row r="934" spans="1:21" x14ac:dyDescent="0.35">
      <c r="A934" t="s">
        <v>3496</v>
      </c>
      <c r="B934" t="s">
        <v>3497</v>
      </c>
      <c r="C934">
        <v>5244</v>
      </c>
      <c r="D934" s="5">
        <v>2.7586309999999998</v>
      </c>
      <c r="E934" s="5">
        <v>2.3741189999999999</v>
      </c>
      <c r="F934" s="5">
        <v>4.1065969999999998</v>
      </c>
      <c r="G934" s="5">
        <v>2.6840489999999999</v>
      </c>
      <c r="H934" s="6">
        <v>0.43955499999999997</v>
      </c>
      <c r="I934" s="11">
        <v>0</v>
      </c>
      <c r="J934" s="11">
        <v>0</v>
      </c>
      <c r="K934" s="7">
        <f t="shared" si="28"/>
        <v>2.9808489999999996</v>
      </c>
      <c r="L934" s="8">
        <f t="shared" si="29"/>
        <v>0.14651833333333333</v>
      </c>
      <c r="M934" s="9">
        <v>1.02611994759353E-6</v>
      </c>
      <c r="N934" s="9">
        <v>1.1782046613115199E-5</v>
      </c>
      <c r="O934" s="2">
        <v>-4.4280915963057996</v>
      </c>
      <c r="P934" t="s">
        <v>3496</v>
      </c>
      <c r="Q934" s="10">
        <f>IF(N934&lt;='[1]statistical criteria'!$B$2,IF(O934&gt;=LOG('[1]statistical criteria'!$B$3,2),1,IF(O934&lt;=-1*LOG('[1]statistical criteria'!$B$3,2),2,"-")),"-")</f>
        <v>2</v>
      </c>
      <c r="R934" t="s">
        <v>2873</v>
      </c>
      <c r="S934" t="s">
        <v>3498</v>
      </c>
      <c r="T934">
        <v>0</v>
      </c>
      <c r="U934" t="s">
        <v>2875</v>
      </c>
    </row>
    <row r="935" spans="1:21" x14ac:dyDescent="0.35">
      <c r="A935" t="s">
        <v>3499</v>
      </c>
      <c r="B935" t="s">
        <v>3500</v>
      </c>
      <c r="C935">
        <v>760</v>
      </c>
      <c r="D935" s="5">
        <v>2.3206419999999999</v>
      </c>
      <c r="E935" s="5">
        <v>2.7508149999999998</v>
      </c>
      <c r="F935" s="5">
        <v>5.7717039999999997</v>
      </c>
      <c r="G935" s="5">
        <v>6.4743620000000002</v>
      </c>
      <c r="H935" s="11">
        <v>0</v>
      </c>
      <c r="I935" s="11">
        <v>0</v>
      </c>
      <c r="J935" s="11">
        <v>0</v>
      </c>
      <c r="K935" s="7">
        <f t="shared" ref="K935:K998" si="30">AVERAGE(D935:G935)</f>
        <v>4.3293807499999994</v>
      </c>
      <c r="L935" s="8">
        <f t="shared" ref="L935:L998" si="31">AVERAGE(H935:J935)</f>
        <v>0</v>
      </c>
      <c r="M935" s="9">
        <v>1.15936292458427E-6</v>
      </c>
      <c r="N935" s="9">
        <v>1.3140367155949199E-5</v>
      </c>
      <c r="O935" s="2">
        <v>-4.4316902815970103</v>
      </c>
      <c r="P935" t="s">
        <v>3499</v>
      </c>
      <c r="Q935" s="10">
        <f>IF(N935&lt;='[1]statistical criteria'!$B$2,IF(O935&gt;=LOG('[1]statistical criteria'!$B$3,2),1,IF(O935&lt;=-1*LOG('[1]statistical criteria'!$B$3,2),2,"-")),"-")</f>
        <v>2</v>
      </c>
      <c r="R935" t="s">
        <v>3501</v>
      </c>
      <c r="S935" t="s">
        <v>3502</v>
      </c>
      <c r="T935" s="9">
        <v>9.9999999999999991E-22</v>
      </c>
      <c r="U935" t="s">
        <v>61</v>
      </c>
    </row>
    <row r="936" spans="1:21" x14ac:dyDescent="0.35">
      <c r="A936" t="s">
        <v>3503</v>
      </c>
      <c r="B936" t="s">
        <v>3504</v>
      </c>
      <c r="C936">
        <v>4845</v>
      </c>
      <c r="D936" s="5">
        <v>0.67386999999999997</v>
      </c>
      <c r="E936" s="5">
        <v>0.67660900000000002</v>
      </c>
      <c r="F936" s="5">
        <v>3.1412040000000001</v>
      </c>
      <c r="G936" s="5">
        <v>0.353547</v>
      </c>
      <c r="H936" s="11">
        <v>0</v>
      </c>
      <c r="I936" s="11">
        <v>0</v>
      </c>
      <c r="J936" s="11">
        <v>0</v>
      </c>
      <c r="K936" s="7">
        <f t="shared" si="30"/>
        <v>1.2113075</v>
      </c>
      <c r="L936" s="8">
        <f t="shared" si="31"/>
        <v>0</v>
      </c>
      <c r="M936" s="9">
        <v>1.9900766499659099E-6</v>
      </c>
      <c r="N936" s="9">
        <v>2.1246091808612199E-5</v>
      </c>
      <c r="O936" s="2">
        <v>-4.4324866565538299</v>
      </c>
      <c r="P936" t="s">
        <v>3503</v>
      </c>
      <c r="Q936" s="10">
        <f>IF(N936&lt;='[1]statistical criteria'!$B$2,IF(O936&gt;=LOG('[1]statistical criteria'!$B$3,2),1,IF(O936&lt;=-1*LOG('[1]statistical criteria'!$B$3,2),2,"-")),"-")</f>
        <v>2</v>
      </c>
      <c r="S936" t="s">
        <v>3505</v>
      </c>
      <c r="T936">
        <v>0</v>
      </c>
      <c r="U936" t="s">
        <v>3506</v>
      </c>
    </row>
    <row r="937" spans="1:21" x14ac:dyDescent="0.35">
      <c r="A937" t="s">
        <v>3507</v>
      </c>
      <c r="B937" t="s">
        <v>3508</v>
      </c>
      <c r="C937">
        <v>1644</v>
      </c>
      <c r="D937" s="5">
        <v>3.8532739999999999</v>
      </c>
      <c r="E937" s="5">
        <v>2.9057390000000001</v>
      </c>
      <c r="F937" s="5">
        <v>2.2839589999999999</v>
      </c>
      <c r="G937" s="5">
        <v>6.6516960000000003</v>
      </c>
      <c r="H937" s="11">
        <v>0</v>
      </c>
      <c r="I937" s="11">
        <v>0</v>
      </c>
      <c r="J937" s="11">
        <v>0</v>
      </c>
      <c r="K937" s="7">
        <f t="shared" si="30"/>
        <v>3.923667</v>
      </c>
      <c r="L937" s="8">
        <f t="shared" si="31"/>
        <v>0</v>
      </c>
      <c r="M937" s="9">
        <v>2.9324002062012299E-9</v>
      </c>
      <c r="N937" s="9">
        <v>5.80380404825891E-8</v>
      </c>
      <c r="O937" s="2">
        <v>-4.43302854571205</v>
      </c>
      <c r="P937" t="s">
        <v>3507</v>
      </c>
      <c r="Q937" s="10">
        <f>IF(N937&lt;='[1]statistical criteria'!$B$2,IF(O937&gt;=LOG('[1]statistical criteria'!$B$3,2),1,IF(O937&lt;=-1*LOG('[1]statistical criteria'!$B$3,2),2,"-")),"-")</f>
        <v>2</v>
      </c>
      <c r="R937" t="s">
        <v>3382</v>
      </c>
      <c r="S937" t="s">
        <v>3509</v>
      </c>
      <c r="T937" s="9">
        <v>2.9999999999999999E-110</v>
      </c>
      <c r="U937" t="s">
        <v>3384</v>
      </c>
    </row>
    <row r="938" spans="1:21" x14ac:dyDescent="0.35">
      <c r="A938" t="s">
        <v>3510</v>
      </c>
      <c r="B938" t="s">
        <v>3511</v>
      </c>
      <c r="C938">
        <v>1125</v>
      </c>
      <c r="D938" s="5">
        <v>2.9659939999999998</v>
      </c>
      <c r="E938" s="5">
        <v>7.2084479999999997</v>
      </c>
      <c r="F938" s="5">
        <v>5.3789879999999997</v>
      </c>
      <c r="G938" s="5">
        <v>3.5322979999999999</v>
      </c>
      <c r="H938" s="11">
        <v>0</v>
      </c>
      <c r="I938" s="11">
        <v>0</v>
      </c>
      <c r="J938" s="11">
        <v>0</v>
      </c>
      <c r="K938" s="7">
        <f t="shared" si="30"/>
        <v>4.7714319999999999</v>
      </c>
      <c r="L938" s="8">
        <f t="shared" si="31"/>
        <v>0</v>
      </c>
      <c r="M938" s="9">
        <v>3.9889679007143202E-11</v>
      </c>
      <c r="N938" s="9">
        <v>1.08288244152059E-9</v>
      </c>
      <c r="O938" s="2">
        <v>-4.4378888977320603</v>
      </c>
      <c r="P938" t="s">
        <v>3510</v>
      </c>
      <c r="Q938" s="10">
        <f>IF(N938&lt;='[1]statistical criteria'!$B$2,IF(O938&gt;=LOG('[1]statistical criteria'!$B$3,2),1,IF(O938&lt;=-1*LOG('[1]statistical criteria'!$B$3,2),2,"-")),"-")</f>
        <v>2</v>
      </c>
      <c r="R938" t="s">
        <v>3123</v>
      </c>
      <c r="S938" t="s">
        <v>3124</v>
      </c>
      <c r="T938">
        <v>0</v>
      </c>
      <c r="U938" t="s">
        <v>3125</v>
      </c>
    </row>
    <row r="939" spans="1:21" x14ac:dyDescent="0.35">
      <c r="A939" t="s">
        <v>3512</v>
      </c>
      <c r="B939" t="s">
        <v>3513</v>
      </c>
      <c r="C939">
        <v>819</v>
      </c>
      <c r="D939" s="5">
        <v>33.755398999999997</v>
      </c>
      <c r="E939" s="5">
        <v>26.616970999999999</v>
      </c>
      <c r="F939" s="5">
        <v>32.507478999999996</v>
      </c>
      <c r="G939" s="5">
        <v>20.866025</v>
      </c>
      <c r="H939" s="11">
        <v>0</v>
      </c>
      <c r="I939" s="6">
        <v>14.340897</v>
      </c>
      <c r="J939" s="11">
        <v>0</v>
      </c>
      <c r="K939" s="7">
        <f t="shared" si="30"/>
        <v>28.436468499999997</v>
      </c>
      <c r="L939" s="8">
        <f t="shared" si="31"/>
        <v>4.7802990000000003</v>
      </c>
      <c r="M939" s="9">
        <v>5.7271995617012798E-5</v>
      </c>
      <c r="N939">
        <v>4.1986872695407598E-4</v>
      </c>
      <c r="O939" s="2">
        <v>-4.4385955640552499</v>
      </c>
      <c r="P939" t="s">
        <v>3512</v>
      </c>
      <c r="Q939" s="10">
        <f>IF(N939&lt;='[1]statistical criteria'!$B$2,IF(O939&gt;=LOG('[1]statistical criteria'!$B$3,2),1,IF(O939&lt;=-1*LOG('[1]statistical criteria'!$B$3,2),2,"-")),"-")</f>
        <v>2</v>
      </c>
      <c r="R939" t="s">
        <v>3514</v>
      </c>
      <c r="S939" t="s">
        <v>3515</v>
      </c>
      <c r="T939" s="9">
        <v>1E-84</v>
      </c>
      <c r="U939" t="s">
        <v>3516</v>
      </c>
    </row>
    <row r="940" spans="1:21" x14ac:dyDescent="0.35">
      <c r="A940" t="s">
        <v>3517</v>
      </c>
      <c r="B940" t="s">
        <v>3518</v>
      </c>
      <c r="C940">
        <v>1456</v>
      </c>
      <c r="D940" s="5">
        <v>17.498255</v>
      </c>
      <c r="E940" s="5">
        <v>33.033965999999999</v>
      </c>
      <c r="F940" s="5">
        <v>20.616575000000001</v>
      </c>
      <c r="G940" s="5">
        <v>26.239605999999998</v>
      </c>
      <c r="H940" s="6">
        <v>0.60752600000000001</v>
      </c>
      <c r="I940" s="11">
        <v>0</v>
      </c>
      <c r="J940" s="6">
        <v>1.488464</v>
      </c>
      <c r="K940" s="7">
        <f t="shared" si="30"/>
        <v>24.3471005</v>
      </c>
      <c r="L940" s="8">
        <f t="shared" si="31"/>
        <v>0.6986633333333333</v>
      </c>
      <c r="M940" s="9">
        <v>2.3670676156373698E-12</v>
      </c>
      <c r="N940" s="9">
        <v>7.6738154558056501E-11</v>
      </c>
      <c r="O940" s="2">
        <v>-4.4387070941773903</v>
      </c>
      <c r="P940" t="s">
        <v>3517</v>
      </c>
      <c r="Q940" s="10">
        <f>IF(N940&lt;='[1]statistical criteria'!$B$2,IF(O940&gt;=LOG('[1]statistical criteria'!$B$3,2),1,IF(O940&lt;=-1*LOG('[1]statistical criteria'!$B$3,2),2,"-")),"-")</f>
        <v>2</v>
      </c>
      <c r="R940" t="s">
        <v>3519</v>
      </c>
      <c r="S940" t="s">
        <v>3520</v>
      </c>
      <c r="T940">
        <v>0</v>
      </c>
      <c r="U940" t="s">
        <v>84</v>
      </c>
    </row>
    <row r="941" spans="1:21" x14ac:dyDescent="0.35">
      <c r="A941" t="s">
        <v>3521</v>
      </c>
      <c r="B941" t="s">
        <v>3522</v>
      </c>
      <c r="C941">
        <v>1245</v>
      </c>
      <c r="D941" s="5">
        <v>2.0756019999999999</v>
      </c>
      <c r="E941" s="5">
        <v>6.5726290000000001</v>
      </c>
      <c r="F941" s="5">
        <v>1.4327240000000001</v>
      </c>
      <c r="G941" s="5">
        <v>6.1897609999999998</v>
      </c>
      <c r="H941" s="11">
        <v>0</v>
      </c>
      <c r="I941" s="11">
        <v>0</v>
      </c>
      <c r="J941" s="11">
        <v>0</v>
      </c>
      <c r="K941" s="7">
        <f t="shared" si="30"/>
        <v>4.067679</v>
      </c>
      <c r="L941" s="8">
        <f t="shared" si="31"/>
        <v>0</v>
      </c>
      <c r="M941" s="9">
        <v>1.6614210097963001E-6</v>
      </c>
      <c r="N941" s="9">
        <v>1.8097791537735299E-5</v>
      </c>
      <c r="O941" s="2">
        <v>-4.44080382935568</v>
      </c>
      <c r="P941" t="s">
        <v>3521</v>
      </c>
      <c r="Q941" s="10">
        <f>IF(N941&lt;='[1]statistical criteria'!$B$2,IF(O941&gt;=LOG('[1]statistical criteria'!$B$3,2),1,IF(O941&lt;=-1*LOG('[1]statistical criteria'!$B$3,2),2,"-")),"-")</f>
        <v>2</v>
      </c>
      <c r="S941" t="s">
        <v>3523</v>
      </c>
      <c r="T941" s="9">
        <v>7.9999999999999994E-40</v>
      </c>
      <c r="U941" t="s">
        <v>3524</v>
      </c>
    </row>
    <row r="942" spans="1:21" x14ac:dyDescent="0.35">
      <c r="A942" t="s">
        <v>3525</v>
      </c>
      <c r="B942" t="s">
        <v>3526</v>
      </c>
      <c r="C942">
        <v>504</v>
      </c>
      <c r="D942" s="5">
        <v>8.0107660000000003</v>
      </c>
      <c r="E942" s="5">
        <v>15.866731</v>
      </c>
      <c r="F942" s="5">
        <v>5.7667460000000004</v>
      </c>
      <c r="G942" s="5">
        <v>9.3649710000000006</v>
      </c>
      <c r="H942" s="11">
        <v>0</v>
      </c>
      <c r="I942" s="11">
        <v>0</v>
      </c>
      <c r="J942" s="11">
        <v>0</v>
      </c>
      <c r="K942" s="7">
        <f t="shared" si="30"/>
        <v>9.7523035</v>
      </c>
      <c r="L942" s="8">
        <f t="shared" si="31"/>
        <v>0</v>
      </c>
      <c r="M942" s="9">
        <v>2.577749682507E-6</v>
      </c>
      <c r="N942" s="9">
        <v>2.6769209526934899E-5</v>
      </c>
      <c r="O942" s="2">
        <v>-4.4414295780547199</v>
      </c>
      <c r="P942" t="s">
        <v>3525</v>
      </c>
      <c r="Q942" s="10">
        <f>IF(N942&lt;='[1]statistical criteria'!$B$2,IF(O942&gt;=LOG('[1]statistical criteria'!$B$3,2),1,IF(O942&lt;=-1*LOG('[1]statistical criteria'!$B$3,2),2,"-")),"-")</f>
        <v>2</v>
      </c>
      <c r="R942" t="s">
        <v>3527</v>
      </c>
      <c r="S942" t="s">
        <v>3528</v>
      </c>
      <c r="T942" s="9">
        <v>7.9999999999999994E-76</v>
      </c>
      <c r="U942" t="s">
        <v>3529</v>
      </c>
    </row>
    <row r="943" spans="1:21" x14ac:dyDescent="0.35">
      <c r="A943" t="s">
        <v>3530</v>
      </c>
      <c r="C943">
        <v>981</v>
      </c>
      <c r="D943" s="5">
        <v>4.2068300000000001</v>
      </c>
      <c r="E943" s="5">
        <v>8.407095</v>
      </c>
      <c r="F943" s="5">
        <v>10.543464</v>
      </c>
      <c r="G943" s="5">
        <v>5.1581400000000004</v>
      </c>
      <c r="H943" s="11">
        <v>0</v>
      </c>
      <c r="I943" s="11">
        <v>0</v>
      </c>
      <c r="J943" s="6">
        <v>1.4379379999999999</v>
      </c>
      <c r="K943" s="7">
        <f t="shared" si="30"/>
        <v>7.0788822500000004</v>
      </c>
      <c r="L943" s="8">
        <f t="shared" si="31"/>
        <v>0.47931266666666666</v>
      </c>
      <c r="M943" s="9">
        <v>8.3994709242767301E-8</v>
      </c>
      <c r="N943" s="9">
        <v>1.23420973022662E-6</v>
      </c>
      <c r="O943" s="2">
        <v>-4.4419274809878599</v>
      </c>
      <c r="P943" t="s">
        <v>3530</v>
      </c>
      <c r="Q943" s="10">
        <f>IF(N943&lt;='[1]statistical criteria'!$B$2,IF(O943&gt;=LOG('[1]statistical criteria'!$B$3,2),1,IF(O943&lt;=-1*LOG('[1]statistical criteria'!$B$3,2),2,"-")),"-")</f>
        <v>2</v>
      </c>
    </row>
    <row r="944" spans="1:21" x14ac:dyDescent="0.35">
      <c r="A944" t="s">
        <v>3531</v>
      </c>
      <c r="B944" t="s">
        <v>3532</v>
      </c>
      <c r="C944">
        <v>486</v>
      </c>
      <c r="D944" s="5">
        <v>10.836008</v>
      </c>
      <c r="E944" s="5">
        <v>23.584969000000001</v>
      </c>
      <c r="F944" s="5">
        <v>62.981904</v>
      </c>
      <c r="G944" s="5">
        <v>29.043330000000001</v>
      </c>
      <c r="H944" s="11">
        <v>0</v>
      </c>
      <c r="I944" s="6">
        <v>6.2793359999999998</v>
      </c>
      <c r="J944" s="11">
        <v>0</v>
      </c>
      <c r="K944" s="7">
        <f t="shared" si="30"/>
        <v>31.611552750000001</v>
      </c>
      <c r="L944" s="8">
        <f t="shared" si="31"/>
        <v>2.0931120000000001</v>
      </c>
      <c r="M944" s="9">
        <v>5.32006822608489E-9</v>
      </c>
      <c r="N944" s="9">
        <v>1.00487244012303E-7</v>
      </c>
      <c r="O944" s="2">
        <v>-4.4450409632997498</v>
      </c>
      <c r="P944" t="s">
        <v>3531</v>
      </c>
      <c r="Q944" s="10">
        <f>IF(N944&lt;='[1]statistical criteria'!$B$2,IF(O944&gt;=LOG('[1]statistical criteria'!$B$3,2),1,IF(O944&lt;=-1*LOG('[1]statistical criteria'!$B$3,2),2,"-")),"-")</f>
        <v>2</v>
      </c>
    </row>
    <row r="945" spans="1:21" x14ac:dyDescent="0.35">
      <c r="A945" t="s">
        <v>3533</v>
      </c>
      <c r="B945" t="s">
        <v>3534</v>
      </c>
      <c r="C945">
        <v>1559</v>
      </c>
      <c r="D945" s="5">
        <v>16.236884</v>
      </c>
      <c r="E945" s="5">
        <v>17.924486000000002</v>
      </c>
      <c r="F945" s="5">
        <v>12.714401000000001</v>
      </c>
      <c r="G945" s="5">
        <v>16.874410999999998</v>
      </c>
      <c r="H945" s="6">
        <v>3.4200780000000002</v>
      </c>
      <c r="I945" s="11">
        <v>0</v>
      </c>
      <c r="J945" s="11">
        <v>0</v>
      </c>
      <c r="K945" s="7">
        <f t="shared" si="30"/>
        <v>15.937545500000002</v>
      </c>
      <c r="L945" s="8">
        <f t="shared" si="31"/>
        <v>1.140026</v>
      </c>
      <c r="M945" s="9">
        <v>5.0083936434018001E-8</v>
      </c>
      <c r="N945" s="9">
        <v>7.7772118346745203E-7</v>
      </c>
      <c r="O945" s="2">
        <v>-4.44565005750247</v>
      </c>
      <c r="P945" t="s">
        <v>3533</v>
      </c>
      <c r="Q945" s="10">
        <f>IF(N945&lt;='[1]statistical criteria'!$B$2,IF(O945&gt;=LOG('[1]statistical criteria'!$B$3,2),1,IF(O945&lt;=-1*LOG('[1]statistical criteria'!$B$3,2),2,"-")),"-")</f>
        <v>2</v>
      </c>
      <c r="R945" t="s">
        <v>3535</v>
      </c>
      <c r="S945" t="s">
        <v>3536</v>
      </c>
      <c r="T945" s="9">
        <v>3.9999999999999997E-145</v>
      </c>
      <c r="U945" t="s">
        <v>3537</v>
      </c>
    </row>
    <row r="946" spans="1:21" x14ac:dyDescent="0.35">
      <c r="A946" t="s">
        <v>3538</v>
      </c>
      <c r="B946" t="s">
        <v>3539</v>
      </c>
      <c r="C946">
        <v>1092</v>
      </c>
      <c r="D946" s="5">
        <v>8.6580580000000005</v>
      </c>
      <c r="E946" s="5">
        <v>4.4043219999999996</v>
      </c>
      <c r="F946" s="5">
        <v>4.5764659999999999</v>
      </c>
      <c r="G946" s="5">
        <v>1.5400780000000001</v>
      </c>
      <c r="H946" s="11">
        <v>0</v>
      </c>
      <c r="I946" s="11">
        <v>0</v>
      </c>
      <c r="J946" s="11">
        <v>0</v>
      </c>
      <c r="K946" s="7">
        <f t="shared" si="30"/>
        <v>4.7947310000000005</v>
      </c>
      <c r="L946" s="8">
        <f t="shared" si="31"/>
        <v>0</v>
      </c>
      <c r="M946" s="9">
        <v>1.0399963584386899E-6</v>
      </c>
      <c r="N946" s="9">
        <v>1.1911604394275199E-5</v>
      </c>
      <c r="O946" s="2">
        <v>-4.4462989601629301</v>
      </c>
      <c r="P946" t="s">
        <v>3538</v>
      </c>
      <c r="Q946" s="10">
        <f>IF(N946&lt;='[1]statistical criteria'!$B$2,IF(O946&gt;=LOG('[1]statistical criteria'!$B$3,2),1,IF(O946&lt;=-1*LOG('[1]statistical criteria'!$B$3,2),2,"-")),"-")</f>
        <v>2</v>
      </c>
      <c r="R946" t="s">
        <v>2074</v>
      </c>
      <c r="S946" t="s">
        <v>3540</v>
      </c>
      <c r="T946" s="9">
        <v>1.9999999999999999E-49</v>
      </c>
      <c r="U946" t="s">
        <v>529</v>
      </c>
    </row>
    <row r="947" spans="1:21" x14ac:dyDescent="0.35">
      <c r="A947" t="s">
        <v>3541</v>
      </c>
      <c r="B947" t="s">
        <v>3542</v>
      </c>
      <c r="C947">
        <v>729</v>
      </c>
      <c r="D947" s="5">
        <v>2.7461720000000001</v>
      </c>
      <c r="E947" s="5">
        <v>3.717832</v>
      </c>
      <c r="F947" s="5">
        <v>4.322648</v>
      </c>
      <c r="G947" s="5">
        <v>3.099367</v>
      </c>
      <c r="H947" s="11">
        <v>0</v>
      </c>
      <c r="I947" s="11">
        <v>0</v>
      </c>
      <c r="J947" s="11">
        <v>0</v>
      </c>
      <c r="K947" s="7">
        <f t="shared" si="30"/>
        <v>3.4715047500000003</v>
      </c>
      <c r="L947" s="8">
        <f t="shared" si="31"/>
        <v>0</v>
      </c>
      <c r="M947" s="9">
        <v>6.3728320322219196E-7</v>
      </c>
      <c r="N947" s="9">
        <v>7.6926732364848103E-6</v>
      </c>
      <c r="O947" s="2">
        <v>-4.4482456226906297</v>
      </c>
      <c r="P947" t="s">
        <v>3541</v>
      </c>
      <c r="Q947" s="10">
        <f>IF(N947&lt;='[1]statistical criteria'!$B$2,IF(O947&gt;=LOG('[1]statistical criteria'!$B$3,2),1,IF(O947&lt;=-1*LOG('[1]statistical criteria'!$B$3,2),2,"-")),"-")</f>
        <v>2</v>
      </c>
      <c r="R947" t="s">
        <v>3543</v>
      </c>
      <c r="S947" t="s">
        <v>3544</v>
      </c>
      <c r="T947" s="9">
        <v>9.9999999999999996E-81</v>
      </c>
      <c r="U947" t="s">
        <v>3545</v>
      </c>
    </row>
    <row r="948" spans="1:21" x14ac:dyDescent="0.35">
      <c r="A948" t="s">
        <v>3546</v>
      </c>
      <c r="B948" t="s">
        <v>3547</v>
      </c>
      <c r="C948">
        <v>1968</v>
      </c>
      <c r="D948" s="5">
        <v>3.2836419999999999</v>
      </c>
      <c r="E948" s="5">
        <v>11.682492</v>
      </c>
      <c r="F948" s="5">
        <v>1.716664</v>
      </c>
      <c r="G948" s="5">
        <v>2.0219640000000001</v>
      </c>
      <c r="H948" s="11">
        <v>0</v>
      </c>
      <c r="I948" s="11">
        <v>0</v>
      </c>
      <c r="J948" s="11">
        <v>0</v>
      </c>
      <c r="K948" s="7">
        <f t="shared" si="30"/>
        <v>4.6761905000000006</v>
      </c>
      <c r="L948" s="8">
        <f t="shared" si="31"/>
        <v>0</v>
      </c>
      <c r="M948" s="9">
        <v>1.0116816148980501E-7</v>
      </c>
      <c r="N948" s="9">
        <v>1.4535523693099201E-6</v>
      </c>
      <c r="O948" s="2">
        <v>-4.4509759534981903</v>
      </c>
      <c r="P948" t="s">
        <v>3546</v>
      </c>
      <c r="Q948" s="10">
        <f>IF(N948&lt;='[1]statistical criteria'!$B$2,IF(O948&gt;=LOG('[1]statistical criteria'!$B$3,2),1,IF(O948&lt;=-1*LOG('[1]statistical criteria'!$B$3,2),2,"-")),"-")</f>
        <v>2</v>
      </c>
      <c r="R948" t="s">
        <v>3548</v>
      </c>
      <c r="S948" t="s">
        <v>3549</v>
      </c>
      <c r="T948">
        <v>0</v>
      </c>
      <c r="U948" t="s">
        <v>2991</v>
      </c>
    </row>
    <row r="949" spans="1:21" x14ac:dyDescent="0.35">
      <c r="A949" t="s">
        <v>3550</v>
      </c>
      <c r="B949" t="s">
        <v>3551</v>
      </c>
      <c r="C949">
        <v>745</v>
      </c>
      <c r="D949" s="5">
        <v>14.920669999999999</v>
      </c>
      <c r="E949" s="5">
        <v>11.927773999999999</v>
      </c>
      <c r="F949" s="5">
        <v>11.790967999999999</v>
      </c>
      <c r="G949" s="5">
        <v>10.111414</v>
      </c>
      <c r="H949" s="6">
        <v>0.82753900000000002</v>
      </c>
      <c r="I949" s="11">
        <v>0</v>
      </c>
      <c r="J949" s="11">
        <v>0</v>
      </c>
      <c r="K949" s="7">
        <f t="shared" si="30"/>
        <v>12.187706500000001</v>
      </c>
      <c r="L949" s="8">
        <f t="shared" si="31"/>
        <v>0.27584633333333336</v>
      </c>
      <c r="M949" s="9">
        <v>1.1993027681873999E-11</v>
      </c>
      <c r="N949" s="9">
        <v>3.5084906500547501E-10</v>
      </c>
      <c r="O949" s="2">
        <v>-4.4536556260251103</v>
      </c>
      <c r="P949" t="s">
        <v>3550</v>
      </c>
      <c r="Q949" s="10">
        <f>IF(N949&lt;='[1]statistical criteria'!$B$2,IF(O949&gt;=LOG('[1]statistical criteria'!$B$3,2),1,IF(O949&lt;=-1*LOG('[1]statistical criteria'!$B$3,2),2,"-")),"-")</f>
        <v>2</v>
      </c>
      <c r="S949" t="s">
        <v>3552</v>
      </c>
      <c r="T949" s="9">
        <v>7.9999999999999995E-29</v>
      </c>
      <c r="U949" t="s">
        <v>3553</v>
      </c>
    </row>
    <row r="950" spans="1:21" x14ac:dyDescent="0.35">
      <c r="A950" t="s">
        <v>3554</v>
      </c>
      <c r="B950" t="s">
        <v>3555</v>
      </c>
      <c r="C950">
        <v>855</v>
      </c>
      <c r="D950" s="5">
        <v>2.6674790000000002</v>
      </c>
      <c r="E950" s="5">
        <v>8.8636280000000003</v>
      </c>
      <c r="F950" s="5">
        <v>3.850101</v>
      </c>
      <c r="G950" s="5">
        <v>1.4830380000000001</v>
      </c>
      <c r="H950" s="11">
        <v>0</v>
      </c>
      <c r="I950" s="11">
        <v>0</v>
      </c>
      <c r="J950" s="11">
        <v>0</v>
      </c>
      <c r="K950" s="7">
        <f t="shared" si="30"/>
        <v>4.2160615000000004</v>
      </c>
      <c r="L950" s="8">
        <f t="shared" si="31"/>
        <v>0</v>
      </c>
      <c r="M950" s="9">
        <v>1.15330387302732E-6</v>
      </c>
      <c r="N950" s="9">
        <v>1.30872824709063E-5</v>
      </c>
      <c r="O950" s="2">
        <v>-4.4536736667054804</v>
      </c>
      <c r="P950" t="s">
        <v>3554</v>
      </c>
      <c r="Q950" s="10">
        <f>IF(N950&lt;='[1]statistical criteria'!$B$2,IF(O950&gt;=LOG('[1]statistical criteria'!$B$3,2),1,IF(O950&lt;=-1*LOG('[1]statistical criteria'!$B$3,2),2,"-")),"-")</f>
        <v>2</v>
      </c>
      <c r="R950" t="s">
        <v>3556</v>
      </c>
      <c r="S950" t="s">
        <v>3557</v>
      </c>
      <c r="T950" s="9">
        <v>4E-165</v>
      </c>
      <c r="U950" t="s">
        <v>3558</v>
      </c>
    </row>
    <row r="951" spans="1:21" x14ac:dyDescent="0.35">
      <c r="A951" t="s">
        <v>3559</v>
      </c>
      <c r="B951" t="s">
        <v>3560</v>
      </c>
      <c r="C951">
        <v>1239</v>
      </c>
      <c r="D951" s="5">
        <v>24.320018999999998</v>
      </c>
      <c r="E951" s="5">
        <v>14.815744</v>
      </c>
      <c r="F951" s="5">
        <v>16.299828999999999</v>
      </c>
      <c r="G951" s="5">
        <v>11.556029000000001</v>
      </c>
      <c r="H951" s="11">
        <v>0</v>
      </c>
      <c r="I951" s="6">
        <v>3.3040799999999999</v>
      </c>
      <c r="J951" s="11">
        <v>0</v>
      </c>
      <c r="K951" s="7">
        <f t="shared" si="30"/>
        <v>16.747905249999999</v>
      </c>
      <c r="L951" s="8">
        <f t="shared" si="31"/>
        <v>1.1013599999999999</v>
      </c>
      <c r="M951" s="9">
        <v>1.2053605709269199E-5</v>
      </c>
      <c r="N951">
        <v>1.0592478256633201E-4</v>
      </c>
      <c r="O951" s="2">
        <v>-4.4582260638382296</v>
      </c>
      <c r="P951" t="s">
        <v>3559</v>
      </c>
      <c r="Q951" s="10">
        <f>IF(N951&lt;='[1]statistical criteria'!$B$2,IF(O951&gt;=LOG('[1]statistical criteria'!$B$3,2),1,IF(O951&lt;=-1*LOG('[1]statistical criteria'!$B$3,2),2,"-")),"-")</f>
        <v>2</v>
      </c>
      <c r="R951" t="s">
        <v>3561</v>
      </c>
      <c r="S951" t="s">
        <v>3562</v>
      </c>
      <c r="T951" s="9">
        <v>3.0000000000000001E-120</v>
      </c>
      <c r="U951" t="s">
        <v>3563</v>
      </c>
    </row>
    <row r="952" spans="1:21" x14ac:dyDescent="0.35">
      <c r="A952" t="s">
        <v>3564</v>
      </c>
      <c r="B952" t="s">
        <v>3565</v>
      </c>
      <c r="C952">
        <v>2310</v>
      </c>
      <c r="D952" s="5">
        <v>3.4839030000000002</v>
      </c>
      <c r="E952" s="5">
        <v>2.4154580000000001</v>
      </c>
      <c r="F952" s="5">
        <v>2.0004520000000001</v>
      </c>
      <c r="G952" s="5">
        <v>2.7835920000000001</v>
      </c>
      <c r="H952" s="11">
        <v>0</v>
      </c>
      <c r="I952" s="11">
        <v>0</v>
      </c>
      <c r="J952" s="11">
        <v>0</v>
      </c>
      <c r="K952" s="7">
        <f t="shared" si="30"/>
        <v>2.6708512500000001</v>
      </c>
      <c r="L952" s="8">
        <f t="shared" si="31"/>
        <v>0</v>
      </c>
      <c r="M952" s="9">
        <v>1.9612465781998902E-6</v>
      </c>
      <c r="N952" s="9">
        <v>2.0967709204013398E-5</v>
      </c>
      <c r="O952" s="2">
        <v>-4.4583519876745399</v>
      </c>
      <c r="P952" t="s">
        <v>3564</v>
      </c>
      <c r="Q952" s="10">
        <f>IF(N952&lt;='[1]statistical criteria'!$B$2,IF(O952&gt;=LOG('[1]statistical criteria'!$B$3,2),1,IF(O952&lt;=-1*LOG('[1]statistical criteria'!$B$3,2),2,"-")),"-")</f>
        <v>2</v>
      </c>
      <c r="R952" t="s">
        <v>731</v>
      </c>
    </row>
    <row r="953" spans="1:21" x14ac:dyDescent="0.35">
      <c r="A953" t="s">
        <v>403</v>
      </c>
      <c r="B953" t="s">
        <v>3566</v>
      </c>
      <c r="C953">
        <v>1167</v>
      </c>
      <c r="D953" s="5">
        <v>1.970302</v>
      </c>
      <c r="E953" s="5">
        <v>5.9239670000000002</v>
      </c>
      <c r="F953" s="5">
        <v>3.9279630000000001</v>
      </c>
      <c r="G953" s="5">
        <v>1.965219</v>
      </c>
      <c r="H953" s="11">
        <v>0</v>
      </c>
      <c r="I953" s="11">
        <v>0</v>
      </c>
      <c r="J953" s="11">
        <v>0</v>
      </c>
      <c r="K953" s="7">
        <f t="shared" si="30"/>
        <v>3.4468627499999998</v>
      </c>
      <c r="L953" s="8">
        <f t="shared" si="31"/>
        <v>0</v>
      </c>
      <c r="M953" s="9">
        <v>2.2843669121792101E-6</v>
      </c>
      <c r="N953" s="9">
        <v>2.4097285110183099E-5</v>
      </c>
      <c r="O953" s="2">
        <v>-4.4636432674790099</v>
      </c>
      <c r="P953" t="s">
        <v>403</v>
      </c>
      <c r="Q953" s="10">
        <f>IF(N953&lt;='[1]statistical criteria'!$B$2,IF(O953&gt;=LOG('[1]statistical criteria'!$B$3,2),1,IF(O953&lt;=-1*LOG('[1]statistical criteria'!$B$3,2),2,"-")),"-")</f>
        <v>2</v>
      </c>
      <c r="R953" t="s">
        <v>404</v>
      </c>
    </row>
    <row r="954" spans="1:21" x14ac:dyDescent="0.35">
      <c r="A954" t="s">
        <v>3567</v>
      </c>
      <c r="B954" t="s">
        <v>3568</v>
      </c>
      <c r="C954">
        <v>900</v>
      </c>
      <c r="D954" s="5">
        <v>7.6375789999999997</v>
      </c>
      <c r="E954" s="5">
        <v>15.469236</v>
      </c>
      <c r="F954" s="5">
        <v>8.204485</v>
      </c>
      <c r="G954" s="5">
        <v>5.0469200000000001</v>
      </c>
      <c r="H954" s="6">
        <v>0.89396799999999998</v>
      </c>
      <c r="I954" s="11">
        <v>0</v>
      </c>
      <c r="J954" s="11">
        <v>0</v>
      </c>
      <c r="K954" s="7">
        <f t="shared" si="30"/>
        <v>9.0895550000000007</v>
      </c>
      <c r="L954" s="8">
        <f t="shared" si="31"/>
        <v>0.29798933333333333</v>
      </c>
      <c r="M954" s="9">
        <v>3.2296866834351699E-7</v>
      </c>
      <c r="N954" s="9">
        <v>4.1541694887307398E-6</v>
      </c>
      <c r="O954" s="2">
        <v>-4.4660682037672101</v>
      </c>
      <c r="P954" t="s">
        <v>3567</v>
      </c>
      <c r="Q954" s="10">
        <f>IF(N954&lt;='[1]statistical criteria'!$B$2,IF(O954&gt;=LOG('[1]statistical criteria'!$B$3,2),1,IF(O954&lt;=-1*LOG('[1]statistical criteria'!$B$3,2),2,"-")),"-")</f>
        <v>2</v>
      </c>
      <c r="R954" t="s">
        <v>3569</v>
      </c>
      <c r="S954" t="s">
        <v>3570</v>
      </c>
      <c r="T954" s="9">
        <v>9.0000000000000007E-121</v>
      </c>
      <c r="U954" t="s">
        <v>3571</v>
      </c>
    </row>
    <row r="955" spans="1:21" x14ac:dyDescent="0.35">
      <c r="A955" t="s">
        <v>3572</v>
      </c>
      <c r="B955" t="s">
        <v>3573</v>
      </c>
      <c r="C955">
        <v>341</v>
      </c>
      <c r="D955" s="5">
        <v>10.13139</v>
      </c>
      <c r="E955" s="5">
        <v>14.745972999999999</v>
      </c>
      <c r="F955" s="5">
        <v>21.425001999999999</v>
      </c>
      <c r="G955" s="5">
        <v>27.955269000000001</v>
      </c>
      <c r="H955" s="11">
        <v>0</v>
      </c>
      <c r="I955" s="11">
        <v>0</v>
      </c>
      <c r="J955" s="11">
        <v>0</v>
      </c>
      <c r="K955" s="7">
        <f t="shared" si="30"/>
        <v>18.564408499999999</v>
      </c>
      <c r="L955" s="8">
        <f t="shared" si="31"/>
        <v>0</v>
      </c>
      <c r="M955" s="9">
        <v>2.0252790694619702E-6</v>
      </c>
      <c r="N955" s="9">
        <v>2.15976804101212E-5</v>
      </c>
      <c r="O955" s="2">
        <v>-4.4663991359279196</v>
      </c>
      <c r="P955" t="s">
        <v>3572</v>
      </c>
      <c r="Q955" s="10">
        <f>IF(N955&lt;='[1]statistical criteria'!$B$2,IF(O955&gt;=LOG('[1]statistical criteria'!$B$3,2),1,IF(O955&lt;=-1*LOG('[1]statistical criteria'!$B$3,2),2,"-")),"-")</f>
        <v>2</v>
      </c>
    </row>
    <row r="956" spans="1:21" x14ac:dyDescent="0.35">
      <c r="A956" t="s">
        <v>3574</v>
      </c>
      <c r="B956" t="s">
        <v>3575</v>
      </c>
      <c r="C956">
        <v>1056</v>
      </c>
      <c r="D956" s="5">
        <v>6.3697860000000004</v>
      </c>
      <c r="E956" s="5">
        <v>16.474553</v>
      </c>
      <c r="F956" s="5">
        <v>14.970321</v>
      </c>
      <c r="G956" s="5">
        <v>11.546887999999999</v>
      </c>
      <c r="H956" s="11">
        <v>0</v>
      </c>
      <c r="I956" s="11">
        <v>0</v>
      </c>
      <c r="J956" s="6">
        <v>2.9616380000000002</v>
      </c>
      <c r="K956" s="7">
        <f t="shared" si="30"/>
        <v>12.340387</v>
      </c>
      <c r="L956" s="8">
        <f t="shared" si="31"/>
        <v>0.98721266666666674</v>
      </c>
      <c r="M956" s="9">
        <v>1.7302791294579301E-5</v>
      </c>
      <c r="N956">
        <v>1.4640823403105601E-4</v>
      </c>
      <c r="O956" s="2">
        <v>-4.4666939436787798</v>
      </c>
      <c r="P956" t="s">
        <v>3574</v>
      </c>
      <c r="Q956" s="10">
        <f>IF(N956&lt;='[1]statistical criteria'!$B$2,IF(O956&gt;=LOG('[1]statistical criteria'!$B$3,2),1,IF(O956&lt;=-1*LOG('[1]statistical criteria'!$B$3,2),2,"-")),"-")</f>
        <v>2</v>
      </c>
      <c r="R956" t="s">
        <v>3576</v>
      </c>
      <c r="S956" t="s">
        <v>3577</v>
      </c>
      <c r="T956" s="9">
        <v>2.9999999999999999E-81</v>
      </c>
      <c r="U956" t="s">
        <v>322</v>
      </c>
    </row>
    <row r="957" spans="1:21" x14ac:dyDescent="0.35">
      <c r="A957" t="s">
        <v>3578</v>
      </c>
      <c r="B957" t="s">
        <v>3579</v>
      </c>
      <c r="C957">
        <v>1280</v>
      </c>
      <c r="D957" s="5">
        <v>4.2630330000000001</v>
      </c>
      <c r="E957" s="5">
        <v>4.4326660000000002</v>
      </c>
      <c r="F957" s="5">
        <v>3.1158489999999999</v>
      </c>
      <c r="G957" s="5">
        <v>1.679988</v>
      </c>
      <c r="H957" s="11">
        <v>0</v>
      </c>
      <c r="I957" s="11">
        <v>0</v>
      </c>
      <c r="J957" s="11">
        <v>0</v>
      </c>
      <c r="K957" s="7">
        <f t="shared" si="30"/>
        <v>3.3728840000000004</v>
      </c>
      <c r="L957" s="8">
        <f t="shared" si="31"/>
        <v>0</v>
      </c>
      <c r="M957" s="9">
        <v>8.3712417399835503E-8</v>
      </c>
      <c r="N957" s="9">
        <v>1.2311030163206099E-6</v>
      </c>
      <c r="O957" s="2">
        <v>-4.4672398360229897</v>
      </c>
      <c r="P957" t="s">
        <v>3578</v>
      </c>
      <c r="Q957" s="10">
        <f>IF(N957&lt;='[1]statistical criteria'!$B$2,IF(O957&gt;=LOG('[1]statistical criteria'!$B$3,2),1,IF(O957&lt;=-1*LOG('[1]statistical criteria'!$B$3,2),2,"-")),"-")</f>
        <v>2</v>
      </c>
      <c r="R957" t="s">
        <v>3580</v>
      </c>
      <c r="S957" t="s">
        <v>3581</v>
      </c>
      <c r="T957">
        <v>0</v>
      </c>
      <c r="U957" s="30" t="s">
        <v>4996</v>
      </c>
    </row>
    <row r="958" spans="1:21" x14ac:dyDescent="0.35">
      <c r="A958" t="s">
        <v>3582</v>
      </c>
      <c r="B958" t="s">
        <v>3583</v>
      </c>
      <c r="C958">
        <v>288</v>
      </c>
      <c r="D958" s="5">
        <v>38.401237000000002</v>
      </c>
      <c r="E958" s="5">
        <v>66.409063000000003</v>
      </c>
      <c r="F958" s="5">
        <v>7.737762</v>
      </c>
      <c r="G958" s="5">
        <v>23.619758999999998</v>
      </c>
      <c r="H958" s="11">
        <v>0</v>
      </c>
      <c r="I958" s="11">
        <v>0</v>
      </c>
      <c r="J958" s="11">
        <v>0</v>
      </c>
      <c r="K958" s="7">
        <f t="shared" si="30"/>
        <v>34.041955250000001</v>
      </c>
      <c r="L958" s="8">
        <f t="shared" si="31"/>
        <v>0</v>
      </c>
      <c r="M958" s="9">
        <v>1.6440689641979299E-6</v>
      </c>
      <c r="N958" s="9">
        <v>1.7924166364186001E-5</v>
      </c>
      <c r="O958" s="2">
        <v>-4.4679546887030099</v>
      </c>
      <c r="P958" t="s">
        <v>3582</v>
      </c>
      <c r="Q958" s="10">
        <f>IF(N958&lt;='[1]statistical criteria'!$B$2,IF(O958&gt;=LOG('[1]statistical criteria'!$B$3,2),1,IF(O958&lt;=-1*LOG('[1]statistical criteria'!$B$3,2),2,"-")),"-")</f>
        <v>2</v>
      </c>
      <c r="R958" t="s">
        <v>3584</v>
      </c>
      <c r="S958" t="s">
        <v>3585</v>
      </c>
      <c r="T958" s="9">
        <v>7.9999999999999998E-120</v>
      </c>
      <c r="U958" t="s">
        <v>3586</v>
      </c>
    </row>
    <row r="959" spans="1:21" x14ac:dyDescent="0.35">
      <c r="A959" t="s">
        <v>3587</v>
      </c>
      <c r="B959" t="s">
        <v>3588</v>
      </c>
      <c r="C959">
        <v>2587</v>
      </c>
      <c r="D959" s="5">
        <v>5.1828729999999998</v>
      </c>
      <c r="E959" s="5">
        <v>6.1853910000000001</v>
      </c>
      <c r="F959" s="5">
        <v>8.9856750000000005</v>
      </c>
      <c r="G959" s="5">
        <v>6.8836490000000001</v>
      </c>
      <c r="H959" s="6">
        <v>0.83642300000000003</v>
      </c>
      <c r="I959" s="11">
        <v>0</v>
      </c>
      <c r="J959" s="11">
        <v>0</v>
      </c>
      <c r="K959" s="7">
        <f t="shared" si="30"/>
        <v>6.8093970000000006</v>
      </c>
      <c r="L959" s="8">
        <f t="shared" si="31"/>
        <v>0.27880766666666668</v>
      </c>
      <c r="M959" s="9">
        <v>4.6134252538197801E-10</v>
      </c>
      <c r="N959" s="9">
        <v>1.0451605069070301E-8</v>
      </c>
      <c r="O959" s="2">
        <v>-4.4697238734336899</v>
      </c>
      <c r="P959" t="s">
        <v>3587</v>
      </c>
      <c r="Q959" s="10">
        <f>IF(N959&lt;='[1]statistical criteria'!$B$2,IF(O959&gt;=LOG('[1]statistical criteria'!$B$3,2),1,IF(O959&lt;=-1*LOG('[1]statistical criteria'!$B$3,2),2,"-")),"-")</f>
        <v>2</v>
      </c>
      <c r="R959" t="s">
        <v>3589</v>
      </c>
      <c r="S959" t="s">
        <v>3590</v>
      </c>
      <c r="T959">
        <v>0</v>
      </c>
      <c r="U959" t="s">
        <v>3591</v>
      </c>
    </row>
    <row r="960" spans="1:21" x14ac:dyDescent="0.35">
      <c r="A960" t="s">
        <v>3592</v>
      </c>
      <c r="B960" t="s">
        <v>3593</v>
      </c>
      <c r="C960">
        <v>633</v>
      </c>
      <c r="D960" s="5">
        <v>7.8804400000000001</v>
      </c>
      <c r="E960" s="5">
        <v>21.923988999999999</v>
      </c>
      <c r="F960" s="5">
        <v>1.6340030000000001</v>
      </c>
      <c r="G960" s="5">
        <v>6.601477</v>
      </c>
      <c r="H960" s="11">
        <v>0</v>
      </c>
      <c r="I960" s="11">
        <v>0</v>
      </c>
      <c r="J960" s="11">
        <v>0</v>
      </c>
      <c r="K960" s="7">
        <f t="shared" si="30"/>
        <v>9.5099772500000004</v>
      </c>
      <c r="L960" s="8">
        <f t="shared" si="31"/>
        <v>0</v>
      </c>
      <c r="M960" s="9">
        <v>1.2372635470816099E-6</v>
      </c>
      <c r="N960" s="9">
        <v>1.39196720667828E-5</v>
      </c>
      <c r="O960" s="2">
        <v>-4.4713612096003601</v>
      </c>
      <c r="P960" t="s">
        <v>3592</v>
      </c>
      <c r="Q960" s="10">
        <f>IF(N960&lt;='[1]statistical criteria'!$B$2,IF(O960&gt;=LOG('[1]statistical criteria'!$B$3,2),1,IF(O960&lt;=-1*LOG('[1]statistical criteria'!$B$3,2),2,"-")),"-")</f>
        <v>2</v>
      </c>
      <c r="S960" t="s">
        <v>3594</v>
      </c>
      <c r="T960">
        <v>1.1000000000000001</v>
      </c>
      <c r="U960" t="s">
        <v>3595</v>
      </c>
    </row>
    <row r="961" spans="1:21" x14ac:dyDescent="0.35">
      <c r="A961" t="s">
        <v>3596</v>
      </c>
      <c r="B961" t="s">
        <v>3597</v>
      </c>
      <c r="C961">
        <v>754</v>
      </c>
      <c r="D961" s="5">
        <v>31.768433999999999</v>
      </c>
      <c r="E961" s="5">
        <v>27.284016999999999</v>
      </c>
      <c r="F961" s="5">
        <v>20.507791999999998</v>
      </c>
      <c r="G961" s="5">
        <v>13.402092</v>
      </c>
      <c r="H961" s="11">
        <v>0</v>
      </c>
      <c r="I961" s="11">
        <v>0</v>
      </c>
      <c r="J961" s="6">
        <v>5.4693160000000001</v>
      </c>
      <c r="K961" s="7">
        <f t="shared" si="30"/>
        <v>23.240583749999999</v>
      </c>
      <c r="L961" s="8">
        <f t="shared" si="31"/>
        <v>1.8231053333333334</v>
      </c>
      <c r="M961" s="9">
        <v>2.4144032942322599E-7</v>
      </c>
      <c r="N961" s="9">
        <v>3.1952065300970701E-6</v>
      </c>
      <c r="O961" s="2">
        <v>-4.4719959556921403</v>
      </c>
      <c r="P961" t="s">
        <v>3596</v>
      </c>
      <c r="Q961" s="10">
        <f>IF(N961&lt;='[1]statistical criteria'!$B$2,IF(O961&gt;=LOG('[1]statistical criteria'!$B$3,2),1,IF(O961&lt;=-1*LOG('[1]statistical criteria'!$B$3,2),2,"-")),"-")</f>
        <v>2</v>
      </c>
      <c r="R961" t="s">
        <v>3598</v>
      </c>
      <c r="S961" t="s">
        <v>3599</v>
      </c>
      <c r="T961" s="9">
        <v>4.0000000000000002E-114</v>
      </c>
      <c r="U961" t="s">
        <v>61</v>
      </c>
    </row>
    <row r="962" spans="1:21" x14ac:dyDescent="0.35">
      <c r="A962" t="s">
        <v>3600</v>
      </c>
      <c r="B962" t="s">
        <v>3601</v>
      </c>
      <c r="C962">
        <v>1654</v>
      </c>
      <c r="D962" s="5">
        <v>8.0584509999999998</v>
      </c>
      <c r="E962" s="5">
        <v>7.0359210000000001</v>
      </c>
      <c r="F962" s="5">
        <v>7.6746699999999999</v>
      </c>
      <c r="G962" s="5">
        <v>10.282019</v>
      </c>
      <c r="H962" s="6">
        <v>0.16176699999999999</v>
      </c>
      <c r="I962" s="11">
        <v>0</v>
      </c>
      <c r="J962" s="11">
        <v>0</v>
      </c>
      <c r="K962" s="7">
        <f t="shared" si="30"/>
        <v>8.2627652499999993</v>
      </c>
      <c r="L962" s="8">
        <f t="shared" si="31"/>
        <v>5.3922333333333329E-2</v>
      </c>
      <c r="M962" s="9">
        <v>9.1638216137565093E-12</v>
      </c>
      <c r="N962" s="9">
        <v>2.7269355013258202E-10</v>
      </c>
      <c r="O962" s="2">
        <v>-4.4728035807617799</v>
      </c>
      <c r="P962" t="s">
        <v>3600</v>
      </c>
      <c r="Q962" s="10">
        <f>IF(N962&lt;='[1]statistical criteria'!$B$2,IF(O962&gt;=LOG('[1]statistical criteria'!$B$3,2),1,IF(O962&lt;=-1*LOG('[1]statistical criteria'!$B$3,2),2,"-")),"-")</f>
        <v>2</v>
      </c>
      <c r="R962" t="s">
        <v>3535</v>
      </c>
      <c r="S962" t="s">
        <v>3602</v>
      </c>
      <c r="T962">
        <v>0</v>
      </c>
      <c r="U962" t="s">
        <v>3537</v>
      </c>
    </row>
    <row r="963" spans="1:21" x14ac:dyDescent="0.35">
      <c r="A963" t="s">
        <v>3603</v>
      </c>
      <c r="B963" t="s">
        <v>3604</v>
      </c>
      <c r="C963">
        <v>948</v>
      </c>
      <c r="D963" s="5">
        <v>4.1860549999999996</v>
      </c>
      <c r="E963" s="5">
        <v>4.9808640000000004</v>
      </c>
      <c r="F963" s="5">
        <v>4.9613959999999997</v>
      </c>
      <c r="G963" s="5">
        <v>2.3407819999999999</v>
      </c>
      <c r="H963" s="11">
        <v>0</v>
      </c>
      <c r="I963" s="11">
        <v>0</v>
      </c>
      <c r="J963" s="11">
        <v>0</v>
      </c>
      <c r="K963" s="7">
        <f t="shared" si="30"/>
        <v>4.1172742500000004</v>
      </c>
      <c r="L963" s="8">
        <f t="shared" si="31"/>
        <v>0</v>
      </c>
      <c r="M963" s="9">
        <v>3.5023264344558299E-9</v>
      </c>
      <c r="N963" s="9">
        <v>6.8358227741225097E-8</v>
      </c>
      <c r="O963" s="2">
        <v>-4.4749723111423503</v>
      </c>
      <c r="P963" t="s">
        <v>3603</v>
      </c>
      <c r="Q963" s="10">
        <f>IF(N963&lt;='[1]statistical criteria'!$B$2,IF(O963&gt;=LOG('[1]statistical criteria'!$B$3,2),1,IF(O963&lt;=-1*LOG('[1]statistical criteria'!$B$3,2),2,"-")),"-")</f>
        <v>2</v>
      </c>
      <c r="R963" t="s">
        <v>495</v>
      </c>
      <c r="S963" t="s">
        <v>3605</v>
      </c>
      <c r="T963" s="9">
        <v>4.0000000000000003E-130</v>
      </c>
      <c r="U963" t="s">
        <v>497</v>
      </c>
    </row>
    <row r="964" spans="1:21" x14ac:dyDescent="0.35">
      <c r="A964" t="s">
        <v>3606</v>
      </c>
      <c r="B964" t="s">
        <v>3607</v>
      </c>
      <c r="C964">
        <v>1056</v>
      </c>
      <c r="D964" s="5">
        <v>1.1126640000000001</v>
      </c>
      <c r="E964" s="5">
        <v>2.0059580000000001</v>
      </c>
      <c r="F964" s="5">
        <v>3.6317149999999998</v>
      </c>
      <c r="G964" s="5">
        <v>2.8903720000000002</v>
      </c>
      <c r="H964" s="11">
        <v>0</v>
      </c>
      <c r="I964" s="11">
        <v>0</v>
      </c>
      <c r="J964" s="11">
        <v>0</v>
      </c>
      <c r="K964" s="7">
        <f t="shared" si="30"/>
        <v>2.4101772500000003</v>
      </c>
      <c r="L964" s="8">
        <f t="shared" si="31"/>
        <v>0</v>
      </c>
      <c r="M964" s="9">
        <v>1.80600951248031E-6</v>
      </c>
      <c r="N964" s="9">
        <v>1.94831978585602E-5</v>
      </c>
      <c r="O964" s="2">
        <v>-4.4776563118518098</v>
      </c>
      <c r="P964" t="s">
        <v>3606</v>
      </c>
      <c r="Q964" s="10">
        <f>IF(N964&lt;='[1]statistical criteria'!$B$2,IF(O964&gt;=LOG('[1]statistical criteria'!$B$3,2),1,IF(O964&lt;=-1*LOG('[1]statistical criteria'!$B$3,2),2,"-")),"-")</f>
        <v>2</v>
      </c>
      <c r="R964" t="s">
        <v>3449</v>
      </c>
      <c r="S964" t="s">
        <v>3450</v>
      </c>
      <c r="T964" s="9">
        <v>5.9999999999999998E-169</v>
      </c>
      <c r="U964" t="s">
        <v>3451</v>
      </c>
    </row>
    <row r="965" spans="1:21" x14ac:dyDescent="0.35">
      <c r="A965" t="s">
        <v>3608</v>
      </c>
      <c r="B965" t="s">
        <v>3609</v>
      </c>
      <c r="C965">
        <v>258</v>
      </c>
      <c r="D965" s="5">
        <v>147.88054099999999</v>
      </c>
      <c r="E965" s="5">
        <v>189.30613500000001</v>
      </c>
      <c r="F965" s="5">
        <v>125.583488</v>
      </c>
      <c r="G965" s="5">
        <v>284.21760999999998</v>
      </c>
      <c r="H965" s="6">
        <v>1.6558219999999999</v>
      </c>
      <c r="I965" s="6">
        <v>11.410976</v>
      </c>
      <c r="J965" s="11">
        <v>0</v>
      </c>
      <c r="K965" s="7">
        <f t="shared" si="30"/>
        <v>186.74694349999999</v>
      </c>
      <c r="L965" s="8">
        <f t="shared" si="31"/>
        <v>4.3555993333333332</v>
      </c>
      <c r="M965" s="9">
        <v>5.0222980124339798E-15</v>
      </c>
      <c r="N965" s="9">
        <v>2.4074138835420301E-13</v>
      </c>
      <c r="O965" s="2">
        <v>-4.4784615506992598</v>
      </c>
      <c r="P965" t="s">
        <v>3608</v>
      </c>
      <c r="Q965" s="10">
        <f>IF(N965&lt;='[1]statistical criteria'!$B$2,IF(O965&gt;=LOG('[1]statistical criteria'!$B$3,2),1,IF(O965&lt;=-1*LOG('[1]statistical criteria'!$B$3,2),2,"-")),"-")</f>
        <v>2</v>
      </c>
      <c r="R965" t="s">
        <v>3030</v>
      </c>
      <c r="S965" t="s">
        <v>3610</v>
      </c>
      <c r="T965" s="9">
        <v>3.0000000000000001E-94</v>
      </c>
      <c r="U965" t="s">
        <v>3178</v>
      </c>
    </row>
    <row r="966" spans="1:21" x14ac:dyDescent="0.35">
      <c r="A966" t="s">
        <v>371</v>
      </c>
      <c r="B966" t="s">
        <v>372</v>
      </c>
      <c r="C966">
        <v>1362</v>
      </c>
      <c r="D966" s="4">
        <v>0</v>
      </c>
      <c r="E966" s="5">
        <v>9.4346890000000005</v>
      </c>
      <c r="F966" s="5">
        <v>17.717621000000001</v>
      </c>
      <c r="G966" s="5">
        <v>11.706419</v>
      </c>
      <c r="H966" s="11">
        <v>0</v>
      </c>
      <c r="I966" s="11">
        <v>0</v>
      </c>
      <c r="J966" s="11">
        <v>0</v>
      </c>
      <c r="K966" s="7">
        <f t="shared" si="30"/>
        <v>9.7146822499999992</v>
      </c>
      <c r="L966" s="8">
        <f t="shared" si="31"/>
        <v>0</v>
      </c>
      <c r="M966" s="9">
        <v>3.4162879170733999E-5</v>
      </c>
      <c r="N966">
        <v>2.6831184094885198E-4</v>
      </c>
      <c r="O966" s="2">
        <v>-4.4793377387531796</v>
      </c>
      <c r="P966" t="s">
        <v>371</v>
      </c>
      <c r="Q966" s="10">
        <f>IF(N966&lt;='[1]statistical criteria'!$B$2,IF(O966&gt;=LOG('[1]statistical criteria'!$B$3,2),1,IF(O966&lt;=-1*LOG('[1]statistical criteria'!$B$3,2),2,"-")),"-")</f>
        <v>2</v>
      </c>
      <c r="R966" t="s">
        <v>320</v>
      </c>
      <c r="S966" t="s">
        <v>321</v>
      </c>
      <c r="T966" s="9">
        <v>6.9999999999999998E-48</v>
      </c>
      <c r="U966" t="s">
        <v>322</v>
      </c>
    </row>
    <row r="967" spans="1:21" x14ac:dyDescent="0.35">
      <c r="A967" t="s">
        <v>3611</v>
      </c>
      <c r="B967" t="s">
        <v>3612</v>
      </c>
      <c r="C967">
        <v>417</v>
      </c>
      <c r="D967" s="5">
        <v>59.382877000000001</v>
      </c>
      <c r="E967" s="5">
        <v>89.067256999999998</v>
      </c>
      <c r="F967" s="5">
        <v>102.14071300000001</v>
      </c>
      <c r="G967" s="5">
        <v>114.404721</v>
      </c>
      <c r="H967" s="6">
        <v>14.361151</v>
      </c>
      <c r="I967" s="11">
        <v>0</v>
      </c>
      <c r="J967" s="6">
        <v>0.75978199999999996</v>
      </c>
      <c r="K967" s="7">
        <f t="shared" si="30"/>
        <v>91.248891999999998</v>
      </c>
      <c r="L967" s="8">
        <f t="shared" si="31"/>
        <v>5.040311</v>
      </c>
      <c r="M967" s="9">
        <v>4.0242228471472199E-10</v>
      </c>
      <c r="N967" s="9">
        <v>9.2099772436814796E-9</v>
      </c>
      <c r="O967" s="2">
        <v>-4.48277246658356</v>
      </c>
      <c r="P967" t="s">
        <v>3611</v>
      </c>
      <c r="Q967" s="10">
        <f>IF(N967&lt;='[1]statistical criteria'!$B$2,IF(O967&gt;=LOG('[1]statistical criteria'!$B$3,2),1,IF(O967&lt;=-1*LOG('[1]statistical criteria'!$B$3,2),2,"-")),"-")</f>
        <v>2</v>
      </c>
      <c r="R967" t="s">
        <v>3613</v>
      </c>
      <c r="S967" t="s">
        <v>3614</v>
      </c>
      <c r="T967" s="9">
        <v>2.9999999999999999E-78</v>
      </c>
      <c r="U967" t="s">
        <v>3615</v>
      </c>
    </row>
    <row r="968" spans="1:21" x14ac:dyDescent="0.35">
      <c r="A968" t="s">
        <v>3616</v>
      </c>
      <c r="B968" t="s">
        <v>3617</v>
      </c>
      <c r="C968">
        <v>1551</v>
      </c>
      <c r="D968" s="5">
        <v>3.469722</v>
      </c>
      <c r="E968" s="5">
        <v>5.71225</v>
      </c>
      <c r="F968" s="5">
        <v>1.4760040000000001</v>
      </c>
      <c r="G968" s="5">
        <v>2.6627700000000001</v>
      </c>
      <c r="H968" s="11">
        <v>0</v>
      </c>
      <c r="I968" s="11">
        <v>0</v>
      </c>
      <c r="J968" s="11">
        <v>0</v>
      </c>
      <c r="K968" s="7">
        <f t="shared" si="30"/>
        <v>3.3301864999999999</v>
      </c>
      <c r="L968" s="8">
        <f t="shared" si="31"/>
        <v>0</v>
      </c>
      <c r="M968" s="9">
        <v>3.2060888696198199E-8</v>
      </c>
      <c r="N968" s="9">
        <v>5.1726893759105703E-7</v>
      </c>
      <c r="O968" s="2">
        <v>-4.4850500346096496</v>
      </c>
      <c r="P968" t="s">
        <v>3616</v>
      </c>
      <c r="Q968" s="10">
        <f>IF(N968&lt;='[1]statistical criteria'!$B$2,IF(O968&gt;=LOG('[1]statistical criteria'!$B$3,2),1,IF(O968&lt;=-1*LOG('[1]statistical criteria'!$B$3,2),2,"-")),"-")</f>
        <v>2</v>
      </c>
      <c r="R968" t="s">
        <v>3618</v>
      </c>
      <c r="S968" t="s">
        <v>3619</v>
      </c>
      <c r="T968">
        <v>0</v>
      </c>
      <c r="U968" t="s">
        <v>3620</v>
      </c>
    </row>
    <row r="969" spans="1:21" x14ac:dyDescent="0.35">
      <c r="A969" t="s">
        <v>3621</v>
      </c>
      <c r="B969" t="s">
        <v>3622</v>
      </c>
      <c r="C969">
        <v>1044</v>
      </c>
      <c r="D969" s="5">
        <v>2.4592109999999998</v>
      </c>
      <c r="E969" s="5">
        <v>1.2310239999999999</v>
      </c>
      <c r="F969" s="5">
        <v>5.6708129999999999</v>
      </c>
      <c r="G969" s="5">
        <v>2.905672</v>
      </c>
      <c r="H969" s="11">
        <v>0</v>
      </c>
      <c r="I969" s="11">
        <v>0</v>
      </c>
      <c r="J969" s="11">
        <v>0</v>
      </c>
      <c r="K969" s="7">
        <f t="shared" si="30"/>
        <v>3.0666799999999999</v>
      </c>
      <c r="L969" s="8">
        <f t="shared" si="31"/>
        <v>0</v>
      </c>
      <c r="M969" s="9">
        <v>1.1681674679583999E-6</v>
      </c>
      <c r="N969" s="9">
        <v>1.3224406255353E-5</v>
      </c>
      <c r="O969" s="2">
        <v>-4.4852479070457196</v>
      </c>
      <c r="P969" t="s">
        <v>3621</v>
      </c>
      <c r="Q969" s="10">
        <f>IF(N969&lt;='[1]statistical criteria'!$B$2,IF(O969&gt;=LOG('[1]statistical criteria'!$B$3,2),1,IF(O969&lt;=-1*LOG('[1]statistical criteria'!$B$3,2),2,"-")),"-")</f>
        <v>2</v>
      </c>
      <c r="R969" t="s">
        <v>3576</v>
      </c>
      <c r="S969" t="s">
        <v>3577</v>
      </c>
      <c r="T969" s="9">
        <v>1E-78</v>
      </c>
      <c r="U969" t="s">
        <v>322</v>
      </c>
    </row>
    <row r="970" spans="1:21" x14ac:dyDescent="0.35">
      <c r="A970" t="s">
        <v>3623</v>
      </c>
      <c r="B970" t="s">
        <v>3624</v>
      </c>
      <c r="C970">
        <v>2868</v>
      </c>
      <c r="D970" s="5">
        <v>1.8105469999999999</v>
      </c>
      <c r="E970" s="5">
        <v>2.2743060000000002</v>
      </c>
      <c r="F970" s="5">
        <v>1.126403</v>
      </c>
      <c r="G970" s="5">
        <v>2.5190670000000002</v>
      </c>
      <c r="H970" s="11">
        <v>0</v>
      </c>
      <c r="I970" s="11">
        <v>0</v>
      </c>
      <c r="J970" s="11">
        <v>0</v>
      </c>
      <c r="K970" s="7">
        <f t="shared" si="30"/>
        <v>1.9325807500000001</v>
      </c>
      <c r="L970" s="8">
        <f t="shared" si="31"/>
        <v>0</v>
      </c>
      <c r="M970" s="9">
        <v>1.1127612565986799E-7</v>
      </c>
      <c r="N970" s="9">
        <v>1.58028706813977E-6</v>
      </c>
      <c r="O970" s="2">
        <v>-4.4875997732889399</v>
      </c>
      <c r="P970" t="s">
        <v>3623</v>
      </c>
      <c r="Q970" s="10">
        <f>IF(N970&lt;='[1]statistical criteria'!$B$2,IF(O970&gt;=LOG('[1]statistical criteria'!$B$3,2),1,IF(O970&lt;=-1*LOG('[1]statistical criteria'!$B$3,2),2,"-")),"-")</f>
        <v>2</v>
      </c>
      <c r="R970" t="s">
        <v>3625</v>
      </c>
      <c r="S970" t="s">
        <v>3626</v>
      </c>
      <c r="T970">
        <v>0</v>
      </c>
      <c r="U970" t="s">
        <v>3627</v>
      </c>
    </row>
    <row r="971" spans="1:21" x14ac:dyDescent="0.35">
      <c r="A971" t="s">
        <v>3628</v>
      </c>
      <c r="B971" t="s">
        <v>3629</v>
      </c>
      <c r="C971">
        <v>977</v>
      </c>
      <c r="D971" s="5">
        <v>11.508528</v>
      </c>
      <c r="E971" s="5">
        <v>15.122449</v>
      </c>
      <c r="F971" s="5">
        <v>12.022365000000001</v>
      </c>
      <c r="G971" s="5">
        <v>3.4424000000000001</v>
      </c>
      <c r="H971" s="6">
        <v>1.531147</v>
      </c>
      <c r="I971" s="11">
        <v>0</v>
      </c>
      <c r="J971" s="11">
        <v>0</v>
      </c>
      <c r="K971" s="7">
        <f t="shared" si="30"/>
        <v>10.5239355</v>
      </c>
      <c r="L971" s="8">
        <f t="shared" si="31"/>
        <v>0.51038233333333338</v>
      </c>
      <c r="M971" s="9">
        <v>2.41704056652479E-7</v>
      </c>
      <c r="N971" s="9">
        <v>3.1975169955486099E-6</v>
      </c>
      <c r="O971" s="2">
        <v>-4.4882892940357602</v>
      </c>
      <c r="P971" t="s">
        <v>3628</v>
      </c>
      <c r="Q971" s="10">
        <f>IF(N971&lt;='[1]statistical criteria'!$B$2,IF(O971&gt;=LOG('[1]statistical criteria'!$B$3,2),1,IF(O971&lt;=-1*LOG('[1]statistical criteria'!$B$3,2),2,"-")),"-")</f>
        <v>2</v>
      </c>
      <c r="R971" t="s">
        <v>3630</v>
      </c>
      <c r="S971" t="s">
        <v>3631</v>
      </c>
      <c r="T971" s="9">
        <v>5.9999999999999997E-143</v>
      </c>
      <c r="U971" t="s">
        <v>3632</v>
      </c>
    </row>
    <row r="972" spans="1:21" x14ac:dyDescent="0.35">
      <c r="A972" t="s">
        <v>3633</v>
      </c>
      <c r="B972" t="s">
        <v>3634</v>
      </c>
      <c r="C972">
        <v>1653</v>
      </c>
      <c r="D972" s="5">
        <v>6.544073</v>
      </c>
      <c r="E972" s="5">
        <v>3.3474889999999999</v>
      </c>
      <c r="F972" s="5">
        <v>4.6273980000000003</v>
      </c>
      <c r="G972" s="5">
        <v>1.9568779999999999</v>
      </c>
      <c r="H972" s="11">
        <v>0</v>
      </c>
      <c r="I972" s="11">
        <v>0</v>
      </c>
      <c r="J972" s="11">
        <v>0</v>
      </c>
      <c r="K972" s="7">
        <f t="shared" si="30"/>
        <v>4.1189594999999999</v>
      </c>
      <c r="L972" s="8">
        <f t="shared" si="31"/>
        <v>0</v>
      </c>
      <c r="M972" s="9">
        <v>1.3993233319326601E-6</v>
      </c>
      <c r="N972" s="9">
        <v>1.5540777943786701E-5</v>
      </c>
      <c r="O972" s="2">
        <v>-4.4894735835706303</v>
      </c>
      <c r="P972" t="s">
        <v>3633</v>
      </c>
      <c r="Q972" s="10">
        <f>IF(N972&lt;='[1]statistical criteria'!$B$2,IF(O972&gt;=LOG('[1]statistical criteria'!$B$3,2),1,IF(O972&lt;=-1*LOG('[1]statistical criteria'!$B$3,2),2,"-")),"-")</f>
        <v>2</v>
      </c>
      <c r="S972" t="s">
        <v>3635</v>
      </c>
      <c r="T972" s="9">
        <v>4.0000000000000001E-53</v>
      </c>
      <c r="U972" t="s">
        <v>61</v>
      </c>
    </row>
    <row r="973" spans="1:21" x14ac:dyDescent="0.35">
      <c r="A973" t="s">
        <v>3636</v>
      </c>
      <c r="B973" t="s">
        <v>3637</v>
      </c>
      <c r="C973">
        <v>1326</v>
      </c>
      <c r="D973" s="5">
        <v>1.468925</v>
      </c>
      <c r="E973" s="5">
        <v>5.6479109999999997</v>
      </c>
      <c r="F973" s="5">
        <v>5.5434789999999996</v>
      </c>
      <c r="G973" s="5">
        <v>4.4037139999999999</v>
      </c>
      <c r="H973" s="11">
        <v>0</v>
      </c>
      <c r="I973" s="11">
        <v>0</v>
      </c>
      <c r="J973" s="11">
        <v>0</v>
      </c>
      <c r="K973" s="7">
        <f t="shared" si="30"/>
        <v>4.2660072499999995</v>
      </c>
      <c r="L973" s="8">
        <f t="shared" si="31"/>
        <v>0</v>
      </c>
      <c r="M973" s="9">
        <v>3.8478023993948802E-7</v>
      </c>
      <c r="N973" s="9">
        <v>4.8783264264146898E-6</v>
      </c>
      <c r="O973" s="2">
        <v>-4.4908383135339296</v>
      </c>
      <c r="P973" t="s">
        <v>3636</v>
      </c>
      <c r="Q973" s="10">
        <f>IF(N973&lt;='[1]statistical criteria'!$B$2,IF(O973&gt;=LOG('[1]statistical criteria'!$B$3,2),1,IF(O973&lt;=-1*LOG('[1]statistical criteria'!$B$3,2),2,"-")),"-")</f>
        <v>2</v>
      </c>
      <c r="R973" t="s">
        <v>3638</v>
      </c>
      <c r="S973" t="s">
        <v>3639</v>
      </c>
      <c r="T973" s="9">
        <v>3.0000000000000001E-92</v>
      </c>
      <c r="U973" t="s">
        <v>61</v>
      </c>
    </row>
    <row r="974" spans="1:21" x14ac:dyDescent="0.35">
      <c r="A974" t="s">
        <v>3640</v>
      </c>
      <c r="B974" t="s">
        <v>3641</v>
      </c>
      <c r="C974">
        <v>1659</v>
      </c>
      <c r="D974" s="5">
        <v>4.9774349999999998</v>
      </c>
      <c r="E974" s="5">
        <v>3.53485</v>
      </c>
      <c r="F974" s="5">
        <v>3.694753</v>
      </c>
      <c r="G974" s="5">
        <v>5.4113860000000003</v>
      </c>
      <c r="H974" s="11">
        <v>0</v>
      </c>
      <c r="I974" s="11">
        <v>0</v>
      </c>
      <c r="J974" s="11">
        <v>0</v>
      </c>
      <c r="K974" s="7">
        <f t="shared" si="30"/>
        <v>4.4046060000000002</v>
      </c>
      <c r="L974" s="8">
        <f t="shared" si="31"/>
        <v>0</v>
      </c>
      <c r="M974" s="9">
        <v>1.3841304681448401E-6</v>
      </c>
      <c r="N974" s="9">
        <v>1.5390010405373201E-5</v>
      </c>
      <c r="O974" s="2">
        <v>-4.49568028670119</v>
      </c>
      <c r="P974" t="s">
        <v>3640</v>
      </c>
      <c r="Q974" s="10">
        <f>IF(N974&lt;='[1]statistical criteria'!$B$2,IF(O974&gt;=LOG('[1]statistical criteria'!$B$3,2),1,IF(O974&lt;=-1*LOG('[1]statistical criteria'!$B$3,2),2,"-")),"-")</f>
        <v>2</v>
      </c>
      <c r="R974" t="s">
        <v>3642</v>
      </c>
      <c r="S974" t="s">
        <v>3643</v>
      </c>
      <c r="T974" s="9">
        <v>8.0000000000000003E-89</v>
      </c>
      <c r="U974" t="s">
        <v>61</v>
      </c>
    </row>
    <row r="975" spans="1:21" x14ac:dyDescent="0.35">
      <c r="A975" t="s">
        <v>3644</v>
      </c>
      <c r="B975" t="s">
        <v>3645</v>
      </c>
      <c r="C975">
        <v>1818</v>
      </c>
      <c r="D975" s="5">
        <v>2.496896</v>
      </c>
      <c r="E975" s="5">
        <v>2.610465</v>
      </c>
      <c r="F975" s="5">
        <v>6.1408659999999999</v>
      </c>
      <c r="G975" s="5">
        <v>4.4387999999999996</v>
      </c>
      <c r="H975" s="11">
        <v>0</v>
      </c>
      <c r="I975" s="11">
        <v>0</v>
      </c>
      <c r="J975" s="11">
        <v>0</v>
      </c>
      <c r="K975" s="7">
        <f t="shared" si="30"/>
        <v>3.9217567500000001</v>
      </c>
      <c r="L975" s="8">
        <f t="shared" si="31"/>
        <v>0</v>
      </c>
      <c r="M975" s="9">
        <v>7.87338337020734E-7</v>
      </c>
      <c r="N975" s="9">
        <v>9.3133474126310598E-6</v>
      </c>
      <c r="O975" s="2">
        <v>-4.4970885864342103</v>
      </c>
      <c r="P975" t="s">
        <v>3644</v>
      </c>
      <c r="Q975" s="10">
        <f>IF(N975&lt;='[1]statistical criteria'!$B$2,IF(O975&gt;=LOG('[1]statistical criteria'!$B$3,2),1,IF(O975&lt;=-1*LOG('[1]statistical criteria'!$B$3,2),2,"-")),"-")</f>
        <v>2</v>
      </c>
      <c r="R975" t="s">
        <v>3646</v>
      </c>
      <c r="S975" t="s">
        <v>3647</v>
      </c>
      <c r="T975" s="9">
        <v>2.9999999999999999E-69</v>
      </c>
      <c r="U975" t="s">
        <v>3648</v>
      </c>
    </row>
    <row r="976" spans="1:21" x14ac:dyDescent="0.35">
      <c r="A976" t="s">
        <v>3649</v>
      </c>
      <c r="B976" t="s">
        <v>3650</v>
      </c>
      <c r="C976">
        <v>1624</v>
      </c>
      <c r="D976" s="5">
        <v>55.791533999999999</v>
      </c>
      <c r="E976" s="5">
        <v>34.565846999999998</v>
      </c>
      <c r="F976" s="5">
        <v>60.094135999999999</v>
      </c>
      <c r="G976" s="5">
        <v>91.544743999999994</v>
      </c>
      <c r="H976" s="11">
        <v>0</v>
      </c>
      <c r="I976" s="6">
        <v>4.9921119999999997</v>
      </c>
      <c r="J976" s="6">
        <v>1.815785</v>
      </c>
      <c r="K976" s="7">
        <f t="shared" si="30"/>
        <v>60.499065250000001</v>
      </c>
      <c r="L976" s="8">
        <f t="shared" si="31"/>
        <v>2.2692989999999997</v>
      </c>
      <c r="M976" s="9">
        <v>2.0373600697477399E-9</v>
      </c>
      <c r="N976" s="9">
        <v>4.1711632197202298E-8</v>
      </c>
      <c r="O976" s="2">
        <v>-4.4985723904425896</v>
      </c>
      <c r="P976" t="s">
        <v>3649</v>
      </c>
      <c r="Q976" s="10">
        <f>IF(N976&lt;='[1]statistical criteria'!$B$2,IF(O976&gt;=LOG('[1]statistical criteria'!$B$3,2),1,IF(O976&lt;=-1*LOG('[1]statistical criteria'!$B$3,2),2,"-")),"-")</f>
        <v>2</v>
      </c>
      <c r="R976" t="s">
        <v>3651</v>
      </c>
      <c r="S976" t="s">
        <v>3652</v>
      </c>
      <c r="T976">
        <v>0</v>
      </c>
      <c r="U976" t="s">
        <v>3653</v>
      </c>
    </row>
    <row r="977" spans="1:21" x14ac:dyDescent="0.35">
      <c r="A977" t="s">
        <v>3654</v>
      </c>
      <c r="B977" t="s">
        <v>3655</v>
      </c>
      <c r="C977">
        <v>951</v>
      </c>
      <c r="D977" s="5">
        <v>15.418161</v>
      </c>
      <c r="E977" s="5">
        <v>4.7346579999999996</v>
      </c>
      <c r="F977" s="5">
        <v>8.8095770000000009</v>
      </c>
      <c r="G977" s="5">
        <v>9.7286239999999999</v>
      </c>
      <c r="H977" s="6">
        <v>1.456607</v>
      </c>
      <c r="I977" s="11">
        <v>0</v>
      </c>
      <c r="J977" s="11">
        <v>0</v>
      </c>
      <c r="K977" s="7">
        <f t="shared" si="30"/>
        <v>9.6727550000000004</v>
      </c>
      <c r="L977" s="8">
        <f t="shared" si="31"/>
        <v>0.48553566666666664</v>
      </c>
      <c r="M977" s="9">
        <v>7.7602922434971903E-7</v>
      </c>
      <c r="N977" s="9">
        <v>9.2041541321491692E-6</v>
      </c>
      <c r="O977" s="2">
        <v>-4.5000595473841001</v>
      </c>
      <c r="P977" t="s">
        <v>3654</v>
      </c>
      <c r="Q977" s="10">
        <f>IF(N977&lt;='[1]statistical criteria'!$B$2,IF(O977&gt;=LOG('[1]statistical criteria'!$B$3,2),1,IF(O977&lt;=-1*LOG('[1]statistical criteria'!$B$3,2),2,"-")),"-")</f>
        <v>2</v>
      </c>
      <c r="R977" t="s">
        <v>3656</v>
      </c>
      <c r="S977" t="s">
        <v>3657</v>
      </c>
      <c r="T977" s="9">
        <v>4.9999999999999996E-77</v>
      </c>
      <c r="U977" t="s">
        <v>3658</v>
      </c>
    </row>
    <row r="978" spans="1:21" x14ac:dyDescent="0.35">
      <c r="A978" t="s">
        <v>3659</v>
      </c>
      <c r="B978" t="s">
        <v>3660</v>
      </c>
      <c r="C978">
        <v>2589</v>
      </c>
      <c r="D978" s="5">
        <v>8.0587020000000003</v>
      </c>
      <c r="E978" s="5">
        <v>11.731875</v>
      </c>
      <c r="F978" s="5">
        <v>9.036467</v>
      </c>
      <c r="G978" s="5">
        <v>7.9646410000000003</v>
      </c>
      <c r="H978" s="6">
        <v>7.0346000000000006E-2</v>
      </c>
      <c r="I978" s="11">
        <v>0</v>
      </c>
      <c r="J978" s="6">
        <v>0.36102299999999998</v>
      </c>
      <c r="K978" s="7">
        <f t="shared" si="30"/>
        <v>9.1979212500000003</v>
      </c>
      <c r="L978" s="8">
        <f t="shared" si="31"/>
        <v>0.14378966666666668</v>
      </c>
      <c r="M978" s="9">
        <v>2.2985469480123701E-13</v>
      </c>
      <c r="N978" s="9">
        <v>8.7834032973243706E-12</v>
      </c>
      <c r="O978" s="2">
        <v>-4.5019612863713796</v>
      </c>
      <c r="P978" t="s">
        <v>3659</v>
      </c>
      <c r="Q978" s="10">
        <f>IF(N978&lt;='[1]statistical criteria'!$B$2,IF(O978&gt;=LOG('[1]statistical criteria'!$B$3,2),1,IF(O978&lt;=-1*LOG('[1]statistical criteria'!$B$3,2),2,"-")),"-")</f>
        <v>2</v>
      </c>
      <c r="R978" t="s">
        <v>3661</v>
      </c>
      <c r="S978" t="s">
        <v>3662</v>
      </c>
      <c r="T978">
        <v>0.11</v>
      </c>
      <c r="U978" t="s">
        <v>3663</v>
      </c>
    </row>
    <row r="979" spans="1:21" x14ac:dyDescent="0.35">
      <c r="A979" t="s">
        <v>3664</v>
      </c>
      <c r="B979" t="s">
        <v>3665</v>
      </c>
      <c r="C979">
        <v>813</v>
      </c>
      <c r="D979" s="5">
        <v>1.810676</v>
      </c>
      <c r="E979" s="5">
        <v>5.5376960000000004</v>
      </c>
      <c r="F979" s="5">
        <v>7.1025669999999996</v>
      </c>
      <c r="G979" s="5">
        <v>2.0712130000000002</v>
      </c>
      <c r="H979" s="11">
        <v>0</v>
      </c>
      <c r="I979" s="11">
        <v>0</v>
      </c>
      <c r="J979" s="11">
        <v>0</v>
      </c>
      <c r="K979" s="7">
        <f t="shared" si="30"/>
        <v>4.1305379999999996</v>
      </c>
      <c r="L979" s="8">
        <f t="shared" si="31"/>
        <v>0</v>
      </c>
      <c r="M979" s="9">
        <v>7.2580754276356403E-7</v>
      </c>
      <c r="N979" s="9">
        <v>8.6732292237303695E-6</v>
      </c>
      <c r="O979" s="2">
        <v>-4.5026936729439901</v>
      </c>
      <c r="P979" t="s">
        <v>3664</v>
      </c>
      <c r="Q979" s="10">
        <f>IF(N979&lt;='[1]statistical criteria'!$B$2,IF(O979&gt;=LOG('[1]statistical criteria'!$B$3,2),1,IF(O979&lt;=-1*LOG('[1]statistical criteria'!$B$3,2),2,"-")),"-")</f>
        <v>2</v>
      </c>
      <c r="R979" t="s">
        <v>3666</v>
      </c>
    </row>
    <row r="980" spans="1:21" x14ac:dyDescent="0.35">
      <c r="A980" t="s">
        <v>3667</v>
      </c>
      <c r="B980" t="s">
        <v>3668</v>
      </c>
      <c r="C980">
        <v>747</v>
      </c>
      <c r="D980" s="5">
        <v>4.2421870000000004</v>
      </c>
      <c r="E980" s="5">
        <v>4.4380649999999999</v>
      </c>
      <c r="F980" s="5">
        <v>3.1249820000000001</v>
      </c>
      <c r="G980" s="5">
        <v>3.8889260000000001</v>
      </c>
      <c r="H980" s="11">
        <v>0</v>
      </c>
      <c r="I980" s="11">
        <v>0</v>
      </c>
      <c r="J980" s="11">
        <v>0</v>
      </c>
      <c r="K980" s="7">
        <f t="shared" si="30"/>
        <v>3.9235399999999996</v>
      </c>
      <c r="L980" s="8">
        <f t="shared" si="31"/>
        <v>0</v>
      </c>
      <c r="M980" s="9">
        <v>2.7631759484279999E-7</v>
      </c>
      <c r="N980" s="9">
        <v>3.6139682679439799E-6</v>
      </c>
      <c r="O980" s="2">
        <v>-4.5035267939629398</v>
      </c>
      <c r="P980" t="s">
        <v>3667</v>
      </c>
      <c r="Q980" s="10">
        <f>IF(N980&lt;='[1]statistical criteria'!$B$2,IF(O980&gt;=LOG('[1]statistical criteria'!$B$3,2),1,IF(O980&lt;=-1*LOG('[1]statistical criteria'!$B$3,2),2,"-")),"-")</f>
        <v>2</v>
      </c>
      <c r="R980" t="s">
        <v>3669</v>
      </c>
      <c r="S980" t="s">
        <v>3670</v>
      </c>
      <c r="T980" s="9">
        <v>2.0000000000000001E-83</v>
      </c>
      <c r="U980" t="s">
        <v>2462</v>
      </c>
    </row>
    <row r="981" spans="1:21" x14ac:dyDescent="0.35">
      <c r="A981" t="s">
        <v>3671</v>
      </c>
      <c r="B981" t="s">
        <v>3672</v>
      </c>
      <c r="C981">
        <v>1444</v>
      </c>
      <c r="D981" s="5">
        <v>8.0229820000000007</v>
      </c>
      <c r="E981" s="5">
        <v>14.151107</v>
      </c>
      <c r="F981" s="5">
        <v>12.966803000000001</v>
      </c>
      <c r="G981" s="5">
        <v>6.5765000000000002</v>
      </c>
      <c r="H981" s="11">
        <v>0</v>
      </c>
      <c r="I981" s="11">
        <v>0</v>
      </c>
      <c r="J981" s="6">
        <v>1.1713579999999999</v>
      </c>
      <c r="K981" s="7">
        <f t="shared" si="30"/>
        <v>10.429348000000001</v>
      </c>
      <c r="L981" s="8">
        <f t="shared" si="31"/>
        <v>0.39045266666666661</v>
      </c>
      <c r="M981" s="9">
        <v>2.5516618710274899E-8</v>
      </c>
      <c r="N981" s="9">
        <v>4.2235577138596702E-7</v>
      </c>
      <c r="O981" s="2">
        <v>-4.5053613186777204</v>
      </c>
      <c r="P981" t="s">
        <v>3671</v>
      </c>
      <c r="Q981" s="10">
        <f>IF(N981&lt;='[1]statistical criteria'!$B$2,IF(O981&gt;=LOG('[1]statistical criteria'!$B$3,2),1,IF(O981&lt;=-1*LOG('[1]statistical criteria'!$B$3,2),2,"-")),"-")</f>
        <v>2</v>
      </c>
      <c r="R981" t="s">
        <v>3673</v>
      </c>
      <c r="S981" t="s">
        <v>3475</v>
      </c>
      <c r="T981" s="9">
        <v>1E-62</v>
      </c>
      <c r="U981" t="s">
        <v>3476</v>
      </c>
    </row>
    <row r="982" spans="1:21" x14ac:dyDescent="0.35">
      <c r="A982" t="s">
        <v>3674</v>
      </c>
      <c r="B982" t="s">
        <v>3675</v>
      </c>
      <c r="C982">
        <v>483</v>
      </c>
      <c r="D982" s="5">
        <v>11.058259</v>
      </c>
      <c r="E982" s="5">
        <v>21.094643999999999</v>
      </c>
      <c r="F982" s="5">
        <v>6.552969</v>
      </c>
      <c r="G982" s="5">
        <v>11.837884000000001</v>
      </c>
      <c r="H982" s="11">
        <v>0</v>
      </c>
      <c r="I982" s="11">
        <v>0</v>
      </c>
      <c r="J982" s="11">
        <v>0</v>
      </c>
      <c r="K982" s="7">
        <f t="shared" si="30"/>
        <v>12.635938999999999</v>
      </c>
      <c r="L982" s="8">
        <f t="shared" si="31"/>
        <v>0</v>
      </c>
      <c r="M982" s="9">
        <v>4.8019766341490399E-8</v>
      </c>
      <c r="N982" s="9">
        <v>7.4719227594322397E-7</v>
      </c>
      <c r="O982" s="2">
        <v>-4.5076938293236299</v>
      </c>
      <c r="P982" t="s">
        <v>3674</v>
      </c>
      <c r="Q982" s="10">
        <f>IF(N982&lt;='[1]statistical criteria'!$B$2,IF(O982&gt;=LOG('[1]statistical criteria'!$B$3,2),1,IF(O982&lt;=-1*LOG('[1]statistical criteria'!$B$3,2),2,"-")),"-")</f>
        <v>2</v>
      </c>
      <c r="R982" t="s">
        <v>3676</v>
      </c>
      <c r="S982" t="s">
        <v>3677</v>
      </c>
      <c r="T982" s="9">
        <v>5E-137</v>
      </c>
      <c r="U982" t="s">
        <v>3678</v>
      </c>
    </row>
    <row r="983" spans="1:21" x14ac:dyDescent="0.35">
      <c r="A983" t="s">
        <v>3679</v>
      </c>
      <c r="B983" t="s">
        <v>3680</v>
      </c>
      <c r="C983">
        <v>1584</v>
      </c>
      <c r="D983" s="5">
        <v>3.6071580000000001</v>
      </c>
      <c r="E983" s="5">
        <v>7.5328229999999996</v>
      </c>
      <c r="F983" s="5">
        <v>1.7234989999999999</v>
      </c>
      <c r="G983" s="5">
        <v>0.74249200000000004</v>
      </c>
      <c r="H983" s="11">
        <v>0</v>
      </c>
      <c r="I983" s="11">
        <v>0</v>
      </c>
      <c r="J983" s="11">
        <v>0</v>
      </c>
      <c r="K983" s="7">
        <f t="shared" si="30"/>
        <v>3.4014929999999999</v>
      </c>
      <c r="L983" s="8">
        <f t="shared" si="31"/>
        <v>0</v>
      </c>
      <c r="M983" s="9">
        <v>1.2696470125501099E-6</v>
      </c>
      <c r="N983" s="9">
        <v>1.4246098259922501E-5</v>
      </c>
      <c r="O983" s="2">
        <v>-4.5078254682657599</v>
      </c>
      <c r="P983" t="s">
        <v>3679</v>
      </c>
      <c r="Q983" s="10">
        <f>IF(N983&lt;='[1]statistical criteria'!$B$2,IF(O983&gt;=LOG('[1]statistical criteria'!$B$3,2),1,IF(O983&lt;=-1*LOG('[1]statistical criteria'!$B$3,2),2,"-")),"-")</f>
        <v>2</v>
      </c>
      <c r="R983" t="s">
        <v>708</v>
      </c>
      <c r="S983" t="s">
        <v>3681</v>
      </c>
      <c r="T983">
        <v>0</v>
      </c>
      <c r="U983" t="s">
        <v>710</v>
      </c>
    </row>
    <row r="984" spans="1:21" x14ac:dyDescent="0.35">
      <c r="A984" t="s">
        <v>3682</v>
      </c>
      <c r="B984" t="s">
        <v>3683</v>
      </c>
      <c r="C984">
        <v>2643</v>
      </c>
      <c r="D984" s="5">
        <v>4.3300650000000003</v>
      </c>
      <c r="E984" s="5">
        <v>0.43714599999999998</v>
      </c>
      <c r="F984" s="5">
        <v>1.5178739999999999</v>
      </c>
      <c r="G984" s="5">
        <v>5.5753779999999997</v>
      </c>
      <c r="H984" s="11">
        <v>0</v>
      </c>
      <c r="I984" s="11">
        <v>0</v>
      </c>
      <c r="J984" s="11">
        <v>0</v>
      </c>
      <c r="K984" s="7">
        <f t="shared" si="30"/>
        <v>2.9651157499999998</v>
      </c>
      <c r="L984" s="8">
        <f t="shared" si="31"/>
        <v>0</v>
      </c>
      <c r="M984" s="9">
        <v>1.2182678530185699E-6</v>
      </c>
      <c r="N984" s="9">
        <v>1.3742523558354201E-5</v>
      </c>
      <c r="O984" s="2">
        <v>-4.5081027365628001</v>
      </c>
      <c r="P984" t="s">
        <v>3682</v>
      </c>
      <c r="Q984" s="10">
        <f>IF(N984&lt;='[1]statistical criteria'!$B$2,IF(O984&gt;=LOG('[1]statistical criteria'!$B$3,2),1,IF(O984&lt;=-1*LOG('[1]statistical criteria'!$B$3,2),2,"-")),"-")</f>
        <v>2</v>
      </c>
      <c r="R984" t="s">
        <v>3684</v>
      </c>
      <c r="S984" t="s">
        <v>3685</v>
      </c>
      <c r="T984">
        <v>0</v>
      </c>
      <c r="U984" t="s">
        <v>3686</v>
      </c>
    </row>
    <row r="985" spans="1:21" x14ac:dyDescent="0.35">
      <c r="A985" t="s">
        <v>3687</v>
      </c>
      <c r="C985">
        <v>1005</v>
      </c>
      <c r="D985" s="5">
        <v>11.798080000000001</v>
      </c>
      <c r="E985" s="5">
        <v>19.823036999999999</v>
      </c>
      <c r="F985" s="5">
        <v>11.160125000000001</v>
      </c>
      <c r="G985" s="5">
        <v>10.256872</v>
      </c>
      <c r="H985" s="11">
        <v>0</v>
      </c>
      <c r="I985" s="6">
        <v>2.5378229999999999</v>
      </c>
      <c r="J985" s="11">
        <v>0</v>
      </c>
      <c r="K985" s="7">
        <f t="shared" si="30"/>
        <v>13.2595285</v>
      </c>
      <c r="L985" s="8">
        <f t="shared" si="31"/>
        <v>0.84594099999999994</v>
      </c>
      <c r="M985" s="9">
        <v>4.2585397326930201E-10</v>
      </c>
      <c r="N985" s="9">
        <v>9.6995824192876301E-9</v>
      </c>
      <c r="O985" s="2">
        <v>-4.5090427767095198</v>
      </c>
      <c r="P985" t="s">
        <v>3687</v>
      </c>
      <c r="Q985" s="10">
        <f>IF(N985&lt;='[1]statistical criteria'!$B$2,IF(O985&gt;=LOG('[1]statistical criteria'!$B$3,2),1,IF(O985&lt;=-1*LOG('[1]statistical criteria'!$B$3,2),2,"-")),"-")</f>
        <v>2</v>
      </c>
      <c r="R985" t="s">
        <v>3688</v>
      </c>
      <c r="S985" t="s">
        <v>3689</v>
      </c>
      <c r="T985" s="9">
        <v>3.9999999999999999E-137</v>
      </c>
      <c r="U985" t="s">
        <v>3690</v>
      </c>
    </row>
    <row r="986" spans="1:21" x14ac:dyDescent="0.35">
      <c r="A986" t="s">
        <v>3691</v>
      </c>
      <c r="B986" t="s">
        <v>3692</v>
      </c>
      <c r="C986">
        <v>918</v>
      </c>
      <c r="D986" s="5">
        <v>5.1257080000000004</v>
      </c>
      <c r="E986" s="5">
        <v>2.8202929999999999</v>
      </c>
      <c r="F986" s="5">
        <v>3.518526</v>
      </c>
      <c r="G986" s="5">
        <v>2.4325990000000002</v>
      </c>
      <c r="H986" s="11">
        <v>0</v>
      </c>
      <c r="I986" s="11">
        <v>0</v>
      </c>
      <c r="J986" s="11">
        <v>0</v>
      </c>
      <c r="K986" s="7">
        <f t="shared" si="30"/>
        <v>3.4742815</v>
      </c>
      <c r="L986" s="8">
        <f t="shared" si="31"/>
        <v>0</v>
      </c>
      <c r="M986" s="9">
        <v>1.0764062815730201E-8</v>
      </c>
      <c r="N986" s="9">
        <v>1.9161844282819999E-7</v>
      </c>
      <c r="O986" s="2">
        <v>-4.5094826396170102</v>
      </c>
      <c r="P986" t="s">
        <v>3691</v>
      </c>
      <c r="Q986" s="10">
        <f>IF(N986&lt;='[1]statistical criteria'!$B$2,IF(O986&gt;=LOG('[1]statistical criteria'!$B$3,2),1,IF(O986&lt;=-1*LOG('[1]statistical criteria'!$B$3,2),2,"-")),"-")</f>
        <v>2</v>
      </c>
      <c r="R986" t="s">
        <v>3693</v>
      </c>
      <c r="S986" t="s">
        <v>3694</v>
      </c>
      <c r="T986" s="9">
        <v>9.9999999999999995E-145</v>
      </c>
      <c r="U986" t="s">
        <v>3695</v>
      </c>
    </row>
    <row r="987" spans="1:21" x14ac:dyDescent="0.35">
      <c r="A987" t="s">
        <v>3696</v>
      </c>
      <c r="B987" t="s">
        <v>3697</v>
      </c>
      <c r="C987">
        <v>1740</v>
      </c>
      <c r="D987" s="5">
        <v>9.794746</v>
      </c>
      <c r="E987" s="5">
        <v>5.5037589999999996</v>
      </c>
      <c r="F987" s="5">
        <v>16.421873000000001</v>
      </c>
      <c r="G987" s="5">
        <v>24.686976000000001</v>
      </c>
      <c r="H987" s="11">
        <v>0</v>
      </c>
      <c r="I987" s="6">
        <v>0.96954600000000002</v>
      </c>
      <c r="J987" s="11">
        <v>0</v>
      </c>
      <c r="K987" s="7">
        <f t="shared" si="30"/>
        <v>14.101838499999999</v>
      </c>
      <c r="L987" s="8">
        <f t="shared" si="31"/>
        <v>0.32318200000000002</v>
      </c>
      <c r="M987" s="9">
        <v>1.5529410424044499E-9</v>
      </c>
      <c r="N987" s="9">
        <v>3.2386266341870202E-8</v>
      </c>
      <c r="O987" s="2">
        <v>-4.51057189365239</v>
      </c>
      <c r="P987" t="s">
        <v>3696</v>
      </c>
      <c r="Q987" s="10">
        <f>IF(N987&lt;='[1]statistical criteria'!$B$2,IF(O987&gt;=LOG('[1]statistical criteria'!$B$3,2),1,IF(O987&lt;=-1*LOG('[1]statistical criteria'!$B$3,2),2,"-")),"-")</f>
        <v>2</v>
      </c>
      <c r="R987" t="s">
        <v>3698</v>
      </c>
      <c r="S987" t="s">
        <v>3699</v>
      </c>
      <c r="T987" s="9">
        <v>6.0000000000000003E-150</v>
      </c>
      <c r="U987" t="s">
        <v>3700</v>
      </c>
    </row>
    <row r="988" spans="1:21" x14ac:dyDescent="0.35">
      <c r="A988" t="s">
        <v>3701</v>
      </c>
      <c r="B988" t="s">
        <v>3702</v>
      </c>
      <c r="C988">
        <v>1791</v>
      </c>
      <c r="D988" s="5">
        <v>6.3112849999999998</v>
      </c>
      <c r="E988" s="5">
        <v>9.9843980000000006</v>
      </c>
      <c r="F988" s="5">
        <v>15.539835</v>
      </c>
      <c r="G988" s="5">
        <v>15.641911</v>
      </c>
      <c r="H988" s="6">
        <v>1.49163</v>
      </c>
      <c r="I988" s="11">
        <v>0</v>
      </c>
      <c r="J988" s="11">
        <v>0</v>
      </c>
      <c r="K988" s="7">
        <f t="shared" si="30"/>
        <v>11.86935725</v>
      </c>
      <c r="L988" s="8">
        <f t="shared" si="31"/>
        <v>0.49720999999999999</v>
      </c>
      <c r="M988" s="9">
        <v>3.6472792793506598E-8</v>
      </c>
      <c r="N988" s="9">
        <v>5.8179148940522196E-7</v>
      </c>
      <c r="O988" s="2">
        <v>-4.51103168819676</v>
      </c>
      <c r="P988" t="s">
        <v>3701</v>
      </c>
      <c r="Q988" s="10">
        <f>IF(N988&lt;='[1]statistical criteria'!$B$2,IF(O988&gt;=LOG('[1]statistical criteria'!$B$3,2),1,IF(O988&lt;=-1*LOG('[1]statistical criteria'!$B$3,2),2,"-")),"-")</f>
        <v>2</v>
      </c>
      <c r="R988" t="s">
        <v>3703</v>
      </c>
      <c r="S988" t="s">
        <v>3704</v>
      </c>
      <c r="T988">
        <v>0</v>
      </c>
      <c r="U988" t="s">
        <v>582</v>
      </c>
    </row>
    <row r="989" spans="1:21" x14ac:dyDescent="0.35">
      <c r="A989" t="s">
        <v>3705</v>
      </c>
      <c r="B989" t="s">
        <v>3706</v>
      </c>
      <c r="C989">
        <v>978</v>
      </c>
      <c r="D989" s="5">
        <v>7.6069300000000002</v>
      </c>
      <c r="E989" s="5">
        <v>6.5515569999999999</v>
      </c>
      <c r="F989" s="5">
        <v>13.290426999999999</v>
      </c>
      <c r="G989" s="5">
        <v>7.1181159999999997</v>
      </c>
      <c r="H989" s="6">
        <v>0.85427500000000001</v>
      </c>
      <c r="I989" s="11">
        <v>0</v>
      </c>
      <c r="J989" s="11">
        <v>0</v>
      </c>
      <c r="K989" s="7">
        <f t="shared" si="30"/>
        <v>8.6417575000000006</v>
      </c>
      <c r="L989" s="8">
        <f t="shared" si="31"/>
        <v>0.28475833333333334</v>
      </c>
      <c r="M989" s="9">
        <v>1.07898352580088E-6</v>
      </c>
      <c r="N989" s="9">
        <v>1.23065820465002E-5</v>
      </c>
      <c r="O989" s="2">
        <v>-4.5111926552544999</v>
      </c>
      <c r="P989" t="s">
        <v>3705</v>
      </c>
      <c r="Q989" s="10">
        <f>IF(N989&lt;='[1]statistical criteria'!$B$2,IF(O989&gt;=LOG('[1]statistical criteria'!$B$3,2),1,IF(O989&lt;=-1*LOG('[1]statistical criteria'!$B$3,2),2,"-")),"-")</f>
        <v>2</v>
      </c>
      <c r="R989" t="s">
        <v>3707</v>
      </c>
      <c r="S989" t="s">
        <v>3708</v>
      </c>
      <c r="T989" s="9">
        <v>5.9999999999999995E-4</v>
      </c>
      <c r="U989" t="s">
        <v>3709</v>
      </c>
    </row>
    <row r="990" spans="1:21" x14ac:dyDescent="0.35">
      <c r="A990" t="s">
        <v>3710</v>
      </c>
      <c r="B990" t="s">
        <v>3711</v>
      </c>
      <c r="C990">
        <v>2370</v>
      </c>
      <c r="D990" s="5">
        <v>1.0459400000000001</v>
      </c>
      <c r="E990" s="5">
        <v>4.7450580000000002</v>
      </c>
      <c r="F990" s="5">
        <v>1.457495</v>
      </c>
      <c r="G990" s="5">
        <v>3.1674660000000001</v>
      </c>
      <c r="H990" s="11">
        <v>0</v>
      </c>
      <c r="I990" s="11">
        <v>0</v>
      </c>
      <c r="J990" s="11">
        <v>0</v>
      </c>
      <c r="K990" s="7">
        <f t="shared" si="30"/>
        <v>2.6039897500000002</v>
      </c>
      <c r="L990" s="8">
        <f t="shared" si="31"/>
        <v>0</v>
      </c>
      <c r="M990" s="9">
        <v>6.2660934903631206E-8</v>
      </c>
      <c r="N990" s="9">
        <v>9.5166607439433502E-7</v>
      </c>
      <c r="O990" s="2">
        <v>-4.5114946868407797</v>
      </c>
      <c r="P990" t="s">
        <v>3710</v>
      </c>
      <c r="Q990" s="10">
        <f>IF(N990&lt;='[1]statistical criteria'!$B$2,IF(O990&gt;=LOG('[1]statistical criteria'!$B$3,2),1,IF(O990&lt;=-1*LOG('[1]statistical criteria'!$B$3,2),2,"-")),"-")</f>
        <v>2</v>
      </c>
      <c r="S990" t="s">
        <v>3712</v>
      </c>
      <c r="T990" s="9">
        <v>5.0000000000000003E-10</v>
      </c>
      <c r="U990" t="s">
        <v>2899</v>
      </c>
    </row>
    <row r="991" spans="1:21" x14ac:dyDescent="0.35">
      <c r="A991" t="s">
        <v>3713</v>
      </c>
      <c r="B991" t="s">
        <v>3714</v>
      </c>
      <c r="C991">
        <v>2040</v>
      </c>
      <c r="D991" s="5">
        <v>3.6795420000000001</v>
      </c>
      <c r="E991" s="5">
        <v>2.4459230000000001</v>
      </c>
      <c r="F991" s="5">
        <v>2.4609960000000002</v>
      </c>
      <c r="G991" s="5">
        <v>2.8770410000000002</v>
      </c>
      <c r="H991" s="11">
        <v>0</v>
      </c>
      <c r="I991" s="11">
        <v>0</v>
      </c>
      <c r="J991" s="11">
        <v>0</v>
      </c>
      <c r="K991" s="7">
        <f t="shared" si="30"/>
        <v>2.8658755</v>
      </c>
      <c r="L991" s="8">
        <f t="shared" si="31"/>
        <v>0</v>
      </c>
      <c r="M991" s="9">
        <v>9.6510451408207098E-8</v>
      </c>
      <c r="N991" s="9">
        <v>1.39347032647813E-6</v>
      </c>
      <c r="O991" s="2">
        <v>-4.5167291863779298</v>
      </c>
      <c r="P991" t="s">
        <v>3713</v>
      </c>
      <c r="Q991" s="10">
        <f>IF(N991&lt;='[1]statistical criteria'!$B$2,IF(O991&gt;=LOG('[1]statistical criteria'!$B$3,2),1,IF(O991&lt;=-1*LOG('[1]statistical criteria'!$B$3,2),2,"-")),"-")</f>
        <v>2</v>
      </c>
      <c r="S991" t="s">
        <v>3715</v>
      </c>
      <c r="T991" s="9">
        <v>4.0000000000000002E-153</v>
      </c>
      <c r="U991" t="s">
        <v>3716</v>
      </c>
    </row>
    <row r="992" spans="1:21" x14ac:dyDescent="0.35">
      <c r="A992" t="s">
        <v>3717</v>
      </c>
      <c r="B992" t="s">
        <v>3718</v>
      </c>
      <c r="C992">
        <v>3291</v>
      </c>
      <c r="D992" s="5">
        <v>13.817226</v>
      </c>
      <c r="E992" s="5">
        <v>9.1619810000000008</v>
      </c>
      <c r="F992" s="5">
        <v>17.936938000000001</v>
      </c>
      <c r="G992" s="5">
        <v>14.382619</v>
      </c>
      <c r="H992" s="6">
        <v>2.627094</v>
      </c>
      <c r="I992" s="11">
        <v>0</v>
      </c>
      <c r="J992" s="6">
        <v>5.5826000000000001E-2</v>
      </c>
      <c r="K992" s="7">
        <f t="shared" si="30"/>
        <v>13.824691</v>
      </c>
      <c r="L992" s="8">
        <f t="shared" si="31"/>
        <v>0.89430666666666669</v>
      </c>
      <c r="M992" s="9">
        <v>5.8082381130549801E-9</v>
      </c>
      <c r="N992" s="9">
        <v>1.08950982051687E-7</v>
      </c>
      <c r="O992" s="2">
        <v>-4.5176225165205199</v>
      </c>
      <c r="P992" t="s">
        <v>3717</v>
      </c>
      <c r="Q992" s="10">
        <f>IF(N992&lt;='[1]statistical criteria'!$B$2,IF(O992&gt;=LOG('[1]statistical criteria'!$B$3,2),1,IF(O992&lt;=-1*LOG('[1]statistical criteria'!$B$3,2),2,"-")),"-")</f>
        <v>2</v>
      </c>
      <c r="R992" t="s">
        <v>3719</v>
      </c>
      <c r="S992" t="s">
        <v>3720</v>
      </c>
      <c r="T992">
        <v>0</v>
      </c>
      <c r="U992" t="s">
        <v>3721</v>
      </c>
    </row>
    <row r="993" spans="1:21" x14ac:dyDescent="0.35">
      <c r="A993" t="s">
        <v>3722</v>
      </c>
      <c r="B993" t="s">
        <v>3723</v>
      </c>
      <c r="C993">
        <v>1395</v>
      </c>
      <c r="D993" s="5">
        <v>5.820398</v>
      </c>
      <c r="E993" s="5">
        <v>16.375001000000001</v>
      </c>
      <c r="F993" s="5">
        <v>12.325922</v>
      </c>
      <c r="G993" s="5">
        <v>11.492139999999999</v>
      </c>
      <c r="H993" s="6">
        <v>0.13410900000000001</v>
      </c>
      <c r="I993" s="11">
        <v>0</v>
      </c>
      <c r="J993" s="6">
        <v>0.288076</v>
      </c>
      <c r="K993" s="7">
        <f t="shared" si="30"/>
        <v>11.50336525</v>
      </c>
      <c r="L993" s="8">
        <f t="shared" si="31"/>
        <v>0.14072833333333334</v>
      </c>
      <c r="M993" s="9">
        <v>3.71723455229367E-13</v>
      </c>
      <c r="N993" s="9">
        <v>1.3735723015562799E-11</v>
      </c>
      <c r="O993" s="2">
        <v>-4.5213706931638704</v>
      </c>
      <c r="P993" t="s">
        <v>3722</v>
      </c>
      <c r="Q993" s="10">
        <f>IF(N993&lt;='[1]statistical criteria'!$B$2,IF(O993&gt;=LOG('[1]statistical criteria'!$B$3,2),1,IF(O993&lt;=-1*LOG('[1]statistical criteria'!$B$3,2),2,"-")),"-")</f>
        <v>2</v>
      </c>
      <c r="R993" t="s">
        <v>3724</v>
      </c>
      <c r="S993" t="s">
        <v>3725</v>
      </c>
      <c r="T993">
        <v>0</v>
      </c>
      <c r="U993" t="s">
        <v>3726</v>
      </c>
    </row>
    <row r="994" spans="1:21" x14ac:dyDescent="0.35">
      <c r="A994" t="s">
        <v>3727</v>
      </c>
      <c r="B994" t="s">
        <v>3728</v>
      </c>
      <c r="C994">
        <v>894</v>
      </c>
      <c r="D994" s="5">
        <v>114.541535</v>
      </c>
      <c r="E994" s="5">
        <v>92.972622999999999</v>
      </c>
      <c r="F994" s="5">
        <v>87.530467999999999</v>
      </c>
      <c r="G994" s="5">
        <v>114.414582</v>
      </c>
      <c r="H994" s="6">
        <v>7.8070940000000002</v>
      </c>
      <c r="I994" s="11">
        <v>0</v>
      </c>
      <c r="J994" s="6">
        <v>4.383699</v>
      </c>
      <c r="K994" s="7">
        <f t="shared" si="30"/>
        <v>102.364802</v>
      </c>
      <c r="L994" s="8">
        <f t="shared" si="31"/>
        <v>4.0635976666666664</v>
      </c>
      <c r="M994" s="9">
        <v>3.6438965709922499E-9</v>
      </c>
      <c r="N994" s="9">
        <v>7.0939490277219896E-8</v>
      </c>
      <c r="O994" s="2">
        <v>-4.5267697981356401</v>
      </c>
      <c r="P994" t="s">
        <v>3727</v>
      </c>
      <c r="Q994" s="10">
        <f>IF(N994&lt;='[1]statistical criteria'!$B$2,IF(O994&gt;=LOG('[1]statistical criteria'!$B$3,2),1,IF(O994&lt;=-1*LOG('[1]statistical criteria'!$B$3,2),2,"-")),"-")</f>
        <v>2</v>
      </c>
      <c r="S994" t="s">
        <v>3729</v>
      </c>
      <c r="T994" s="9">
        <v>4.0000000000000002E-32</v>
      </c>
      <c r="U994" t="s">
        <v>3730</v>
      </c>
    </row>
    <row r="995" spans="1:21" x14ac:dyDescent="0.35">
      <c r="A995" t="s">
        <v>3731</v>
      </c>
      <c r="B995" t="s">
        <v>3732</v>
      </c>
      <c r="C995">
        <v>675</v>
      </c>
      <c r="D995" s="5">
        <v>17.373027</v>
      </c>
      <c r="E995" s="5">
        <v>19.450305</v>
      </c>
      <c r="F995" s="5">
        <v>32.142856000000002</v>
      </c>
      <c r="G995" s="5">
        <v>22.085293</v>
      </c>
      <c r="H995" s="11">
        <v>0</v>
      </c>
      <c r="I995" s="6">
        <v>5.7882189999999998</v>
      </c>
      <c r="J995" s="11">
        <v>0</v>
      </c>
      <c r="K995" s="7">
        <f t="shared" si="30"/>
        <v>22.762870249999999</v>
      </c>
      <c r="L995" s="8">
        <f t="shared" si="31"/>
        <v>1.9294063333333333</v>
      </c>
      <c r="M995" s="9">
        <v>1.0546197478704301E-6</v>
      </c>
      <c r="N995" s="9">
        <v>1.20537019831677E-5</v>
      </c>
      <c r="O995" s="2">
        <v>-4.5280090038632101</v>
      </c>
      <c r="P995" t="s">
        <v>3731</v>
      </c>
      <c r="Q995" s="10">
        <f>IF(N995&lt;='[1]statistical criteria'!$B$2,IF(O995&gt;=LOG('[1]statistical criteria'!$B$3,2),1,IF(O995&lt;=-1*LOG('[1]statistical criteria'!$B$3,2),2,"-")),"-")</f>
        <v>2</v>
      </c>
      <c r="R995" t="s">
        <v>3733</v>
      </c>
      <c r="S995" t="s">
        <v>3734</v>
      </c>
      <c r="T995" s="9">
        <v>3.0000000000000001E-113</v>
      </c>
      <c r="U995" t="s">
        <v>3735</v>
      </c>
    </row>
    <row r="996" spans="1:21" x14ac:dyDescent="0.35">
      <c r="A996" t="s">
        <v>3736</v>
      </c>
      <c r="B996" t="s">
        <v>3737</v>
      </c>
      <c r="C996">
        <v>1161</v>
      </c>
      <c r="D996" s="5">
        <v>4.8357659999999996</v>
      </c>
      <c r="E996" s="5">
        <v>2.3361360000000002</v>
      </c>
      <c r="F996" s="5">
        <v>6.9300629999999996</v>
      </c>
      <c r="G996" s="5">
        <v>5.6548999999999996</v>
      </c>
      <c r="H996" s="11">
        <v>0</v>
      </c>
      <c r="I996" s="11">
        <v>0</v>
      </c>
      <c r="J996" s="11">
        <v>0</v>
      </c>
      <c r="K996" s="7">
        <f t="shared" si="30"/>
        <v>4.9392162499999994</v>
      </c>
      <c r="L996" s="8">
        <f t="shared" si="31"/>
        <v>0</v>
      </c>
      <c r="M996" s="9">
        <v>1.0306581006695399E-6</v>
      </c>
      <c r="N996" s="9">
        <v>1.18224374055101E-5</v>
      </c>
      <c r="O996" s="2">
        <v>-4.5376798333677302</v>
      </c>
      <c r="P996" t="s">
        <v>3736</v>
      </c>
      <c r="Q996" s="10">
        <f>IF(N996&lt;='[1]statistical criteria'!$B$2,IF(O996&gt;=LOG('[1]statistical criteria'!$B$3,2),1,IF(O996&lt;=-1*LOG('[1]statistical criteria'!$B$3,2),2,"-")),"-")</f>
        <v>2</v>
      </c>
      <c r="R996" t="s">
        <v>3738</v>
      </c>
      <c r="S996" t="s">
        <v>3739</v>
      </c>
      <c r="T996" s="9">
        <v>3.0000000000000002E-76</v>
      </c>
      <c r="U996" t="s">
        <v>3740</v>
      </c>
    </row>
    <row r="997" spans="1:21" x14ac:dyDescent="0.35">
      <c r="A997" t="s">
        <v>3741</v>
      </c>
      <c r="B997" t="s">
        <v>3742</v>
      </c>
      <c r="C997">
        <v>960</v>
      </c>
      <c r="D997" s="5">
        <v>23.332132999999999</v>
      </c>
      <c r="E997" s="5">
        <v>64.166033999999996</v>
      </c>
      <c r="F997" s="5">
        <v>51.467315999999997</v>
      </c>
      <c r="G997" s="5">
        <v>37.776079000000003</v>
      </c>
      <c r="H997" s="6">
        <v>1.480108</v>
      </c>
      <c r="I997" s="11">
        <v>0</v>
      </c>
      <c r="J997" s="6">
        <v>7.0514710000000003</v>
      </c>
      <c r="K997" s="7">
        <f t="shared" si="30"/>
        <v>44.185390500000004</v>
      </c>
      <c r="L997" s="8">
        <f t="shared" si="31"/>
        <v>2.8438596666666669</v>
      </c>
      <c r="M997" s="9">
        <v>5.8448404954167403E-9</v>
      </c>
      <c r="N997" s="9">
        <v>1.094757033738E-7</v>
      </c>
      <c r="O997" s="2">
        <v>-4.5413056796772597</v>
      </c>
      <c r="P997" t="s">
        <v>3741</v>
      </c>
      <c r="Q997" s="10">
        <f>IF(N997&lt;='[1]statistical criteria'!$B$2,IF(O997&gt;=LOG('[1]statistical criteria'!$B$3,2),1,IF(O997&lt;=-1*LOG('[1]statistical criteria'!$B$3,2),2,"-")),"-")</f>
        <v>2</v>
      </c>
      <c r="R997" t="s">
        <v>3743</v>
      </c>
      <c r="S997" t="s">
        <v>3744</v>
      </c>
      <c r="T997" s="9">
        <v>3.0000000000000001E-127</v>
      </c>
      <c r="U997" t="s">
        <v>3745</v>
      </c>
    </row>
    <row r="998" spans="1:21" x14ac:dyDescent="0.35">
      <c r="A998" t="s">
        <v>3746</v>
      </c>
      <c r="B998" t="s">
        <v>3747</v>
      </c>
      <c r="C998">
        <v>924</v>
      </c>
      <c r="D998" s="5">
        <v>1.7852170000000001</v>
      </c>
      <c r="E998" s="5">
        <v>7.1041790000000002</v>
      </c>
      <c r="F998" s="5">
        <v>3.5819200000000002</v>
      </c>
      <c r="G998" s="5">
        <v>1.5129520000000001</v>
      </c>
      <c r="H998" s="11">
        <v>0</v>
      </c>
      <c r="I998" s="11">
        <v>0</v>
      </c>
      <c r="J998" s="11">
        <v>0</v>
      </c>
      <c r="K998" s="7">
        <f t="shared" si="30"/>
        <v>3.496067</v>
      </c>
      <c r="L998" s="8">
        <f t="shared" si="31"/>
        <v>0</v>
      </c>
      <c r="M998" s="9">
        <v>8.5320119757939197E-7</v>
      </c>
      <c r="N998" s="9">
        <v>9.9732302149483103E-6</v>
      </c>
      <c r="O998" s="2">
        <v>-4.5425180002700598</v>
      </c>
      <c r="P998" t="s">
        <v>3746</v>
      </c>
      <c r="Q998" s="10">
        <f>IF(N998&lt;='[1]statistical criteria'!$B$2,IF(O998&gt;=LOG('[1]statistical criteria'!$B$3,2),1,IF(O998&lt;=-1*LOG('[1]statistical criteria'!$B$3,2),2,"-")),"-")</f>
        <v>2</v>
      </c>
      <c r="R998" t="s">
        <v>3748</v>
      </c>
      <c r="S998" t="s">
        <v>3749</v>
      </c>
      <c r="T998" s="9">
        <v>2.9999999999999997E-8</v>
      </c>
      <c r="U998" t="s">
        <v>61</v>
      </c>
    </row>
    <row r="999" spans="1:21" x14ac:dyDescent="0.35">
      <c r="A999" t="s">
        <v>3750</v>
      </c>
      <c r="B999" t="s">
        <v>3751</v>
      </c>
      <c r="C999">
        <v>1594</v>
      </c>
      <c r="D999" s="5">
        <v>1.903135</v>
      </c>
      <c r="E999" s="5">
        <v>2.9467650000000001</v>
      </c>
      <c r="F999" s="5">
        <v>1.9019219999999999</v>
      </c>
      <c r="G999" s="5">
        <v>3.5729449999999998</v>
      </c>
      <c r="H999" s="11">
        <v>0</v>
      </c>
      <c r="I999" s="11">
        <v>0</v>
      </c>
      <c r="J999" s="11">
        <v>0</v>
      </c>
      <c r="K999" s="7">
        <f t="shared" ref="K999:K1062" si="32">AVERAGE(D999:G999)</f>
        <v>2.5811917499999999</v>
      </c>
      <c r="L999" s="8">
        <f t="shared" ref="L999:L1062" si="33">AVERAGE(H999:J999)</f>
        <v>0</v>
      </c>
      <c r="M999" s="9">
        <v>1.4251562419122201E-6</v>
      </c>
      <c r="N999" s="9">
        <v>1.5772447387955601E-5</v>
      </c>
      <c r="O999" s="2">
        <v>-4.5434727487466899</v>
      </c>
      <c r="P999" t="s">
        <v>3750</v>
      </c>
      <c r="Q999" s="10">
        <f>IF(N999&lt;='[1]statistical criteria'!$B$2,IF(O999&gt;=LOG('[1]statistical criteria'!$B$3,2),1,IF(O999&lt;=-1*LOG('[1]statistical criteria'!$B$3,2),2,"-")),"-")</f>
        <v>2</v>
      </c>
      <c r="R999" t="s">
        <v>3752</v>
      </c>
      <c r="S999" t="s">
        <v>3753</v>
      </c>
      <c r="T999">
        <v>0</v>
      </c>
      <c r="U999" t="s">
        <v>3754</v>
      </c>
    </row>
    <row r="1000" spans="1:21" x14ac:dyDescent="0.35">
      <c r="A1000" t="s">
        <v>3755</v>
      </c>
      <c r="B1000" t="s">
        <v>3756</v>
      </c>
      <c r="C1000">
        <v>3348</v>
      </c>
      <c r="D1000" s="5">
        <v>3.545995</v>
      </c>
      <c r="E1000" s="5">
        <v>8.1488169999999993</v>
      </c>
      <c r="F1000" s="5">
        <v>5.5859560000000004</v>
      </c>
      <c r="G1000" s="5">
        <v>4.2022019999999998</v>
      </c>
      <c r="H1000" s="6">
        <v>0.53706200000000004</v>
      </c>
      <c r="I1000" s="11">
        <v>0</v>
      </c>
      <c r="J1000" s="11">
        <v>0</v>
      </c>
      <c r="K1000" s="7">
        <f t="shared" si="32"/>
        <v>5.3707424999999995</v>
      </c>
      <c r="L1000" s="8">
        <f t="shared" si="33"/>
        <v>0.17902066666666669</v>
      </c>
      <c r="M1000" s="9">
        <v>3.4535724760018899E-9</v>
      </c>
      <c r="N1000" s="9">
        <v>6.7579932358165505E-8</v>
      </c>
      <c r="O1000" s="2">
        <v>-4.5436229001125703</v>
      </c>
      <c r="P1000" t="s">
        <v>3755</v>
      </c>
      <c r="Q1000" s="10">
        <f>IF(N1000&lt;='[1]statistical criteria'!$B$2,IF(O1000&gt;=LOG('[1]statistical criteria'!$B$3,2),1,IF(O1000&lt;=-1*LOG('[1]statistical criteria'!$B$3,2),2,"-")),"-")</f>
        <v>2</v>
      </c>
      <c r="R1000" t="s">
        <v>3757</v>
      </c>
    </row>
    <row r="1001" spans="1:21" x14ac:dyDescent="0.35">
      <c r="A1001" t="s">
        <v>3758</v>
      </c>
      <c r="B1001" t="s">
        <v>3759</v>
      </c>
      <c r="C1001">
        <v>984</v>
      </c>
      <c r="D1001" s="5">
        <v>1.685975</v>
      </c>
      <c r="E1001" s="5">
        <v>3.7038259999999998</v>
      </c>
      <c r="F1001" s="5">
        <v>1.455403</v>
      </c>
      <c r="G1001" s="5">
        <v>3.5703149999999999</v>
      </c>
      <c r="H1001" s="11">
        <v>0</v>
      </c>
      <c r="I1001" s="11">
        <v>0</v>
      </c>
      <c r="J1001" s="11">
        <v>0</v>
      </c>
      <c r="K1001" s="7">
        <f t="shared" si="32"/>
        <v>2.6038797499999999</v>
      </c>
      <c r="L1001" s="8">
        <f t="shared" si="33"/>
        <v>0</v>
      </c>
      <c r="M1001" s="9">
        <v>4.7451190278721601E-7</v>
      </c>
      <c r="N1001" s="9">
        <v>5.8846278983647601E-6</v>
      </c>
      <c r="O1001" s="2">
        <v>-4.5491558116007598</v>
      </c>
      <c r="P1001" t="s">
        <v>3758</v>
      </c>
      <c r="Q1001" s="10">
        <f>IF(N1001&lt;='[1]statistical criteria'!$B$2,IF(O1001&gt;=LOG('[1]statistical criteria'!$B$3,2),1,IF(O1001&lt;=-1*LOG('[1]statistical criteria'!$B$3,2),2,"-")),"-")</f>
        <v>2</v>
      </c>
      <c r="R1001" t="s">
        <v>3760</v>
      </c>
      <c r="S1001" t="s">
        <v>3761</v>
      </c>
      <c r="T1001" s="9">
        <v>2E-85</v>
      </c>
      <c r="U1001" t="s">
        <v>3762</v>
      </c>
    </row>
    <row r="1002" spans="1:21" x14ac:dyDescent="0.35">
      <c r="A1002" t="s">
        <v>3763</v>
      </c>
      <c r="B1002" t="s">
        <v>3764</v>
      </c>
      <c r="C1002">
        <v>1002</v>
      </c>
      <c r="D1002" s="5">
        <v>9.3598839999999992</v>
      </c>
      <c r="E1002" s="5">
        <v>24.263473000000001</v>
      </c>
      <c r="F1002" s="5">
        <v>9.0676740000000002</v>
      </c>
      <c r="G1002" s="5">
        <v>14.845146</v>
      </c>
      <c r="H1002" s="6">
        <v>3.2291690000000002</v>
      </c>
      <c r="I1002" s="11">
        <v>0</v>
      </c>
      <c r="J1002" s="11">
        <v>0</v>
      </c>
      <c r="K1002" s="7">
        <f t="shared" si="32"/>
        <v>14.384044249999999</v>
      </c>
      <c r="L1002" s="8">
        <f t="shared" si="33"/>
        <v>1.0763896666666668</v>
      </c>
      <c r="M1002" s="9">
        <v>1.5120341021446399E-9</v>
      </c>
      <c r="N1002" s="9">
        <v>3.1585081189695501E-8</v>
      </c>
      <c r="O1002" s="2">
        <v>-4.5512394458727403</v>
      </c>
      <c r="P1002" t="s">
        <v>3763</v>
      </c>
      <c r="Q1002" s="10">
        <f>IF(N1002&lt;='[1]statistical criteria'!$B$2,IF(O1002&gt;=LOG('[1]statistical criteria'!$B$3,2),1,IF(O1002&lt;=-1*LOG('[1]statistical criteria'!$B$3,2),2,"-")),"-")</f>
        <v>2</v>
      </c>
      <c r="R1002" t="s">
        <v>3707</v>
      </c>
      <c r="S1002" t="s">
        <v>3708</v>
      </c>
      <c r="T1002">
        <v>1E-3</v>
      </c>
      <c r="U1002" t="s">
        <v>3709</v>
      </c>
    </row>
    <row r="1003" spans="1:21" x14ac:dyDescent="0.35">
      <c r="A1003" t="s">
        <v>3765</v>
      </c>
      <c r="B1003" t="s">
        <v>3766</v>
      </c>
      <c r="C1003">
        <v>3075</v>
      </c>
      <c r="D1003" s="5">
        <v>0.59727799999999998</v>
      </c>
      <c r="E1003" s="5">
        <v>4.3533439999999999</v>
      </c>
      <c r="F1003" s="5">
        <v>4.7513360000000002</v>
      </c>
      <c r="G1003" s="5">
        <v>1.5715939999999999</v>
      </c>
      <c r="H1003" s="11">
        <v>0</v>
      </c>
      <c r="I1003" s="11">
        <v>0</v>
      </c>
      <c r="J1003" s="11">
        <v>0</v>
      </c>
      <c r="K1003" s="7">
        <f t="shared" si="32"/>
        <v>2.8183880000000001</v>
      </c>
      <c r="L1003" s="8">
        <f t="shared" si="33"/>
        <v>0</v>
      </c>
      <c r="M1003" s="9">
        <v>5.7676344712325503E-8</v>
      </c>
      <c r="N1003" s="9">
        <v>8.8300952524179804E-7</v>
      </c>
      <c r="O1003" s="2">
        <v>-4.55370260818066</v>
      </c>
      <c r="P1003" t="s">
        <v>3765</v>
      </c>
      <c r="Q1003" s="10">
        <f>IF(N1003&lt;='[1]statistical criteria'!$B$2,IF(O1003&gt;=LOG('[1]statistical criteria'!$B$3,2),1,IF(O1003&lt;=-1*LOG('[1]statistical criteria'!$B$3,2),2,"-")),"-")</f>
        <v>2</v>
      </c>
      <c r="R1003" t="s">
        <v>3767</v>
      </c>
      <c r="S1003" t="s">
        <v>3768</v>
      </c>
      <c r="T1003">
        <v>0</v>
      </c>
      <c r="U1003" t="s">
        <v>3769</v>
      </c>
    </row>
    <row r="1004" spans="1:21" x14ac:dyDescent="0.35">
      <c r="A1004" t="s">
        <v>3770</v>
      </c>
      <c r="C1004">
        <v>447</v>
      </c>
      <c r="D1004" s="5">
        <v>12.754697999999999</v>
      </c>
      <c r="E1004" s="5">
        <v>6.2794720000000002</v>
      </c>
      <c r="F1004" s="5">
        <v>21.088177000000002</v>
      </c>
      <c r="G1004" s="5">
        <v>11.644133999999999</v>
      </c>
      <c r="H1004" s="11">
        <v>0</v>
      </c>
      <c r="I1004" s="11">
        <v>0</v>
      </c>
      <c r="J1004" s="11">
        <v>0</v>
      </c>
      <c r="K1004" s="7">
        <f t="shared" si="32"/>
        <v>12.941620250000001</v>
      </c>
      <c r="L1004" s="8">
        <f t="shared" si="33"/>
        <v>0</v>
      </c>
      <c r="M1004" s="9">
        <v>1.8595836264932801E-7</v>
      </c>
      <c r="N1004" s="9">
        <v>2.51512980896711E-6</v>
      </c>
      <c r="O1004" s="2">
        <v>-4.5537169562895103</v>
      </c>
      <c r="P1004" t="s">
        <v>3770</v>
      </c>
      <c r="Q1004" s="10">
        <f>IF(N1004&lt;='[1]statistical criteria'!$B$2,IF(O1004&gt;=LOG('[1]statistical criteria'!$B$3,2),1,IF(O1004&lt;=-1*LOG('[1]statistical criteria'!$B$3,2),2,"-")),"-")</f>
        <v>2</v>
      </c>
    </row>
    <row r="1005" spans="1:21" x14ac:dyDescent="0.35">
      <c r="A1005" t="s">
        <v>3771</v>
      </c>
      <c r="B1005" t="s">
        <v>3772</v>
      </c>
      <c r="C1005">
        <v>810</v>
      </c>
      <c r="D1005" s="5">
        <v>14.019603999999999</v>
      </c>
      <c r="E1005" s="5">
        <v>30.084142</v>
      </c>
      <c r="F1005" s="5">
        <v>18.316732999999999</v>
      </c>
      <c r="G1005" s="5">
        <v>5.4029550000000004</v>
      </c>
      <c r="H1005" s="11">
        <v>0</v>
      </c>
      <c r="I1005" s="6">
        <v>0.58772899999999995</v>
      </c>
      <c r="J1005" s="6">
        <v>0.207459</v>
      </c>
      <c r="K1005" s="7">
        <f t="shared" si="32"/>
        <v>16.955858500000001</v>
      </c>
      <c r="L1005" s="8">
        <f t="shared" si="33"/>
        <v>0.26506266666666667</v>
      </c>
      <c r="M1005" s="9">
        <v>9.4627934546613195E-9</v>
      </c>
      <c r="N1005" s="9">
        <v>1.6996409574535601E-7</v>
      </c>
      <c r="O1005" s="2">
        <v>-4.5540982862941704</v>
      </c>
      <c r="P1005" t="s">
        <v>3771</v>
      </c>
      <c r="Q1005" s="10">
        <f>IF(N1005&lt;='[1]statistical criteria'!$B$2,IF(O1005&gt;=LOG('[1]statistical criteria'!$B$3,2),1,IF(O1005&lt;=-1*LOG('[1]statistical criteria'!$B$3,2),2,"-")),"-")</f>
        <v>2</v>
      </c>
      <c r="R1005" t="s">
        <v>3773</v>
      </c>
      <c r="S1005" t="s">
        <v>3774</v>
      </c>
      <c r="T1005" s="9">
        <v>2.9999999999999999E-110</v>
      </c>
      <c r="U1005" t="s">
        <v>1234</v>
      </c>
    </row>
    <row r="1006" spans="1:21" x14ac:dyDescent="0.35">
      <c r="A1006" t="s">
        <v>3775</v>
      </c>
      <c r="B1006" t="s">
        <v>3776</v>
      </c>
      <c r="C1006">
        <v>809</v>
      </c>
      <c r="D1006" s="5">
        <v>2.8760059999999998</v>
      </c>
      <c r="E1006" s="5">
        <v>4.7545270000000004</v>
      </c>
      <c r="F1006" s="5">
        <v>4.8701210000000001</v>
      </c>
      <c r="G1006" s="5">
        <v>3.1935929999999999</v>
      </c>
      <c r="H1006" s="11">
        <v>0</v>
      </c>
      <c r="I1006" s="11">
        <v>0</v>
      </c>
      <c r="J1006" s="11">
        <v>0</v>
      </c>
      <c r="K1006" s="7">
        <f t="shared" si="32"/>
        <v>3.9235617500000002</v>
      </c>
      <c r="L1006" s="8">
        <f t="shared" si="33"/>
        <v>0</v>
      </c>
      <c r="M1006" s="9">
        <v>7.0432007432049699E-7</v>
      </c>
      <c r="N1006" s="9">
        <v>8.4270424484873105E-6</v>
      </c>
      <c r="O1006" s="2">
        <v>-4.5551825053487898</v>
      </c>
      <c r="P1006" t="s">
        <v>3775</v>
      </c>
      <c r="Q1006" s="10">
        <f>IF(N1006&lt;='[1]statistical criteria'!$B$2,IF(O1006&gt;=LOG('[1]statistical criteria'!$B$3,2),1,IF(O1006&lt;=-1*LOG('[1]statistical criteria'!$B$3,2),2,"-")),"-")</f>
        <v>2</v>
      </c>
      <c r="R1006" t="s">
        <v>3777</v>
      </c>
      <c r="S1006" t="s">
        <v>3778</v>
      </c>
      <c r="T1006" s="9">
        <v>9E-46</v>
      </c>
      <c r="U1006" t="s">
        <v>3779</v>
      </c>
    </row>
    <row r="1007" spans="1:21" x14ac:dyDescent="0.35">
      <c r="A1007" t="s">
        <v>3780</v>
      </c>
      <c r="B1007" t="s">
        <v>3781</v>
      </c>
      <c r="C1007">
        <v>366</v>
      </c>
      <c r="D1007" s="5">
        <v>22.299353</v>
      </c>
      <c r="E1007" s="5">
        <v>21.495585999999999</v>
      </c>
      <c r="F1007" s="5">
        <v>5.0529580000000003</v>
      </c>
      <c r="G1007" s="5">
        <v>7.089213</v>
      </c>
      <c r="H1007" s="11">
        <v>0</v>
      </c>
      <c r="I1007" s="11">
        <v>0</v>
      </c>
      <c r="J1007" s="11">
        <v>0</v>
      </c>
      <c r="K1007" s="7">
        <f t="shared" si="32"/>
        <v>13.984277500000001</v>
      </c>
      <c r="L1007" s="8">
        <f t="shared" si="33"/>
        <v>0</v>
      </c>
      <c r="M1007" s="9">
        <v>1.15735202702201E-6</v>
      </c>
      <c r="N1007" s="9">
        <v>1.31214829158349E-5</v>
      </c>
      <c r="O1007" s="2">
        <v>-4.5554810128027796</v>
      </c>
      <c r="P1007" t="s">
        <v>3780</v>
      </c>
      <c r="Q1007" s="10">
        <f>IF(N1007&lt;='[1]statistical criteria'!$B$2,IF(O1007&gt;=LOG('[1]statistical criteria'!$B$3,2),1,IF(O1007&lt;=-1*LOG('[1]statistical criteria'!$B$3,2),2,"-")),"-")</f>
        <v>2</v>
      </c>
    </row>
    <row r="1008" spans="1:21" x14ac:dyDescent="0.35">
      <c r="A1008" t="s">
        <v>3782</v>
      </c>
      <c r="B1008" t="s">
        <v>3783</v>
      </c>
      <c r="C1008">
        <v>1314</v>
      </c>
      <c r="D1008" s="5">
        <v>1.8354820000000001</v>
      </c>
      <c r="E1008" s="5">
        <v>4.5057850000000004</v>
      </c>
      <c r="F1008" s="5">
        <v>11.741237</v>
      </c>
      <c r="G1008" s="5">
        <v>2.213295</v>
      </c>
      <c r="H1008" s="11">
        <v>0</v>
      </c>
      <c r="I1008" s="11">
        <v>0</v>
      </c>
      <c r="J1008" s="11">
        <v>0</v>
      </c>
      <c r="K1008" s="7">
        <f t="shared" si="32"/>
        <v>5.0739497499999997</v>
      </c>
      <c r="L1008" s="8">
        <f t="shared" si="33"/>
        <v>0</v>
      </c>
      <c r="M1008" s="9">
        <v>3.2621836567587103E-8</v>
      </c>
      <c r="N1008" s="9">
        <v>5.2542831136790704E-7</v>
      </c>
      <c r="O1008" s="2">
        <v>-4.55587190347355</v>
      </c>
      <c r="P1008" t="s">
        <v>3782</v>
      </c>
      <c r="Q1008" s="10">
        <f>IF(N1008&lt;='[1]statistical criteria'!$B$2,IF(O1008&gt;=LOG('[1]statistical criteria'!$B$3,2),1,IF(O1008&lt;=-1*LOG('[1]statistical criteria'!$B$3,2),2,"-")),"-")</f>
        <v>2</v>
      </c>
      <c r="R1008" t="s">
        <v>3191</v>
      </c>
      <c r="S1008" t="s">
        <v>3192</v>
      </c>
      <c r="T1008" s="9">
        <v>1E-167</v>
      </c>
      <c r="U1008" t="s">
        <v>3193</v>
      </c>
    </row>
    <row r="1009" spans="1:21" x14ac:dyDescent="0.35">
      <c r="A1009" t="s">
        <v>3784</v>
      </c>
      <c r="B1009" t="s">
        <v>3785</v>
      </c>
      <c r="C1009">
        <v>768</v>
      </c>
      <c r="D1009" s="5">
        <v>1.9432450000000001</v>
      </c>
      <c r="E1009" s="5">
        <v>5.3694559999999996</v>
      </c>
      <c r="F1009" s="5">
        <v>6.7836360000000004</v>
      </c>
      <c r="G1009" s="5">
        <v>1.822173</v>
      </c>
      <c r="H1009" s="11">
        <v>0</v>
      </c>
      <c r="I1009" s="11">
        <v>0</v>
      </c>
      <c r="J1009" s="11">
        <v>0</v>
      </c>
      <c r="K1009" s="7">
        <f t="shared" si="32"/>
        <v>3.9796274999999999</v>
      </c>
      <c r="L1009" s="8">
        <f t="shared" si="33"/>
        <v>0</v>
      </c>
      <c r="M1009" s="9">
        <v>1.31263092965474E-6</v>
      </c>
      <c r="N1009" s="9">
        <v>1.4676478608301801E-5</v>
      </c>
      <c r="O1009" s="2">
        <v>-4.5592333974699599</v>
      </c>
      <c r="P1009" t="s">
        <v>3784</v>
      </c>
      <c r="Q1009" s="10">
        <f>IF(N1009&lt;='[1]statistical criteria'!$B$2,IF(O1009&gt;=LOG('[1]statistical criteria'!$B$3,2),1,IF(O1009&lt;=-1*LOG('[1]statistical criteria'!$B$3,2),2,"-")),"-")</f>
        <v>2</v>
      </c>
      <c r="R1009" t="s">
        <v>773</v>
      </c>
      <c r="S1009" t="s">
        <v>3196</v>
      </c>
      <c r="T1009" s="9">
        <v>2E-55</v>
      </c>
      <c r="U1009" t="s">
        <v>160</v>
      </c>
    </row>
    <row r="1010" spans="1:21" x14ac:dyDescent="0.35">
      <c r="A1010" t="s">
        <v>3786</v>
      </c>
      <c r="B1010" t="s">
        <v>3787</v>
      </c>
      <c r="C1010">
        <v>963</v>
      </c>
      <c r="D1010" s="5">
        <v>1.673875</v>
      </c>
      <c r="E1010" s="5">
        <v>1.6877489999999999</v>
      </c>
      <c r="F1010" s="5">
        <v>5.2522970000000004</v>
      </c>
      <c r="G1010" s="5">
        <v>3.3504299999999998</v>
      </c>
      <c r="H1010" s="11">
        <v>0</v>
      </c>
      <c r="I1010" s="11">
        <v>0</v>
      </c>
      <c r="J1010" s="11">
        <v>0</v>
      </c>
      <c r="K1010" s="7">
        <f t="shared" si="32"/>
        <v>2.9910877500000002</v>
      </c>
      <c r="L1010" s="8">
        <f t="shared" si="33"/>
        <v>0</v>
      </c>
      <c r="M1010" s="9">
        <v>1.5564389814230602E-8</v>
      </c>
      <c r="N1010" s="9">
        <v>2.6768218541781098E-7</v>
      </c>
      <c r="O1010" s="2">
        <v>-4.5603181014604202</v>
      </c>
      <c r="P1010" t="s">
        <v>3786</v>
      </c>
      <c r="Q1010" s="10">
        <f>IF(N1010&lt;='[1]statistical criteria'!$B$2,IF(O1010&gt;=LOG('[1]statistical criteria'!$B$3,2),1,IF(O1010&lt;=-1*LOG('[1]statistical criteria'!$B$3,2),2,"-")),"-")</f>
        <v>2</v>
      </c>
      <c r="R1010" t="s">
        <v>387</v>
      </c>
      <c r="S1010" t="s">
        <v>388</v>
      </c>
      <c r="T1010" s="9">
        <v>6.9999999999999997E-144</v>
      </c>
      <c r="U1010" t="s">
        <v>389</v>
      </c>
    </row>
    <row r="1011" spans="1:21" x14ac:dyDescent="0.35">
      <c r="A1011" t="s">
        <v>3788</v>
      </c>
      <c r="B1011" t="s">
        <v>3789</v>
      </c>
      <c r="C1011">
        <v>1428</v>
      </c>
      <c r="D1011" s="5">
        <v>4.7952089999999998</v>
      </c>
      <c r="E1011" s="5">
        <v>2.411044</v>
      </c>
      <c r="F1011" s="5">
        <v>3.2341340000000001</v>
      </c>
      <c r="G1011" s="5">
        <v>5.2896749999999999</v>
      </c>
      <c r="H1011" s="11">
        <v>0</v>
      </c>
      <c r="I1011" s="11">
        <v>0</v>
      </c>
      <c r="J1011" s="11">
        <v>0</v>
      </c>
      <c r="K1011" s="7">
        <f t="shared" si="32"/>
        <v>3.9325155000000001</v>
      </c>
      <c r="L1011" s="8">
        <f t="shared" si="33"/>
        <v>0</v>
      </c>
      <c r="M1011" s="9">
        <v>4.3712576540394698E-7</v>
      </c>
      <c r="N1011" s="9">
        <v>5.4763023802745998E-6</v>
      </c>
      <c r="O1011" s="2">
        <v>-4.5651331132663397</v>
      </c>
      <c r="P1011" t="s">
        <v>3788</v>
      </c>
      <c r="Q1011" s="10">
        <f>IF(N1011&lt;='[1]statistical criteria'!$B$2,IF(O1011&gt;=LOG('[1]statistical criteria'!$B$3,2),1,IF(O1011&lt;=-1*LOG('[1]statistical criteria'!$B$3,2),2,"-")),"-")</f>
        <v>2</v>
      </c>
      <c r="R1011" t="s">
        <v>3790</v>
      </c>
      <c r="S1011" t="s">
        <v>3791</v>
      </c>
      <c r="T1011">
        <v>0</v>
      </c>
      <c r="U1011" t="s">
        <v>3792</v>
      </c>
    </row>
    <row r="1012" spans="1:21" x14ac:dyDescent="0.35">
      <c r="A1012" t="s">
        <v>3793</v>
      </c>
      <c r="B1012" t="s">
        <v>3794</v>
      </c>
      <c r="C1012">
        <v>1971</v>
      </c>
      <c r="D1012" s="5">
        <v>10.729431</v>
      </c>
      <c r="E1012" s="5">
        <v>13.385838</v>
      </c>
      <c r="F1012" s="5">
        <v>11.718477</v>
      </c>
      <c r="G1012" s="5">
        <v>6.262143</v>
      </c>
      <c r="H1012" s="6">
        <v>2.1190920000000002</v>
      </c>
      <c r="I1012" s="11">
        <v>0</v>
      </c>
      <c r="J1012" s="11">
        <v>0</v>
      </c>
      <c r="K1012" s="7">
        <f t="shared" si="32"/>
        <v>10.52397225</v>
      </c>
      <c r="L1012" s="8">
        <f t="shared" si="33"/>
        <v>0.7063640000000001</v>
      </c>
      <c r="M1012" s="9">
        <v>4.1269262377006102E-10</v>
      </c>
      <c r="N1012" s="9">
        <v>9.4336824388519603E-9</v>
      </c>
      <c r="O1012" s="2">
        <v>-4.5693083987879604</v>
      </c>
      <c r="P1012" t="s">
        <v>3793</v>
      </c>
      <c r="Q1012" s="10">
        <f>IF(N1012&lt;='[1]statistical criteria'!$B$2,IF(O1012&gt;=LOG('[1]statistical criteria'!$B$3,2),1,IF(O1012&lt;=-1*LOG('[1]statistical criteria'!$B$3,2),2,"-")),"-")</f>
        <v>2</v>
      </c>
    </row>
    <row r="1013" spans="1:21" x14ac:dyDescent="0.35">
      <c r="A1013" t="s">
        <v>3795</v>
      </c>
      <c r="B1013" t="s">
        <v>3796</v>
      </c>
      <c r="C1013">
        <v>1073</v>
      </c>
      <c r="D1013" s="5">
        <v>8.6158780000000004</v>
      </c>
      <c r="E1013" s="5">
        <v>9.5066369999999996</v>
      </c>
      <c r="F1013" s="5">
        <v>9.5413610000000002</v>
      </c>
      <c r="G1013" s="5">
        <v>6.6134250000000003</v>
      </c>
      <c r="H1013" s="6">
        <v>0.82548900000000003</v>
      </c>
      <c r="I1013" s="11">
        <v>0</v>
      </c>
      <c r="J1013" s="11">
        <v>0</v>
      </c>
      <c r="K1013" s="7">
        <f t="shared" si="32"/>
        <v>8.5693252500000003</v>
      </c>
      <c r="L1013" s="8">
        <f t="shared" si="33"/>
        <v>0.27516299999999999</v>
      </c>
      <c r="M1013" s="9">
        <v>1.0053096696581499E-15</v>
      </c>
      <c r="N1013" s="9">
        <v>5.3814466986201198E-14</v>
      </c>
      <c r="O1013" s="2">
        <v>-4.5694671631608896</v>
      </c>
      <c r="P1013" t="s">
        <v>3795</v>
      </c>
      <c r="Q1013" s="10">
        <f>IF(N1013&lt;='[1]statistical criteria'!$B$2,IF(O1013&gt;=LOG('[1]statistical criteria'!$B$3,2),1,IF(O1013&lt;=-1*LOG('[1]statistical criteria'!$B$3,2),2,"-")),"-")</f>
        <v>2</v>
      </c>
      <c r="R1013" t="s">
        <v>3797</v>
      </c>
      <c r="S1013" t="s">
        <v>3798</v>
      </c>
      <c r="T1013" s="9">
        <v>2.0000000000000001E-166</v>
      </c>
      <c r="U1013" t="s">
        <v>3799</v>
      </c>
    </row>
    <row r="1014" spans="1:21" x14ac:dyDescent="0.35">
      <c r="A1014" t="s">
        <v>3800</v>
      </c>
      <c r="B1014" t="s">
        <v>3801</v>
      </c>
      <c r="C1014">
        <v>483</v>
      </c>
      <c r="D1014" s="5">
        <v>12.063554999999999</v>
      </c>
      <c r="E1014" s="5">
        <v>9.7660389999999992</v>
      </c>
      <c r="F1014" s="5">
        <v>13.773216</v>
      </c>
      <c r="G1014" s="5">
        <v>14.599717999999999</v>
      </c>
      <c r="H1014" s="11">
        <v>0</v>
      </c>
      <c r="I1014" s="11">
        <v>0</v>
      </c>
      <c r="J1014" s="11">
        <v>0</v>
      </c>
      <c r="K1014" s="7">
        <f t="shared" si="32"/>
        <v>12.550632</v>
      </c>
      <c r="L1014" s="8">
        <f t="shared" si="33"/>
        <v>0</v>
      </c>
      <c r="M1014" s="9">
        <v>6.0028852514302996E-7</v>
      </c>
      <c r="N1014" s="9">
        <v>7.2818408864153398E-6</v>
      </c>
      <c r="O1014" s="2">
        <v>-4.5722522377603898</v>
      </c>
      <c r="P1014" t="s">
        <v>3800</v>
      </c>
      <c r="Q1014" s="10">
        <f>IF(N1014&lt;='[1]statistical criteria'!$B$2,IF(O1014&gt;=LOG('[1]statistical criteria'!$B$3,2),1,IF(O1014&lt;=-1*LOG('[1]statistical criteria'!$B$3,2),2,"-")),"-")</f>
        <v>2</v>
      </c>
      <c r="R1014" t="s">
        <v>3802</v>
      </c>
      <c r="S1014" t="s">
        <v>3803</v>
      </c>
      <c r="T1014" s="9">
        <v>2E-45</v>
      </c>
      <c r="U1014" t="s">
        <v>3804</v>
      </c>
    </row>
    <row r="1015" spans="1:21" x14ac:dyDescent="0.35">
      <c r="A1015" t="s">
        <v>375</v>
      </c>
      <c r="B1015" t="s">
        <v>376</v>
      </c>
      <c r="C1015">
        <v>807</v>
      </c>
      <c r="D1015" s="5">
        <v>0.274951</v>
      </c>
      <c r="E1015" s="5">
        <v>5.0050790000000003</v>
      </c>
      <c r="F1015" s="5">
        <v>19.085864000000001</v>
      </c>
      <c r="G1015" s="5">
        <v>5.5903470000000004</v>
      </c>
      <c r="H1015" s="11">
        <v>0</v>
      </c>
      <c r="I1015" s="11">
        <v>0</v>
      </c>
      <c r="J1015" s="11">
        <v>0</v>
      </c>
      <c r="K1015" s="7">
        <f t="shared" si="32"/>
        <v>7.4890602500000005</v>
      </c>
      <c r="L1015" s="8">
        <f t="shared" si="33"/>
        <v>0</v>
      </c>
      <c r="M1015" s="9">
        <v>1.0517357748584899E-6</v>
      </c>
      <c r="N1015" s="9">
        <v>1.2024350733287599E-5</v>
      </c>
      <c r="O1015" s="2">
        <v>-4.5739638253342596</v>
      </c>
      <c r="P1015" t="s">
        <v>375</v>
      </c>
      <c r="Q1015" s="10">
        <f>IF(N1015&lt;='[1]statistical criteria'!$B$2,IF(O1015&gt;=LOG('[1]statistical criteria'!$B$3,2),1,IF(O1015&lt;=-1*LOG('[1]statistical criteria'!$B$3,2),2,"-")),"-")</f>
        <v>2</v>
      </c>
      <c r="R1015" t="s">
        <v>416</v>
      </c>
    </row>
    <row r="1016" spans="1:21" x14ac:dyDescent="0.35">
      <c r="A1016" t="s">
        <v>3805</v>
      </c>
      <c r="B1016" t="s">
        <v>3806</v>
      </c>
      <c r="C1016">
        <v>1116</v>
      </c>
      <c r="D1016" s="5">
        <v>6.4507669999999999</v>
      </c>
      <c r="E1016" s="5">
        <v>8.8370139999999999</v>
      </c>
      <c r="F1016" s="5">
        <v>1.5406880000000001</v>
      </c>
      <c r="G1016" s="5">
        <v>5.774896</v>
      </c>
      <c r="H1016" s="11">
        <v>0</v>
      </c>
      <c r="I1016" s="11">
        <v>0</v>
      </c>
      <c r="J1016" s="11">
        <v>0</v>
      </c>
      <c r="K1016" s="7">
        <f t="shared" si="32"/>
        <v>5.6508412499999991</v>
      </c>
      <c r="L1016" s="8">
        <f t="shared" si="33"/>
        <v>0</v>
      </c>
      <c r="M1016" s="9">
        <v>5.5585913907618899E-8</v>
      </c>
      <c r="N1016" s="9">
        <v>8.5444260231178296E-7</v>
      </c>
      <c r="O1016" s="2">
        <v>-4.5783868063136204</v>
      </c>
      <c r="P1016" t="s">
        <v>3805</v>
      </c>
      <c r="Q1016" s="10">
        <f>IF(N1016&lt;='[1]statistical criteria'!$B$2,IF(O1016&gt;=LOG('[1]statistical criteria'!$B$3,2),1,IF(O1016&lt;=-1*LOG('[1]statistical criteria'!$B$3,2),2,"-")),"-")</f>
        <v>2</v>
      </c>
      <c r="R1016" t="s">
        <v>3191</v>
      </c>
      <c r="S1016" t="s">
        <v>3192</v>
      </c>
      <c r="T1016" s="9">
        <v>7.0000000000000003E-155</v>
      </c>
      <c r="U1016" t="s">
        <v>3193</v>
      </c>
    </row>
    <row r="1017" spans="1:21" x14ac:dyDescent="0.35">
      <c r="A1017" t="s">
        <v>3807</v>
      </c>
      <c r="B1017" t="s">
        <v>3808</v>
      </c>
      <c r="C1017">
        <v>2202</v>
      </c>
      <c r="D1017" s="5">
        <v>9.2357479999999992</v>
      </c>
      <c r="E1017" s="5">
        <v>7.8904629999999996</v>
      </c>
      <c r="F1017" s="5">
        <v>6.4886780000000002</v>
      </c>
      <c r="G1017" s="5">
        <v>7.0590489999999999</v>
      </c>
      <c r="H1017" s="6">
        <v>0.419074</v>
      </c>
      <c r="I1017" s="11">
        <v>0</v>
      </c>
      <c r="J1017" s="11">
        <v>0</v>
      </c>
      <c r="K1017" s="7">
        <f t="shared" si="32"/>
        <v>7.6684844999999999</v>
      </c>
      <c r="L1017" s="8">
        <f t="shared" si="33"/>
        <v>0.13969133333333333</v>
      </c>
      <c r="M1017" s="9">
        <v>4.3163355039496502E-10</v>
      </c>
      <c r="N1017" s="9">
        <v>9.8136038996608995E-9</v>
      </c>
      <c r="O1017" s="2">
        <v>-4.5793514088703198</v>
      </c>
      <c r="P1017" t="s">
        <v>3807</v>
      </c>
      <c r="Q1017" s="10">
        <f>IF(N1017&lt;='[1]statistical criteria'!$B$2,IF(O1017&gt;=LOG('[1]statistical criteria'!$B$3,2),1,IF(O1017&lt;=-1*LOG('[1]statistical criteria'!$B$3,2),2,"-")),"-")</f>
        <v>2</v>
      </c>
      <c r="R1017" t="s">
        <v>2633</v>
      </c>
      <c r="S1017" t="s">
        <v>2634</v>
      </c>
      <c r="T1017">
        <v>0</v>
      </c>
      <c r="U1017" t="s">
        <v>2635</v>
      </c>
    </row>
    <row r="1018" spans="1:21" x14ac:dyDescent="0.35">
      <c r="A1018" t="s">
        <v>3809</v>
      </c>
      <c r="B1018" t="s">
        <v>3810</v>
      </c>
      <c r="C1018">
        <v>1974</v>
      </c>
      <c r="D1018" s="5">
        <v>1.3406169999999999</v>
      </c>
      <c r="E1018" s="5">
        <v>3.7319279999999999</v>
      </c>
      <c r="F1018" s="5">
        <v>4.3652610000000003</v>
      </c>
      <c r="G1018" s="5">
        <v>4.9085859999999997</v>
      </c>
      <c r="H1018" s="11">
        <v>0</v>
      </c>
      <c r="I1018" s="11">
        <v>0</v>
      </c>
      <c r="J1018" s="11">
        <v>0</v>
      </c>
      <c r="K1018" s="7">
        <f t="shared" si="32"/>
        <v>3.586598</v>
      </c>
      <c r="L1018" s="8">
        <f t="shared" si="33"/>
        <v>0</v>
      </c>
      <c r="M1018" s="9">
        <v>9.9556168810508099E-7</v>
      </c>
      <c r="N1018" s="9">
        <v>1.1489107898508001E-5</v>
      </c>
      <c r="O1018" s="2">
        <v>-4.58184434802636</v>
      </c>
      <c r="P1018" t="s">
        <v>3809</v>
      </c>
      <c r="Q1018" s="10">
        <f>IF(N1018&lt;='[1]statistical criteria'!$B$2,IF(O1018&gt;=LOG('[1]statistical criteria'!$B$3,2),1,IF(O1018&lt;=-1*LOG('[1]statistical criteria'!$B$3,2),2,"-")),"-")</f>
        <v>2</v>
      </c>
      <c r="R1018" t="s">
        <v>3811</v>
      </c>
      <c r="S1018" t="s">
        <v>3812</v>
      </c>
      <c r="T1018">
        <v>0</v>
      </c>
      <c r="U1018" t="s">
        <v>3813</v>
      </c>
    </row>
    <row r="1019" spans="1:21" x14ac:dyDescent="0.35">
      <c r="A1019" t="s">
        <v>3814</v>
      </c>
      <c r="B1019" t="s">
        <v>3815</v>
      </c>
      <c r="C1019">
        <v>1548</v>
      </c>
      <c r="D1019" s="5">
        <v>1.6545339999999999</v>
      </c>
      <c r="E1019" s="5">
        <v>3.140047</v>
      </c>
      <c r="F1019" s="5">
        <v>2.7588330000000001</v>
      </c>
      <c r="G1019" s="5">
        <v>5.807315</v>
      </c>
      <c r="H1019" s="11">
        <v>0</v>
      </c>
      <c r="I1019" s="11">
        <v>0</v>
      </c>
      <c r="J1019" s="11">
        <v>0</v>
      </c>
      <c r="K1019" s="7">
        <f t="shared" si="32"/>
        <v>3.3401822499999998</v>
      </c>
      <c r="L1019" s="8">
        <f t="shared" si="33"/>
        <v>0</v>
      </c>
      <c r="M1019" s="9">
        <v>8.6226775541125696E-7</v>
      </c>
      <c r="N1019" s="9">
        <v>1.0063756752822001E-5</v>
      </c>
      <c r="O1019" s="2">
        <v>-4.5848373958099602</v>
      </c>
      <c r="P1019" t="s">
        <v>3814</v>
      </c>
      <c r="Q1019" s="10">
        <f>IF(N1019&lt;='[1]statistical criteria'!$B$2,IF(O1019&gt;=LOG('[1]statistical criteria'!$B$3,2),1,IF(O1019&lt;=-1*LOG('[1]statistical criteria'!$B$3,2),2,"-")),"-")</f>
        <v>2</v>
      </c>
      <c r="R1019" t="s">
        <v>3816</v>
      </c>
      <c r="S1019" t="s">
        <v>3817</v>
      </c>
      <c r="T1019">
        <v>0</v>
      </c>
      <c r="U1019" t="s">
        <v>211</v>
      </c>
    </row>
    <row r="1020" spans="1:21" x14ac:dyDescent="0.35">
      <c r="A1020" t="s">
        <v>3818</v>
      </c>
      <c r="B1020" t="s">
        <v>3819</v>
      </c>
      <c r="C1020">
        <v>1240</v>
      </c>
      <c r="D1020" s="5">
        <v>3.800894</v>
      </c>
      <c r="E1020" s="5">
        <v>4.6923890000000004</v>
      </c>
      <c r="F1020" s="5">
        <v>7.6048590000000003</v>
      </c>
      <c r="G1020" s="5">
        <v>1.638034</v>
      </c>
      <c r="H1020" s="11">
        <v>0</v>
      </c>
      <c r="I1020" s="11">
        <v>0</v>
      </c>
      <c r="J1020" s="11">
        <v>0</v>
      </c>
      <c r="K1020" s="7">
        <f t="shared" si="32"/>
        <v>4.4340440000000001</v>
      </c>
      <c r="L1020" s="8">
        <f t="shared" si="33"/>
        <v>0</v>
      </c>
      <c r="M1020" s="9">
        <v>5.0494528094213201E-18</v>
      </c>
      <c r="N1020" s="9">
        <v>3.8359715354605898E-16</v>
      </c>
      <c r="O1020" s="2">
        <v>-4.58487913426411</v>
      </c>
      <c r="P1020" t="s">
        <v>3818</v>
      </c>
      <c r="Q1020" s="10">
        <f>IF(N1020&lt;='[1]statistical criteria'!$B$2,IF(O1020&gt;=LOG('[1]statistical criteria'!$B$3,2),1,IF(O1020&lt;=-1*LOG('[1]statistical criteria'!$B$3,2),2,"-")),"-")</f>
        <v>2</v>
      </c>
      <c r="R1020" t="s">
        <v>1117</v>
      </c>
      <c r="S1020" t="s">
        <v>3820</v>
      </c>
      <c r="T1020" s="9">
        <v>4.0000000000000003E-158</v>
      </c>
      <c r="U1020" t="s">
        <v>1119</v>
      </c>
    </row>
    <row r="1021" spans="1:21" x14ac:dyDescent="0.35">
      <c r="A1021" t="s">
        <v>3821</v>
      </c>
      <c r="B1021" t="s">
        <v>3822</v>
      </c>
      <c r="C1021">
        <v>1773</v>
      </c>
      <c r="D1021" s="5">
        <v>2.4707620000000001</v>
      </c>
      <c r="E1021" s="5">
        <v>2.1067070000000001</v>
      </c>
      <c r="F1021" s="5">
        <v>4.3558219999999999</v>
      </c>
      <c r="G1021" s="5">
        <v>4.3403650000000003</v>
      </c>
      <c r="H1021" s="11">
        <v>0</v>
      </c>
      <c r="I1021" s="11">
        <v>0</v>
      </c>
      <c r="J1021" s="11">
        <v>0</v>
      </c>
      <c r="K1021" s="7">
        <f t="shared" si="32"/>
        <v>3.3184140000000002</v>
      </c>
      <c r="L1021" s="8">
        <f t="shared" si="33"/>
        <v>0</v>
      </c>
      <c r="M1021" s="9">
        <v>6.0524171561354997E-7</v>
      </c>
      <c r="N1021" s="9">
        <v>7.3338107915478303E-6</v>
      </c>
      <c r="O1021" s="2">
        <v>-4.5886206975556201</v>
      </c>
      <c r="P1021" t="s">
        <v>3821</v>
      </c>
      <c r="Q1021" s="10">
        <f>IF(N1021&lt;='[1]statistical criteria'!$B$2,IF(O1021&gt;=LOG('[1]statistical criteria'!$B$3,2),1,IF(O1021&lt;=-1*LOG('[1]statistical criteria'!$B$3,2),2,"-")),"-")</f>
        <v>2</v>
      </c>
      <c r="R1021" t="s">
        <v>3823</v>
      </c>
      <c r="S1021" t="s">
        <v>3824</v>
      </c>
      <c r="T1021" s="9">
        <v>1E-99</v>
      </c>
      <c r="U1021" t="s">
        <v>2798</v>
      </c>
    </row>
    <row r="1022" spans="1:21" x14ac:dyDescent="0.35">
      <c r="A1022" t="s">
        <v>3825</v>
      </c>
      <c r="B1022" t="s">
        <v>3826</v>
      </c>
      <c r="C1022">
        <v>1431</v>
      </c>
      <c r="D1022" s="5">
        <v>2.9179460000000002</v>
      </c>
      <c r="E1022" s="5">
        <v>1.563733</v>
      </c>
      <c r="F1022" s="5">
        <v>2.8113709999999998</v>
      </c>
      <c r="G1022" s="5">
        <v>3.0804930000000001</v>
      </c>
      <c r="H1022" s="11">
        <v>0</v>
      </c>
      <c r="I1022" s="11">
        <v>0</v>
      </c>
      <c r="J1022" s="11">
        <v>0</v>
      </c>
      <c r="K1022" s="7">
        <f t="shared" si="32"/>
        <v>2.5933857499999999</v>
      </c>
      <c r="L1022" s="8">
        <f t="shared" si="33"/>
        <v>0</v>
      </c>
      <c r="M1022" s="9">
        <v>1.6583800851906199E-10</v>
      </c>
      <c r="N1022" s="9">
        <v>4.0382563046932203E-9</v>
      </c>
      <c r="O1022" s="2">
        <v>-4.5893746795636901</v>
      </c>
      <c r="P1022" t="s">
        <v>3825</v>
      </c>
      <c r="Q1022" s="10">
        <f>IF(N1022&lt;='[1]statistical criteria'!$B$2,IF(O1022&gt;=LOG('[1]statistical criteria'!$B$3,2),1,IF(O1022&lt;=-1*LOG('[1]statistical criteria'!$B$3,2),2,"-")),"-")</f>
        <v>2</v>
      </c>
      <c r="R1022" t="s">
        <v>3827</v>
      </c>
    </row>
    <row r="1023" spans="1:21" x14ac:dyDescent="0.35">
      <c r="A1023" t="s">
        <v>3828</v>
      </c>
      <c r="B1023" t="s">
        <v>3829</v>
      </c>
      <c r="C1023">
        <v>1395</v>
      </c>
      <c r="D1023" s="5">
        <v>11.080437</v>
      </c>
      <c r="E1023" s="5">
        <v>6.5503289999999996</v>
      </c>
      <c r="F1023" s="5">
        <v>8.7614820000000009</v>
      </c>
      <c r="G1023" s="5">
        <v>11.651464000000001</v>
      </c>
      <c r="H1023" s="11">
        <v>0</v>
      </c>
      <c r="I1023" s="11">
        <v>0</v>
      </c>
      <c r="J1023" s="6">
        <v>0.57033100000000003</v>
      </c>
      <c r="K1023" s="7">
        <f t="shared" si="32"/>
        <v>9.5109279999999998</v>
      </c>
      <c r="L1023" s="8">
        <f t="shared" si="33"/>
        <v>0.19011033333333335</v>
      </c>
      <c r="M1023" s="9">
        <v>1.5544687435533099E-8</v>
      </c>
      <c r="N1023" s="9">
        <v>2.6746419701464299E-7</v>
      </c>
      <c r="O1023" s="2">
        <v>-4.5898361758432902</v>
      </c>
      <c r="P1023" t="s">
        <v>3828</v>
      </c>
      <c r="Q1023" s="10">
        <f>IF(N1023&lt;='[1]statistical criteria'!$B$2,IF(O1023&gt;=LOG('[1]statistical criteria'!$B$3,2),1,IF(O1023&lt;=-1*LOG('[1]statistical criteria'!$B$3,2),2,"-")),"-")</f>
        <v>2</v>
      </c>
      <c r="R1023" t="s">
        <v>3830</v>
      </c>
      <c r="S1023" t="s">
        <v>3831</v>
      </c>
      <c r="T1023">
        <v>0</v>
      </c>
      <c r="U1023" t="s">
        <v>982</v>
      </c>
    </row>
    <row r="1024" spans="1:21" x14ac:dyDescent="0.35">
      <c r="A1024" t="s">
        <v>3832</v>
      </c>
      <c r="B1024" t="s">
        <v>3833</v>
      </c>
      <c r="C1024">
        <v>429</v>
      </c>
      <c r="D1024" s="5">
        <v>39.436329000000001</v>
      </c>
      <c r="E1024" s="5">
        <v>24.345355999999999</v>
      </c>
      <c r="F1024" s="5">
        <v>36.693938000000003</v>
      </c>
      <c r="G1024" s="5">
        <v>44.951003</v>
      </c>
      <c r="H1024" s="11">
        <v>0</v>
      </c>
      <c r="I1024" s="6">
        <v>9.6485070000000004</v>
      </c>
      <c r="J1024" s="11">
        <v>0</v>
      </c>
      <c r="K1024" s="7">
        <f t="shared" si="32"/>
        <v>36.3566565</v>
      </c>
      <c r="L1024" s="8">
        <f t="shared" si="33"/>
        <v>3.2161690000000003</v>
      </c>
      <c r="M1024" s="9">
        <v>3.8709367035200597E-9</v>
      </c>
      <c r="N1024" s="9">
        <v>7.4785711135011999E-8</v>
      </c>
      <c r="O1024" s="2">
        <v>-4.6015085154183302</v>
      </c>
      <c r="P1024" t="s">
        <v>3832</v>
      </c>
      <c r="Q1024" s="10">
        <f>IF(N1024&lt;='[1]statistical criteria'!$B$2,IF(O1024&gt;=LOG('[1]statistical criteria'!$B$3,2),1,IF(O1024&lt;=-1*LOG('[1]statistical criteria'!$B$3,2),2,"-")),"-")</f>
        <v>2</v>
      </c>
    </row>
    <row r="1025" spans="1:21" x14ac:dyDescent="0.35">
      <c r="A1025" t="s">
        <v>3834</v>
      </c>
      <c r="B1025" t="s">
        <v>3835</v>
      </c>
      <c r="C1025">
        <v>2865</v>
      </c>
      <c r="D1025" s="5">
        <v>1.579626</v>
      </c>
      <c r="E1025" s="5">
        <v>4.2270409999999998</v>
      </c>
      <c r="F1025" s="5">
        <v>1.6242300000000001</v>
      </c>
      <c r="G1025" s="5">
        <v>1.368927</v>
      </c>
      <c r="H1025" s="11">
        <v>0</v>
      </c>
      <c r="I1025" s="11">
        <v>0</v>
      </c>
      <c r="J1025" s="11">
        <v>0</v>
      </c>
      <c r="K1025" s="7">
        <f t="shared" si="32"/>
        <v>2.1999559999999998</v>
      </c>
      <c r="L1025" s="8">
        <f t="shared" si="33"/>
        <v>0</v>
      </c>
      <c r="M1025" s="9">
        <v>8.02154696327228E-7</v>
      </c>
      <c r="N1025" s="9">
        <v>9.4637345760118692E-6</v>
      </c>
      <c r="O1025" s="2">
        <v>-4.6024051420635397</v>
      </c>
      <c r="P1025" t="s">
        <v>3834</v>
      </c>
      <c r="Q1025" s="10">
        <f>IF(N1025&lt;='[1]statistical criteria'!$B$2,IF(O1025&gt;=LOG('[1]statistical criteria'!$B$3,2),1,IF(O1025&lt;=-1*LOG('[1]statistical criteria'!$B$3,2),2,"-")),"-")</f>
        <v>2</v>
      </c>
      <c r="R1025" t="s">
        <v>3836</v>
      </c>
      <c r="S1025" t="s">
        <v>842</v>
      </c>
      <c r="T1025">
        <v>0</v>
      </c>
      <c r="U1025" t="s">
        <v>843</v>
      </c>
    </row>
    <row r="1026" spans="1:21" x14ac:dyDescent="0.35">
      <c r="A1026" t="s">
        <v>3837</v>
      </c>
      <c r="B1026" t="s">
        <v>3838</v>
      </c>
      <c r="C1026">
        <v>1812</v>
      </c>
      <c r="D1026" s="5">
        <v>2.386647</v>
      </c>
      <c r="E1026" s="5">
        <v>4.1685189999999999</v>
      </c>
      <c r="F1026" s="5">
        <v>9.6270930000000003</v>
      </c>
      <c r="G1026" s="5">
        <v>2.4502959999999998</v>
      </c>
      <c r="H1026" s="11">
        <v>0</v>
      </c>
      <c r="I1026" s="11">
        <v>0</v>
      </c>
      <c r="J1026" s="11">
        <v>0</v>
      </c>
      <c r="K1026" s="7">
        <f t="shared" si="32"/>
        <v>4.6581387500000009</v>
      </c>
      <c r="L1026" s="8">
        <f t="shared" si="33"/>
        <v>0</v>
      </c>
      <c r="M1026" s="9">
        <v>1.2019401200328199E-8</v>
      </c>
      <c r="N1026" s="9">
        <v>2.1217922527109999E-7</v>
      </c>
      <c r="O1026" s="2">
        <v>-4.6052114354249403</v>
      </c>
      <c r="P1026" t="s">
        <v>3837</v>
      </c>
      <c r="Q1026" s="10">
        <f>IF(N1026&lt;='[1]statistical criteria'!$B$2,IF(O1026&gt;=LOG('[1]statistical criteria'!$B$3,2),1,IF(O1026&lt;=-1*LOG('[1]statistical criteria'!$B$3,2),2,"-")),"-")</f>
        <v>2</v>
      </c>
      <c r="R1026" t="s">
        <v>3646</v>
      </c>
      <c r="S1026" t="s">
        <v>3647</v>
      </c>
      <c r="T1026" s="9">
        <v>4.9999999999999997E-68</v>
      </c>
      <c r="U1026" t="s">
        <v>3648</v>
      </c>
    </row>
    <row r="1027" spans="1:21" x14ac:dyDescent="0.35">
      <c r="A1027" t="s">
        <v>3839</v>
      </c>
      <c r="B1027" t="s">
        <v>2927</v>
      </c>
      <c r="C1027">
        <v>384</v>
      </c>
      <c r="D1027" s="5">
        <v>15.803806</v>
      </c>
      <c r="E1027" s="5">
        <v>14.622626</v>
      </c>
      <c r="F1027" s="5">
        <v>14.464745000000001</v>
      </c>
      <c r="G1027" s="5">
        <v>12.490671000000001</v>
      </c>
      <c r="H1027" s="11">
        <v>0</v>
      </c>
      <c r="I1027" s="11">
        <v>0</v>
      </c>
      <c r="J1027" s="11">
        <v>0</v>
      </c>
      <c r="K1027" s="7">
        <f t="shared" si="32"/>
        <v>14.345461999999999</v>
      </c>
      <c r="L1027" s="8">
        <f t="shared" si="33"/>
        <v>0</v>
      </c>
      <c r="M1027" s="9">
        <v>2.4084936113410602E-7</v>
      </c>
      <c r="N1027" s="9">
        <v>3.1906462529634899E-6</v>
      </c>
      <c r="O1027" s="2">
        <v>-4.6054792633283403</v>
      </c>
      <c r="P1027" t="s">
        <v>3839</v>
      </c>
      <c r="Q1027" s="10">
        <f>IF(N1027&lt;='[1]statistical criteria'!$B$2,IF(O1027&gt;=LOG('[1]statistical criteria'!$B$3,2),1,IF(O1027&lt;=-1*LOG('[1]statistical criteria'!$B$3,2),2,"-")),"-")</f>
        <v>2</v>
      </c>
    </row>
    <row r="1028" spans="1:21" x14ac:dyDescent="0.35">
      <c r="A1028" t="s">
        <v>3840</v>
      </c>
      <c r="B1028" t="s">
        <v>3841</v>
      </c>
      <c r="C1028">
        <v>1512</v>
      </c>
      <c r="D1028" s="5">
        <v>3.0329480000000002</v>
      </c>
      <c r="E1028" s="5">
        <v>1.1999690000000001</v>
      </c>
      <c r="F1028" s="5">
        <v>5.935676</v>
      </c>
      <c r="G1028" s="5">
        <v>1.6850080000000001</v>
      </c>
      <c r="H1028" s="11">
        <v>0</v>
      </c>
      <c r="I1028" s="11">
        <v>0</v>
      </c>
      <c r="J1028" s="11">
        <v>0</v>
      </c>
      <c r="K1028" s="7">
        <f t="shared" si="32"/>
        <v>2.9634002500000003</v>
      </c>
      <c r="L1028" s="8">
        <f t="shared" si="33"/>
        <v>0</v>
      </c>
      <c r="M1028" s="9">
        <v>8.25764570621335E-14</v>
      </c>
      <c r="N1028" s="9">
        <v>3.3577563630179499E-12</v>
      </c>
      <c r="O1028" s="2">
        <v>-4.6092203984417504</v>
      </c>
      <c r="P1028" t="s">
        <v>3840</v>
      </c>
      <c r="Q1028" s="10">
        <f>IF(N1028&lt;='[1]statistical criteria'!$B$2,IF(O1028&gt;=LOG('[1]statistical criteria'!$B$3,2),1,IF(O1028&lt;=-1*LOG('[1]statistical criteria'!$B$3,2),2,"-")),"-")</f>
        <v>2</v>
      </c>
      <c r="R1028" t="s">
        <v>3842</v>
      </c>
      <c r="S1028" t="s">
        <v>2658</v>
      </c>
      <c r="T1028" s="9">
        <v>2.9999999999999998E-137</v>
      </c>
      <c r="U1028" t="s">
        <v>2659</v>
      </c>
    </row>
    <row r="1029" spans="1:21" x14ac:dyDescent="0.35">
      <c r="A1029" t="s">
        <v>3843</v>
      </c>
      <c r="B1029" t="s">
        <v>3844</v>
      </c>
      <c r="C1029">
        <v>3138</v>
      </c>
      <c r="D1029" s="5">
        <v>1.7716689999999999</v>
      </c>
      <c r="E1029" s="5">
        <v>6.1424890000000003</v>
      </c>
      <c r="F1029" s="5">
        <v>2.8194910000000002</v>
      </c>
      <c r="G1029" s="5">
        <v>0.37005199999999999</v>
      </c>
      <c r="H1029" s="11">
        <v>0</v>
      </c>
      <c r="I1029" s="11">
        <v>0</v>
      </c>
      <c r="J1029" s="11">
        <v>0</v>
      </c>
      <c r="K1029" s="7">
        <f t="shared" si="32"/>
        <v>2.7759252499999998</v>
      </c>
      <c r="L1029" s="8">
        <f t="shared" si="33"/>
        <v>0</v>
      </c>
      <c r="M1029" s="9">
        <v>1.37932876494437E-9</v>
      </c>
      <c r="N1029" s="9">
        <v>2.9116612753068701E-8</v>
      </c>
      <c r="O1029" s="2">
        <v>-4.6100274875047402</v>
      </c>
      <c r="P1029" t="s">
        <v>3843</v>
      </c>
      <c r="Q1029" s="10">
        <f>IF(N1029&lt;='[1]statistical criteria'!$B$2,IF(O1029&gt;=LOG('[1]statistical criteria'!$B$3,2),1,IF(O1029&lt;=-1*LOG('[1]statistical criteria'!$B$3,2),2,"-")),"-")</f>
        <v>2</v>
      </c>
      <c r="R1029" t="s">
        <v>2911</v>
      </c>
    </row>
    <row r="1030" spans="1:21" x14ac:dyDescent="0.35">
      <c r="A1030" t="s">
        <v>3845</v>
      </c>
      <c r="B1030" t="s">
        <v>3846</v>
      </c>
      <c r="C1030">
        <v>444</v>
      </c>
      <c r="D1030" s="5">
        <v>198.29157799999999</v>
      </c>
      <c r="E1030" s="5">
        <v>390.670705</v>
      </c>
      <c r="F1030" s="5">
        <v>301.04249399999998</v>
      </c>
      <c r="G1030" s="5">
        <v>242.171369</v>
      </c>
      <c r="H1030" s="6">
        <v>3.784427</v>
      </c>
      <c r="I1030" s="6">
        <v>8.4584039999999998</v>
      </c>
      <c r="J1030" s="6">
        <v>2.2031019999999999</v>
      </c>
      <c r="K1030" s="7">
        <f t="shared" si="32"/>
        <v>283.04403649999995</v>
      </c>
      <c r="L1030" s="8">
        <f t="shared" si="33"/>
        <v>4.8153109999999995</v>
      </c>
      <c r="M1030" s="9">
        <v>3.3375005710176803E-58</v>
      </c>
      <c r="N1030" s="9">
        <v>4.2341757244311002E-55</v>
      </c>
      <c r="O1030" s="2">
        <v>-4.6127319532305604</v>
      </c>
      <c r="P1030" t="s">
        <v>3845</v>
      </c>
      <c r="Q1030" s="10">
        <f>IF(N1030&lt;='[1]statistical criteria'!$B$2,IF(O1030&gt;=LOG('[1]statistical criteria'!$B$3,2),1,IF(O1030&lt;=-1*LOG('[1]statistical criteria'!$B$3,2),2,"-")),"-")</f>
        <v>2</v>
      </c>
      <c r="R1030" t="s">
        <v>3847</v>
      </c>
    </row>
    <row r="1031" spans="1:21" x14ac:dyDescent="0.35">
      <c r="A1031" t="s">
        <v>3848</v>
      </c>
      <c r="B1031" t="s">
        <v>3849</v>
      </c>
      <c r="C1031">
        <v>3429</v>
      </c>
      <c r="D1031" s="5">
        <v>0.76124199999999997</v>
      </c>
      <c r="E1031" s="5">
        <v>2.2749670000000002</v>
      </c>
      <c r="F1031" s="5">
        <v>3.7143579999999998</v>
      </c>
      <c r="G1031" s="5">
        <v>1.4113169999999999</v>
      </c>
      <c r="H1031" s="11">
        <v>0</v>
      </c>
      <c r="I1031" s="11">
        <v>0</v>
      </c>
      <c r="J1031" s="11">
        <v>0</v>
      </c>
      <c r="K1031" s="7">
        <f t="shared" si="32"/>
        <v>2.0404710000000001</v>
      </c>
      <c r="L1031" s="8">
        <f t="shared" si="33"/>
        <v>0</v>
      </c>
      <c r="M1031" s="9">
        <v>2.4152695623569702E-10</v>
      </c>
      <c r="N1031" s="9">
        <v>5.7131858013241798E-9</v>
      </c>
      <c r="O1031" s="2">
        <v>-4.6151588749991701</v>
      </c>
      <c r="P1031" t="s">
        <v>3848</v>
      </c>
      <c r="Q1031" s="10">
        <f>IF(N1031&lt;='[1]statistical criteria'!$B$2,IF(O1031&gt;=LOG('[1]statistical criteria'!$B$3,2),1,IF(O1031&lt;=-1*LOG('[1]statistical criteria'!$B$3,2),2,"-")),"-")</f>
        <v>2</v>
      </c>
      <c r="R1031" t="s">
        <v>3850</v>
      </c>
      <c r="S1031" t="s">
        <v>3851</v>
      </c>
      <c r="T1031">
        <v>0</v>
      </c>
      <c r="U1031" t="s">
        <v>3852</v>
      </c>
    </row>
    <row r="1032" spans="1:21" x14ac:dyDescent="0.35">
      <c r="A1032" t="s">
        <v>3853</v>
      </c>
      <c r="B1032" t="s">
        <v>3854</v>
      </c>
      <c r="C1032">
        <v>871</v>
      </c>
      <c r="D1032" s="5">
        <v>40.464033999999998</v>
      </c>
      <c r="E1032" s="5">
        <v>75.237471999999997</v>
      </c>
      <c r="F1032" s="5">
        <v>70.709039000000004</v>
      </c>
      <c r="G1032" s="5">
        <v>52.303004000000001</v>
      </c>
      <c r="H1032" s="6">
        <v>2.4087209999999999</v>
      </c>
      <c r="I1032" s="11">
        <v>0</v>
      </c>
      <c r="J1032" s="6">
        <v>3.4177089999999999</v>
      </c>
      <c r="K1032" s="7">
        <f t="shared" si="32"/>
        <v>59.67838725</v>
      </c>
      <c r="L1032" s="8">
        <f t="shared" si="33"/>
        <v>1.9421433333333333</v>
      </c>
      <c r="M1032" s="9">
        <v>1.67205802774587E-10</v>
      </c>
      <c r="N1032" s="9">
        <v>4.0689596250644496E-9</v>
      </c>
      <c r="O1032" s="2">
        <v>-4.6211734844269499</v>
      </c>
      <c r="P1032" t="s">
        <v>3853</v>
      </c>
      <c r="Q1032" s="10">
        <f>IF(N1032&lt;='[1]statistical criteria'!$B$2,IF(O1032&gt;=LOG('[1]statistical criteria'!$B$3,2),1,IF(O1032&lt;=-1*LOG('[1]statistical criteria'!$B$3,2),2,"-")),"-")</f>
        <v>2</v>
      </c>
      <c r="R1032" t="s">
        <v>3855</v>
      </c>
      <c r="S1032" t="s">
        <v>3856</v>
      </c>
      <c r="T1032" s="9">
        <v>7E-72</v>
      </c>
      <c r="U1032" t="s">
        <v>3857</v>
      </c>
    </row>
    <row r="1033" spans="1:21" x14ac:dyDescent="0.35">
      <c r="A1033" t="s">
        <v>3858</v>
      </c>
      <c r="B1033" t="s">
        <v>3859</v>
      </c>
      <c r="C1033">
        <v>711</v>
      </c>
      <c r="D1033" s="5">
        <v>8.3437000000000001</v>
      </c>
      <c r="E1033" s="5">
        <v>18.996455999999998</v>
      </c>
      <c r="F1033" s="5">
        <v>7.4106319999999997</v>
      </c>
      <c r="G1033" s="5">
        <v>11.060786</v>
      </c>
      <c r="H1033" s="6">
        <v>0.32733000000000001</v>
      </c>
      <c r="I1033" s="11">
        <v>0</v>
      </c>
      <c r="J1033" s="11">
        <v>0</v>
      </c>
      <c r="K1033" s="7">
        <f t="shared" si="32"/>
        <v>11.4528935</v>
      </c>
      <c r="L1033" s="8">
        <f t="shared" si="33"/>
        <v>0.10911</v>
      </c>
      <c r="M1033" s="9">
        <v>9.90994295015919E-7</v>
      </c>
      <c r="N1033" s="9">
        <v>1.14433382488792E-5</v>
      </c>
      <c r="O1033" s="2">
        <v>-4.6260569914465997</v>
      </c>
      <c r="P1033" t="s">
        <v>3858</v>
      </c>
      <c r="Q1033" s="10">
        <f>IF(N1033&lt;='[1]statistical criteria'!$B$2,IF(O1033&gt;=LOG('[1]statistical criteria'!$B$3,2),1,IF(O1033&lt;=-1*LOG('[1]statistical criteria'!$B$3,2),2,"-")),"-")</f>
        <v>2</v>
      </c>
      <c r="R1033" t="s">
        <v>2801</v>
      </c>
      <c r="S1033" t="s">
        <v>2802</v>
      </c>
      <c r="T1033" s="9">
        <v>8.0000000000000001E-150</v>
      </c>
      <c r="U1033" t="s">
        <v>2803</v>
      </c>
    </row>
    <row r="1034" spans="1:21" x14ac:dyDescent="0.35">
      <c r="A1034" t="s">
        <v>3860</v>
      </c>
      <c r="B1034" t="s">
        <v>3861</v>
      </c>
      <c r="C1034">
        <v>606</v>
      </c>
      <c r="D1034" s="5">
        <v>20.473696</v>
      </c>
      <c r="E1034" s="5">
        <v>32.261096999999999</v>
      </c>
      <c r="F1034" s="5">
        <v>34.002918999999999</v>
      </c>
      <c r="G1034" s="5">
        <v>17.934104999999999</v>
      </c>
      <c r="H1034" s="6">
        <v>5.1574970000000002</v>
      </c>
      <c r="I1034" s="11">
        <v>0</v>
      </c>
      <c r="J1034" s="11">
        <v>0</v>
      </c>
      <c r="K1034" s="7">
        <f t="shared" si="32"/>
        <v>26.167954249999998</v>
      </c>
      <c r="L1034" s="8">
        <f t="shared" si="33"/>
        <v>1.7191656666666668</v>
      </c>
      <c r="M1034" s="9">
        <v>2.4998166746099301E-6</v>
      </c>
      <c r="N1034" s="9">
        <v>2.60880237553205E-5</v>
      </c>
      <c r="O1034" s="2">
        <v>-4.6264631882407397</v>
      </c>
      <c r="P1034" t="s">
        <v>3860</v>
      </c>
      <c r="Q1034" s="10">
        <f>IF(N1034&lt;='[1]statistical criteria'!$B$2,IF(O1034&gt;=LOG('[1]statistical criteria'!$B$3,2),1,IF(O1034&lt;=-1*LOG('[1]statistical criteria'!$B$3,2),2,"-")),"-")</f>
        <v>2</v>
      </c>
      <c r="R1034" t="s">
        <v>3862</v>
      </c>
      <c r="S1034" t="s">
        <v>3863</v>
      </c>
      <c r="T1034" s="9">
        <v>1E-46</v>
      </c>
      <c r="U1034" t="s">
        <v>61</v>
      </c>
    </row>
    <row r="1035" spans="1:21" x14ac:dyDescent="0.35">
      <c r="A1035" t="s">
        <v>3864</v>
      </c>
      <c r="B1035" t="s">
        <v>3865</v>
      </c>
      <c r="C1035">
        <v>1176</v>
      </c>
      <c r="D1035" s="5">
        <v>41.440942</v>
      </c>
      <c r="E1035" s="5">
        <v>55.403373999999999</v>
      </c>
      <c r="F1035" s="5">
        <v>34.544975000000001</v>
      </c>
      <c r="G1035" s="5">
        <v>32.800319000000002</v>
      </c>
      <c r="H1035" s="6">
        <v>0.56317099999999998</v>
      </c>
      <c r="I1035" s="11">
        <v>0</v>
      </c>
      <c r="J1035" s="6">
        <v>1.829145</v>
      </c>
      <c r="K1035" s="7">
        <f t="shared" si="32"/>
        <v>41.047402499999997</v>
      </c>
      <c r="L1035" s="8">
        <f t="shared" si="33"/>
        <v>0.79743866666666674</v>
      </c>
      <c r="M1035" s="9">
        <v>4.7479795270667599E-15</v>
      </c>
      <c r="N1035" s="9">
        <v>2.29034348289177E-13</v>
      </c>
      <c r="O1035" s="2">
        <v>-4.6267434480681198</v>
      </c>
      <c r="P1035" t="s">
        <v>3864</v>
      </c>
      <c r="Q1035" s="10">
        <f>IF(N1035&lt;='[1]statistical criteria'!$B$2,IF(O1035&gt;=LOG('[1]statistical criteria'!$B$3,2),1,IF(O1035&lt;=-1*LOG('[1]statistical criteria'!$B$3,2),2,"-")),"-")</f>
        <v>2</v>
      </c>
      <c r="R1035" t="s">
        <v>3866</v>
      </c>
      <c r="S1035" t="s">
        <v>3867</v>
      </c>
      <c r="T1035" s="9">
        <v>4E-73</v>
      </c>
      <c r="U1035" t="s">
        <v>61</v>
      </c>
    </row>
    <row r="1036" spans="1:21" x14ac:dyDescent="0.35">
      <c r="A1036" t="s">
        <v>3868</v>
      </c>
      <c r="B1036" t="s">
        <v>3869</v>
      </c>
      <c r="C1036">
        <v>2094</v>
      </c>
      <c r="D1036" s="5">
        <v>13.884131</v>
      </c>
      <c r="E1036" s="5">
        <v>15.240935</v>
      </c>
      <c r="F1036" s="5">
        <v>11.380065</v>
      </c>
      <c r="G1036" s="5">
        <v>16.289352000000001</v>
      </c>
      <c r="H1036" s="11">
        <v>0</v>
      </c>
      <c r="I1036" s="11">
        <v>0</v>
      </c>
      <c r="J1036" s="6">
        <v>1.974402</v>
      </c>
      <c r="K1036" s="7">
        <f t="shared" si="32"/>
        <v>14.19862075</v>
      </c>
      <c r="L1036" s="8">
        <f t="shared" si="33"/>
        <v>0.658134</v>
      </c>
      <c r="M1036" s="9">
        <v>3.1462445039736798E-6</v>
      </c>
      <c r="N1036" s="9">
        <v>3.2077703139897799E-5</v>
      </c>
      <c r="O1036" s="2">
        <v>-4.6278174476316396</v>
      </c>
      <c r="P1036" t="s">
        <v>3868</v>
      </c>
      <c r="Q1036" s="10">
        <f>IF(N1036&lt;='[1]statistical criteria'!$B$2,IF(O1036&gt;=LOG('[1]statistical criteria'!$B$3,2),1,IF(O1036&lt;=-1*LOG('[1]statistical criteria'!$B$3,2),2,"-")),"-")</f>
        <v>2</v>
      </c>
      <c r="R1036" t="s">
        <v>3013</v>
      </c>
      <c r="S1036" t="s">
        <v>3870</v>
      </c>
      <c r="T1036">
        <v>0</v>
      </c>
      <c r="U1036" t="s">
        <v>3015</v>
      </c>
    </row>
    <row r="1037" spans="1:21" x14ac:dyDescent="0.35">
      <c r="A1037" t="s">
        <v>3871</v>
      </c>
      <c r="B1037" t="s">
        <v>3872</v>
      </c>
      <c r="C1037">
        <v>1833</v>
      </c>
      <c r="D1037" s="5">
        <v>3.0991559999999998</v>
      </c>
      <c r="E1037" s="5">
        <v>4.1917840000000002</v>
      </c>
      <c r="F1037" s="5">
        <v>4.1340830000000004</v>
      </c>
      <c r="G1037" s="5">
        <v>4.2770460000000003</v>
      </c>
      <c r="H1037" s="11">
        <v>0</v>
      </c>
      <c r="I1037" s="11">
        <v>0</v>
      </c>
      <c r="J1037" s="11">
        <v>0</v>
      </c>
      <c r="K1037" s="7">
        <f t="shared" si="32"/>
        <v>3.92551725</v>
      </c>
      <c r="L1037" s="8">
        <f t="shared" si="33"/>
        <v>0</v>
      </c>
      <c r="M1037" s="9">
        <v>1.4097851058217799E-9</v>
      </c>
      <c r="N1037" s="9">
        <v>2.96936475526159E-8</v>
      </c>
      <c r="O1037" s="2">
        <v>-4.6285869336661101</v>
      </c>
      <c r="P1037" t="s">
        <v>3871</v>
      </c>
      <c r="Q1037" s="10">
        <f>IF(N1037&lt;='[1]statistical criteria'!$B$2,IF(O1037&gt;=LOG('[1]statistical criteria'!$B$3,2),1,IF(O1037&lt;=-1*LOG('[1]statistical criteria'!$B$3,2),2,"-")),"-")</f>
        <v>2</v>
      </c>
      <c r="R1037" t="s">
        <v>3873</v>
      </c>
      <c r="S1037" t="s">
        <v>3874</v>
      </c>
      <c r="T1037">
        <v>0</v>
      </c>
      <c r="U1037" t="s">
        <v>61</v>
      </c>
    </row>
    <row r="1038" spans="1:21" x14ac:dyDescent="0.35">
      <c r="A1038" t="s">
        <v>3875</v>
      </c>
      <c r="B1038" t="s">
        <v>3876</v>
      </c>
      <c r="C1038">
        <v>405</v>
      </c>
      <c r="D1038" s="5">
        <v>39.713706000000002</v>
      </c>
      <c r="E1038" s="5">
        <v>31.951827999999999</v>
      </c>
      <c r="F1038" s="5">
        <v>38.466619000000001</v>
      </c>
      <c r="G1038" s="5">
        <v>51.870727000000002</v>
      </c>
      <c r="H1038" s="11">
        <v>0</v>
      </c>
      <c r="I1038" s="6">
        <v>4.919575</v>
      </c>
      <c r="J1038" s="11">
        <v>0</v>
      </c>
      <c r="K1038" s="7">
        <f t="shared" si="32"/>
        <v>40.500720000000001</v>
      </c>
      <c r="L1038" s="8">
        <f t="shared" si="33"/>
        <v>1.6398583333333334</v>
      </c>
      <c r="M1038" s="9">
        <v>1.73281310332593E-12</v>
      </c>
      <c r="N1038" s="9">
        <v>5.7296030582236097E-11</v>
      </c>
      <c r="O1038" s="2">
        <v>-4.6294181150216502</v>
      </c>
      <c r="P1038" t="s">
        <v>3875</v>
      </c>
      <c r="Q1038" s="10">
        <f>IF(N1038&lt;='[1]statistical criteria'!$B$2,IF(O1038&gt;=LOG('[1]statistical criteria'!$B$3,2),1,IF(O1038&lt;=-1*LOG('[1]statistical criteria'!$B$3,2),2,"-")),"-")</f>
        <v>2</v>
      </c>
      <c r="R1038" t="s">
        <v>3847</v>
      </c>
      <c r="S1038" t="s">
        <v>3877</v>
      </c>
      <c r="T1038" s="9">
        <v>9.9999999999999993E-77</v>
      </c>
      <c r="U1038" t="s">
        <v>3178</v>
      </c>
    </row>
    <row r="1039" spans="1:21" x14ac:dyDescent="0.35">
      <c r="A1039" t="s">
        <v>3878</v>
      </c>
      <c r="B1039" t="s">
        <v>3879</v>
      </c>
      <c r="C1039">
        <v>699</v>
      </c>
      <c r="D1039" s="5">
        <v>3.8957160000000002</v>
      </c>
      <c r="E1039" s="5">
        <v>6.5992499999999996</v>
      </c>
      <c r="F1039" s="5">
        <v>7.3721500000000004</v>
      </c>
      <c r="G1039" s="5">
        <v>5.7271270000000003</v>
      </c>
      <c r="H1039" s="11">
        <v>0</v>
      </c>
      <c r="I1039" s="11">
        <v>0</v>
      </c>
      <c r="J1039" s="11">
        <v>0</v>
      </c>
      <c r="K1039" s="7">
        <f t="shared" si="32"/>
        <v>5.8985607499999997</v>
      </c>
      <c r="L1039" s="8">
        <f t="shared" si="33"/>
        <v>0</v>
      </c>
      <c r="M1039" s="9">
        <v>6.5170454321798002E-7</v>
      </c>
      <c r="N1039" s="9">
        <v>7.85678647921328E-6</v>
      </c>
      <c r="O1039" s="2">
        <v>-4.6295029573075697</v>
      </c>
      <c r="P1039" t="s">
        <v>3878</v>
      </c>
      <c r="Q1039" s="10">
        <f>IF(N1039&lt;='[1]statistical criteria'!$B$2,IF(O1039&gt;=LOG('[1]statistical criteria'!$B$3,2),1,IF(O1039&lt;=-1*LOG('[1]statistical criteria'!$B$3,2),2,"-")),"-")</f>
        <v>2</v>
      </c>
      <c r="R1039" t="s">
        <v>3880</v>
      </c>
      <c r="S1039" t="s">
        <v>3881</v>
      </c>
      <c r="T1039" s="9">
        <v>7.0000000000000006E-104</v>
      </c>
      <c r="U1039" t="s">
        <v>3882</v>
      </c>
    </row>
    <row r="1040" spans="1:21" x14ac:dyDescent="0.35">
      <c r="A1040" t="s">
        <v>3883</v>
      </c>
      <c r="B1040" t="s">
        <v>3884</v>
      </c>
      <c r="C1040">
        <v>3738</v>
      </c>
      <c r="D1040" s="5">
        <v>22.799379999999999</v>
      </c>
      <c r="E1040" s="5">
        <v>25.184256999999999</v>
      </c>
      <c r="F1040" s="5">
        <v>33.826112000000002</v>
      </c>
      <c r="G1040" s="5">
        <v>27.376840000000001</v>
      </c>
      <c r="H1040" s="11">
        <v>0</v>
      </c>
      <c r="I1040" s="6">
        <v>0.993093</v>
      </c>
      <c r="J1040" s="6">
        <v>1.8994409999999999</v>
      </c>
      <c r="K1040" s="7">
        <f t="shared" si="32"/>
        <v>27.296647250000003</v>
      </c>
      <c r="L1040" s="8">
        <f t="shared" si="33"/>
        <v>0.96417799999999998</v>
      </c>
      <c r="M1040" s="9">
        <v>4.2007978261658498E-10</v>
      </c>
      <c r="N1040" s="9">
        <v>9.5852736968748197E-9</v>
      </c>
      <c r="O1040" s="2">
        <v>-4.6362507610459298</v>
      </c>
      <c r="P1040" t="s">
        <v>3883</v>
      </c>
      <c r="Q1040" s="10">
        <f>IF(N1040&lt;='[1]statistical criteria'!$B$2,IF(O1040&gt;=LOG('[1]statistical criteria'!$B$3,2),1,IF(O1040&lt;=-1*LOG('[1]statistical criteria'!$B$3,2),2,"-")),"-")</f>
        <v>2</v>
      </c>
      <c r="S1040" t="s">
        <v>3885</v>
      </c>
      <c r="T1040">
        <v>0</v>
      </c>
      <c r="U1040" t="s">
        <v>3886</v>
      </c>
    </row>
    <row r="1041" spans="1:21" x14ac:dyDescent="0.35">
      <c r="A1041" t="s">
        <v>3887</v>
      </c>
      <c r="C1041">
        <v>645</v>
      </c>
      <c r="D1041" s="5">
        <v>7.7934739999999998</v>
      </c>
      <c r="E1041" s="5">
        <v>11.011091</v>
      </c>
      <c r="F1041" s="5">
        <v>1.5190079999999999</v>
      </c>
      <c r="G1041" s="5">
        <v>4.2141000000000002</v>
      </c>
      <c r="H1041" s="11">
        <v>0</v>
      </c>
      <c r="I1041" s="11">
        <v>0</v>
      </c>
      <c r="J1041" s="11">
        <v>0</v>
      </c>
      <c r="K1041" s="7">
        <f t="shared" si="32"/>
        <v>6.1344182499999995</v>
      </c>
      <c r="L1041" s="8">
        <f t="shared" si="33"/>
        <v>0</v>
      </c>
      <c r="M1041" s="9">
        <v>7.4797564606509603E-8</v>
      </c>
      <c r="N1041" s="9">
        <v>1.1144202335127401E-6</v>
      </c>
      <c r="O1041" s="2">
        <v>-4.6372755769282996</v>
      </c>
      <c r="P1041" t="s">
        <v>3887</v>
      </c>
      <c r="Q1041" s="10">
        <f>IF(N1041&lt;='[1]statistical criteria'!$B$2,IF(O1041&gt;=LOG('[1]statistical criteria'!$B$3,2),1,IF(O1041&lt;=-1*LOG('[1]statistical criteria'!$B$3,2),2,"-")),"-")</f>
        <v>2</v>
      </c>
    </row>
    <row r="1042" spans="1:21" x14ac:dyDescent="0.35">
      <c r="A1042" t="s">
        <v>3888</v>
      </c>
      <c r="B1042" t="s">
        <v>3889</v>
      </c>
      <c r="C1042">
        <v>3972</v>
      </c>
      <c r="D1042" s="5">
        <v>0.41750999999999999</v>
      </c>
      <c r="E1042" s="5">
        <v>2.4847760000000001</v>
      </c>
      <c r="F1042" s="5">
        <v>2.0232009999999998</v>
      </c>
      <c r="G1042" s="5">
        <v>1.9809909999999999</v>
      </c>
      <c r="H1042" s="11">
        <v>0</v>
      </c>
      <c r="I1042" s="11">
        <v>0</v>
      </c>
      <c r="J1042" s="11">
        <v>0</v>
      </c>
      <c r="K1042" s="7">
        <f t="shared" si="32"/>
        <v>1.7266195</v>
      </c>
      <c r="L1042" s="8">
        <f t="shared" si="33"/>
        <v>0</v>
      </c>
      <c r="M1042" s="9">
        <v>2.0566485107906499E-11</v>
      </c>
      <c r="N1042" s="9">
        <v>5.7853689815736998E-10</v>
      </c>
      <c r="O1042" s="2">
        <v>-4.6387026367930497</v>
      </c>
      <c r="P1042" t="s">
        <v>3888</v>
      </c>
      <c r="Q1042" s="10">
        <f>IF(N1042&lt;='[1]statistical criteria'!$B$2,IF(O1042&gt;=LOG('[1]statistical criteria'!$B$3,2),1,IF(O1042&lt;=-1*LOG('[1]statistical criteria'!$B$3,2),2,"-")),"-")</f>
        <v>2</v>
      </c>
      <c r="R1042" t="s">
        <v>3890</v>
      </c>
      <c r="S1042" t="s">
        <v>3891</v>
      </c>
      <c r="T1042">
        <v>0</v>
      </c>
      <c r="U1042" t="s">
        <v>3892</v>
      </c>
    </row>
    <row r="1043" spans="1:21" x14ac:dyDescent="0.35">
      <c r="A1043" t="s">
        <v>3893</v>
      </c>
      <c r="B1043" t="s">
        <v>3894</v>
      </c>
      <c r="C1043">
        <v>1206</v>
      </c>
      <c r="D1043" s="5">
        <v>7.956054</v>
      </c>
      <c r="E1043" s="5">
        <v>21.696345999999998</v>
      </c>
      <c r="F1043" s="5">
        <v>16.042992999999999</v>
      </c>
      <c r="G1043" s="5">
        <v>18.896142999999999</v>
      </c>
      <c r="H1043" s="6">
        <v>0.94296800000000003</v>
      </c>
      <c r="I1043" s="11">
        <v>0</v>
      </c>
      <c r="J1043" s="11">
        <v>0</v>
      </c>
      <c r="K1043" s="7">
        <f t="shared" si="32"/>
        <v>16.147883999999998</v>
      </c>
      <c r="L1043" s="8">
        <f t="shared" si="33"/>
        <v>0.31432266666666669</v>
      </c>
      <c r="M1043" s="9">
        <v>1.6457316374438701E-8</v>
      </c>
      <c r="N1043" s="9">
        <v>2.8252839928332701E-7</v>
      </c>
      <c r="O1043" s="2">
        <v>-4.6402857028215001</v>
      </c>
      <c r="P1043" t="s">
        <v>3893</v>
      </c>
      <c r="Q1043" s="10">
        <f>IF(N1043&lt;='[1]statistical criteria'!$B$2,IF(O1043&gt;=LOG('[1]statistical criteria'!$B$3,2),1,IF(O1043&lt;=-1*LOG('[1]statistical criteria'!$B$3,2),2,"-")),"-")</f>
        <v>2</v>
      </c>
      <c r="R1043" t="s">
        <v>2612</v>
      </c>
      <c r="S1043" t="s">
        <v>2613</v>
      </c>
      <c r="T1043">
        <v>0</v>
      </c>
      <c r="U1043" t="s">
        <v>2614</v>
      </c>
    </row>
    <row r="1044" spans="1:21" x14ac:dyDescent="0.35">
      <c r="A1044" t="s">
        <v>3895</v>
      </c>
      <c r="B1044" t="s">
        <v>3467</v>
      </c>
      <c r="C1044">
        <v>1866</v>
      </c>
      <c r="D1044" s="5">
        <v>44.782693999999999</v>
      </c>
      <c r="E1044" s="5">
        <v>81.495275000000007</v>
      </c>
      <c r="F1044" s="5">
        <v>67.473152999999996</v>
      </c>
      <c r="G1044" s="5">
        <v>116.07441</v>
      </c>
      <c r="H1044" s="6">
        <v>4.4485169999999998</v>
      </c>
      <c r="I1044" s="6">
        <v>1.7900450000000001</v>
      </c>
      <c r="J1044" s="11">
        <v>0</v>
      </c>
      <c r="K1044" s="7">
        <f t="shared" si="32"/>
        <v>77.456383000000002</v>
      </c>
      <c r="L1044" s="8">
        <f t="shared" si="33"/>
        <v>2.0795206666666668</v>
      </c>
      <c r="M1044" s="9">
        <v>3.7008652050215798E-9</v>
      </c>
      <c r="N1044" s="9">
        <v>7.1830826685141599E-8</v>
      </c>
      <c r="O1044" s="2">
        <v>-4.6444600873298301</v>
      </c>
      <c r="P1044" t="s">
        <v>3895</v>
      </c>
      <c r="Q1044" s="10">
        <f>IF(N1044&lt;='[1]statistical criteria'!$B$2,IF(O1044&gt;=LOG('[1]statistical criteria'!$B$3,2),1,IF(O1044&lt;=-1*LOG('[1]statistical criteria'!$B$3,2),2,"-")),"-")</f>
        <v>2</v>
      </c>
      <c r="R1044" t="s">
        <v>3030</v>
      </c>
    </row>
    <row r="1045" spans="1:21" x14ac:dyDescent="0.35">
      <c r="A1045" t="s">
        <v>3896</v>
      </c>
      <c r="B1045" t="s">
        <v>3897</v>
      </c>
      <c r="C1045">
        <v>2337</v>
      </c>
      <c r="D1045" s="5">
        <v>61.962408000000003</v>
      </c>
      <c r="E1045" s="5">
        <v>59.522171</v>
      </c>
      <c r="F1045" s="5">
        <v>73.989185000000006</v>
      </c>
      <c r="G1045" s="5">
        <v>61.450215</v>
      </c>
      <c r="H1045" s="6">
        <v>2.6797170000000001</v>
      </c>
      <c r="I1045" s="11">
        <v>0</v>
      </c>
      <c r="J1045" s="6">
        <v>3.6124049999999999</v>
      </c>
      <c r="K1045" s="7">
        <f t="shared" si="32"/>
        <v>64.230994750000008</v>
      </c>
      <c r="L1045" s="8">
        <f t="shared" si="33"/>
        <v>2.0973739999999998</v>
      </c>
      <c r="M1045" s="9">
        <v>1.2327956746210199E-7</v>
      </c>
      <c r="N1045" s="9">
        <v>1.72843625322926E-6</v>
      </c>
      <c r="O1045" s="2">
        <v>-4.6455783480173896</v>
      </c>
      <c r="P1045" t="s">
        <v>3896</v>
      </c>
      <c r="Q1045" s="10">
        <f>IF(N1045&lt;='[1]statistical criteria'!$B$2,IF(O1045&gt;=LOG('[1]statistical criteria'!$B$3,2),1,IF(O1045&lt;=-1*LOG('[1]statistical criteria'!$B$3,2),2,"-")),"-")</f>
        <v>2</v>
      </c>
      <c r="R1045" t="s">
        <v>3898</v>
      </c>
      <c r="S1045" t="s">
        <v>3899</v>
      </c>
      <c r="T1045" s="9">
        <v>2.0000000000000002E-15</v>
      </c>
      <c r="U1045" t="s">
        <v>61</v>
      </c>
    </row>
    <row r="1046" spans="1:21" x14ac:dyDescent="0.35">
      <c r="A1046" t="s">
        <v>3900</v>
      </c>
      <c r="B1046" t="s">
        <v>3901</v>
      </c>
      <c r="C1046">
        <v>1335</v>
      </c>
      <c r="D1046" s="5">
        <v>6.4596850000000003</v>
      </c>
      <c r="E1046" s="5">
        <v>6.7733730000000003</v>
      </c>
      <c r="F1046" s="5">
        <v>4.4352999999999998</v>
      </c>
      <c r="G1046" s="5">
        <v>2.6001539999999999</v>
      </c>
      <c r="H1046" s="11">
        <v>0</v>
      </c>
      <c r="I1046" s="11">
        <v>0</v>
      </c>
      <c r="J1046" s="11">
        <v>0</v>
      </c>
      <c r="K1046" s="7">
        <f t="shared" si="32"/>
        <v>5.0671279999999994</v>
      </c>
      <c r="L1046" s="8">
        <f t="shared" si="33"/>
        <v>0</v>
      </c>
      <c r="M1046" s="9">
        <v>4.8971875585687999E-8</v>
      </c>
      <c r="N1046" s="9">
        <v>7.6138463431016598E-7</v>
      </c>
      <c r="O1046" s="2">
        <v>-4.6467450898478102</v>
      </c>
      <c r="P1046" t="s">
        <v>3900</v>
      </c>
      <c r="Q1046" s="10">
        <f>IF(N1046&lt;='[1]statistical criteria'!$B$2,IF(O1046&gt;=LOG('[1]statistical criteria'!$B$3,2),1,IF(O1046&lt;=-1*LOG('[1]statistical criteria'!$B$3,2),2,"-")),"-")</f>
        <v>2</v>
      </c>
      <c r="R1046" t="s">
        <v>3191</v>
      </c>
      <c r="S1046" t="s">
        <v>3192</v>
      </c>
      <c r="T1046">
        <v>0</v>
      </c>
      <c r="U1046" t="s">
        <v>3193</v>
      </c>
    </row>
    <row r="1047" spans="1:21" x14ac:dyDescent="0.35">
      <c r="A1047" t="s">
        <v>3902</v>
      </c>
      <c r="B1047" t="s">
        <v>370</v>
      </c>
      <c r="C1047">
        <v>333</v>
      </c>
      <c r="D1047" s="4">
        <v>0</v>
      </c>
      <c r="E1047" s="5">
        <v>58.632731999999997</v>
      </c>
      <c r="F1047" s="5">
        <v>68.581637999999998</v>
      </c>
      <c r="G1047" s="5">
        <v>37.486282000000003</v>
      </c>
      <c r="H1047" s="11">
        <v>0</v>
      </c>
      <c r="I1047" s="11">
        <v>0</v>
      </c>
      <c r="J1047" s="11">
        <v>0</v>
      </c>
      <c r="K1047" s="7">
        <f t="shared" si="32"/>
        <v>41.175162999999998</v>
      </c>
      <c r="L1047" s="8">
        <f t="shared" si="33"/>
        <v>0</v>
      </c>
      <c r="M1047" s="9">
        <v>3.67429879410487E-5</v>
      </c>
      <c r="N1047">
        <v>2.8617677383677799E-4</v>
      </c>
      <c r="O1047" s="2">
        <v>-4.6497367546481003</v>
      </c>
      <c r="P1047" t="s">
        <v>3902</v>
      </c>
      <c r="Q1047" s="10">
        <f>IF(N1047&lt;='[1]statistical criteria'!$B$2,IF(O1047&gt;=LOG('[1]statistical criteria'!$B$3,2),1,IF(O1047&lt;=-1*LOG('[1]statistical criteria'!$B$3,2),2,"-")),"-")</f>
        <v>2</v>
      </c>
    </row>
    <row r="1048" spans="1:21" x14ac:dyDescent="0.35">
      <c r="A1048" t="s">
        <v>3903</v>
      </c>
      <c r="B1048" t="s">
        <v>3904</v>
      </c>
      <c r="C1048">
        <v>393</v>
      </c>
      <c r="D1048" s="5">
        <v>17.630831000000001</v>
      </c>
      <c r="E1048" s="5">
        <v>4.8645319999999996</v>
      </c>
      <c r="F1048" s="5">
        <v>12.044205</v>
      </c>
      <c r="G1048" s="5">
        <v>15.450766</v>
      </c>
      <c r="H1048" s="11">
        <v>0</v>
      </c>
      <c r="I1048" s="11">
        <v>0</v>
      </c>
      <c r="J1048" s="11">
        <v>0</v>
      </c>
      <c r="K1048" s="7">
        <f t="shared" si="32"/>
        <v>12.497583500000001</v>
      </c>
      <c r="L1048" s="8">
        <f t="shared" si="33"/>
        <v>0</v>
      </c>
      <c r="M1048" s="9">
        <v>6.0237720228963396E-7</v>
      </c>
      <c r="N1048" s="9">
        <v>7.3037516148912001E-6</v>
      </c>
      <c r="O1048" s="2">
        <v>-4.65032246961787</v>
      </c>
      <c r="P1048" t="s">
        <v>3903</v>
      </c>
      <c r="Q1048" s="10">
        <f>IF(N1048&lt;='[1]statistical criteria'!$B$2,IF(O1048&gt;=LOG('[1]statistical criteria'!$B$3,2),1,IF(O1048&lt;=-1*LOG('[1]statistical criteria'!$B$3,2),2,"-")),"-")</f>
        <v>2</v>
      </c>
      <c r="R1048" t="s">
        <v>3905</v>
      </c>
      <c r="S1048" t="s">
        <v>3906</v>
      </c>
      <c r="T1048" s="9">
        <v>7.0000000000000004E-42</v>
      </c>
      <c r="U1048" t="s">
        <v>3907</v>
      </c>
    </row>
    <row r="1049" spans="1:21" x14ac:dyDescent="0.35">
      <c r="A1049" t="s">
        <v>3908</v>
      </c>
      <c r="B1049" t="s">
        <v>3909</v>
      </c>
      <c r="C1049">
        <v>1575</v>
      </c>
      <c r="D1049" s="5">
        <v>4.4243309999999996</v>
      </c>
      <c r="E1049" s="5">
        <v>3.1905860000000001</v>
      </c>
      <c r="F1049" s="5">
        <v>6.9030079999999998</v>
      </c>
      <c r="G1049" s="5">
        <v>0.56759499999999996</v>
      </c>
      <c r="H1049" s="11">
        <v>0</v>
      </c>
      <c r="I1049" s="11">
        <v>0</v>
      </c>
      <c r="J1049" s="11">
        <v>0</v>
      </c>
      <c r="K1049" s="7">
        <f t="shared" si="32"/>
        <v>3.7713800000000002</v>
      </c>
      <c r="L1049" s="8">
        <f t="shared" si="33"/>
        <v>0</v>
      </c>
      <c r="M1049" s="9">
        <v>2.32890151087121E-7</v>
      </c>
      <c r="N1049" s="9">
        <v>3.0927422018059401E-6</v>
      </c>
      <c r="O1049" s="2">
        <v>-4.6586369498471196</v>
      </c>
      <c r="P1049" t="s">
        <v>3908</v>
      </c>
      <c r="Q1049" s="10">
        <f>IF(N1049&lt;='[1]statistical criteria'!$B$2,IF(O1049&gt;=LOG('[1]statistical criteria'!$B$3,2),1,IF(O1049&lt;=-1*LOG('[1]statistical criteria'!$B$3,2),2,"-")),"-")</f>
        <v>2</v>
      </c>
      <c r="R1049" t="s">
        <v>3910</v>
      </c>
      <c r="S1049" t="s">
        <v>3911</v>
      </c>
      <c r="T1049" s="9">
        <v>7.9999999999999996E-177</v>
      </c>
      <c r="U1049" t="s">
        <v>3912</v>
      </c>
    </row>
    <row r="1050" spans="1:21" x14ac:dyDescent="0.35">
      <c r="A1050" t="s">
        <v>3913</v>
      </c>
      <c r="B1050" t="s">
        <v>3914</v>
      </c>
      <c r="C1050">
        <v>732</v>
      </c>
      <c r="D1050" s="5">
        <v>5.1644420000000002</v>
      </c>
      <c r="E1050" s="5">
        <v>3.474567</v>
      </c>
      <c r="F1050" s="5">
        <v>7.8162419999999999</v>
      </c>
      <c r="G1050" s="5">
        <v>2.7395589999999999</v>
      </c>
      <c r="H1050" s="11">
        <v>0</v>
      </c>
      <c r="I1050" s="11">
        <v>0</v>
      </c>
      <c r="J1050" s="11">
        <v>0</v>
      </c>
      <c r="K1050" s="7">
        <f t="shared" si="32"/>
        <v>4.7987025000000001</v>
      </c>
      <c r="L1050" s="8">
        <f t="shared" si="33"/>
        <v>0</v>
      </c>
      <c r="M1050" s="9">
        <v>8.2002443012791805E-7</v>
      </c>
      <c r="N1050" s="9">
        <v>9.6404044871972908E-6</v>
      </c>
      <c r="O1050" s="2">
        <v>-4.66272563930141</v>
      </c>
      <c r="P1050" t="s">
        <v>3913</v>
      </c>
      <c r="Q1050" s="10">
        <f>IF(N1050&lt;='[1]statistical criteria'!$B$2,IF(O1050&gt;=LOG('[1]statistical criteria'!$B$3,2),1,IF(O1050&lt;=-1*LOG('[1]statistical criteria'!$B$3,2),2,"-")),"-")</f>
        <v>2</v>
      </c>
    </row>
    <row r="1051" spans="1:21" x14ac:dyDescent="0.35">
      <c r="A1051" t="s">
        <v>3915</v>
      </c>
      <c r="B1051" t="s">
        <v>3916</v>
      </c>
      <c r="C1051">
        <v>1224</v>
      </c>
      <c r="D1051" s="5">
        <v>14.377387000000001</v>
      </c>
      <c r="E1051" s="5">
        <v>6.5454420000000004</v>
      </c>
      <c r="F1051" s="5">
        <v>15.645238000000001</v>
      </c>
      <c r="G1051" s="5">
        <v>13.808092</v>
      </c>
      <c r="H1051" s="6">
        <v>0.69346799999999997</v>
      </c>
      <c r="I1051" s="11">
        <v>0</v>
      </c>
      <c r="J1051" s="11">
        <v>0</v>
      </c>
      <c r="K1051" s="7">
        <f t="shared" si="32"/>
        <v>12.59403975</v>
      </c>
      <c r="L1051" s="8">
        <f t="shared" si="33"/>
        <v>0.231156</v>
      </c>
      <c r="M1051" s="9">
        <v>7.0602207274709597E-17</v>
      </c>
      <c r="N1051" s="9">
        <v>4.6409672001303E-15</v>
      </c>
      <c r="O1051" s="2">
        <v>-4.6634032845061002</v>
      </c>
      <c r="P1051" t="s">
        <v>3915</v>
      </c>
      <c r="Q1051" s="10">
        <f>IF(N1051&lt;='[1]statistical criteria'!$B$2,IF(O1051&gt;=LOG('[1]statistical criteria'!$B$3,2),1,IF(O1051&lt;=-1*LOG('[1]statistical criteria'!$B$3,2),2,"-")),"-")</f>
        <v>2</v>
      </c>
      <c r="R1051" t="s">
        <v>3917</v>
      </c>
      <c r="S1051" t="s">
        <v>3918</v>
      </c>
      <c r="T1051">
        <v>0</v>
      </c>
      <c r="U1051" t="s">
        <v>3919</v>
      </c>
    </row>
    <row r="1052" spans="1:21" x14ac:dyDescent="0.35">
      <c r="A1052" t="s">
        <v>3920</v>
      </c>
      <c r="B1052" t="s">
        <v>3921</v>
      </c>
      <c r="C1052">
        <v>834</v>
      </c>
      <c r="D1052" s="5">
        <v>7.1500890000000004</v>
      </c>
      <c r="E1052" s="5">
        <v>26.357240000000001</v>
      </c>
      <c r="F1052" s="5">
        <v>0.70850599999999997</v>
      </c>
      <c r="G1052" s="5">
        <v>3.4840520000000001</v>
      </c>
      <c r="H1052" s="11">
        <v>0</v>
      </c>
      <c r="I1052" s="11">
        <v>0</v>
      </c>
      <c r="J1052" s="11">
        <v>0</v>
      </c>
      <c r="K1052" s="7">
        <f t="shared" si="32"/>
        <v>9.4249717499999992</v>
      </c>
      <c r="L1052" s="8">
        <f t="shared" si="33"/>
        <v>0</v>
      </c>
      <c r="M1052" s="9">
        <v>3.7787391330943399E-7</v>
      </c>
      <c r="N1052" s="9">
        <v>4.8012272781354803E-6</v>
      </c>
      <c r="O1052" s="2">
        <v>-4.6710826710635098</v>
      </c>
      <c r="P1052" t="s">
        <v>3920</v>
      </c>
      <c r="Q1052" s="10">
        <f>IF(N1052&lt;='[1]statistical criteria'!$B$2,IF(O1052&gt;=LOG('[1]statistical criteria'!$B$3,2),1,IF(O1052&lt;=-1*LOG('[1]statistical criteria'!$B$3,2),2,"-")),"-")</f>
        <v>2</v>
      </c>
      <c r="R1052" t="s">
        <v>3008</v>
      </c>
      <c r="S1052" t="s">
        <v>3009</v>
      </c>
      <c r="T1052" s="9">
        <v>7.9999999999999996E-144</v>
      </c>
      <c r="U1052" t="s">
        <v>3010</v>
      </c>
    </row>
    <row r="1053" spans="1:21" x14ac:dyDescent="0.35">
      <c r="A1053" t="s">
        <v>3922</v>
      </c>
      <c r="B1053" t="s">
        <v>3923</v>
      </c>
      <c r="C1053">
        <v>855</v>
      </c>
      <c r="D1053" s="5">
        <v>22.640166000000001</v>
      </c>
      <c r="E1053" s="5">
        <v>17.569458000000001</v>
      </c>
      <c r="F1053" s="5">
        <v>5.9780680000000004</v>
      </c>
      <c r="G1053" s="5">
        <v>6.1330799999999996</v>
      </c>
      <c r="H1053" s="11">
        <v>0</v>
      </c>
      <c r="I1053" s="6">
        <v>1.674533</v>
      </c>
      <c r="J1053" s="11">
        <v>0</v>
      </c>
      <c r="K1053" s="7">
        <f t="shared" si="32"/>
        <v>13.080193000000001</v>
      </c>
      <c r="L1053" s="8">
        <f t="shared" si="33"/>
        <v>0.55817766666666668</v>
      </c>
      <c r="M1053" s="9">
        <v>5.48719062258554E-10</v>
      </c>
      <c r="N1053" s="9">
        <v>1.23065689508312E-8</v>
      </c>
      <c r="O1053" s="2">
        <v>-4.6764685159160004</v>
      </c>
      <c r="P1053" t="s">
        <v>3922</v>
      </c>
      <c r="Q1053" s="10">
        <f>IF(N1053&lt;='[1]statistical criteria'!$B$2,IF(O1053&gt;=LOG('[1]statistical criteria'!$B$3,2),1,IF(O1053&lt;=-1*LOG('[1]statistical criteria'!$B$3,2),2,"-")),"-")</f>
        <v>2</v>
      </c>
      <c r="R1053" t="s">
        <v>3924</v>
      </c>
      <c r="S1053" t="s">
        <v>3925</v>
      </c>
      <c r="T1053" s="9">
        <v>9.0000000000000002E-40</v>
      </c>
      <c r="U1053" t="s">
        <v>1308</v>
      </c>
    </row>
    <row r="1054" spans="1:21" x14ac:dyDescent="0.35">
      <c r="A1054" t="s">
        <v>3926</v>
      </c>
      <c r="B1054" t="s">
        <v>3927</v>
      </c>
      <c r="C1054">
        <v>803</v>
      </c>
      <c r="D1054" s="5">
        <v>3.461214</v>
      </c>
      <c r="E1054" s="5">
        <v>10.748798000000001</v>
      </c>
      <c r="F1054" s="5">
        <v>6.3527170000000002</v>
      </c>
      <c r="G1054" s="5">
        <v>2.5469200000000001</v>
      </c>
      <c r="H1054" s="11">
        <v>0</v>
      </c>
      <c r="I1054" s="11">
        <v>0</v>
      </c>
      <c r="J1054" s="11">
        <v>0</v>
      </c>
      <c r="K1054" s="7">
        <f t="shared" si="32"/>
        <v>5.7774122500000002</v>
      </c>
      <c r="L1054" s="8">
        <f t="shared" si="33"/>
        <v>0</v>
      </c>
      <c r="M1054" s="9">
        <v>4.6737138466105598E-7</v>
      </c>
      <c r="N1054" s="9">
        <v>5.8093255715871303E-6</v>
      </c>
      <c r="O1054" s="2">
        <v>-4.6804290789015601</v>
      </c>
      <c r="P1054" t="s">
        <v>3926</v>
      </c>
      <c r="Q1054" s="10">
        <f>IF(N1054&lt;='[1]statistical criteria'!$B$2,IF(O1054&gt;=LOG('[1]statistical criteria'!$B$3,2),1,IF(O1054&lt;=-1*LOG('[1]statistical criteria'!$B$3,2),2,"-")),"-")</f>
        <v>2</v>
      </c>
      <c r="R1054" t="s">
        <v>3928</v>
      </c>
      <c r="S1054" t="s">
        <v>3929</v>
      </c>
      <c r="T1054" s="9">
        <v>4.9999999999999998E-73</v>
      </c>
      <c r="U1054" t="s">
        <v>3930</v>
      </c>
    </row>
    <row r="1055" spans="1:21" x14ac:dyDescent="0.35">
      <c r="A1055" t="s">
        <v>3931</v>
      </c>
      <c r="B1055" t="s">
        <v>3932</v>
      </c>
      <c r="C1055">
        <v>1698</v>
      </c>
      <c r="D1055" s="5">
        <v>6.3941929999999996</v>
      </c>
      <c r="E1055" s="5">
        <v>2.6292879999999998</v>
      </c>
      <c r="F1055" s="5">
        <v>3.5274139999999998</v>
      </c>
      <c r="G1055" s="5">
        <v>8.6993299999999998</v>
      </c>
      <c r="H1055" s="11">
        <v>0</v>
      </c>
      <c r="I1055" s="11">
        <v>0</v>
      </c>
      <c r="J1055" s="11">
        <v>0</v>
      </c>
      <c r="K1055" s="7">
        <f t="shared" si="32"/>
        <v>5.3125562500000001</v>
      </c>
      <c r="L1055" s="8">
        <f t="shared" si="33"/>
        <v>0</v>
      </c>
      <c r="M1055" s="9">
        <v>8.1831569116757602E-8</v>
      </c>
      <c r="N1055" s="9">
        <v>1.2048392729531101E-6</v>
      </c>
      <c r="O1055" s="2">
        <v>-4.6864730795648901</v>
      </c>
      <c r="P1055" t="s">
        <v>3931</v>
      </c>
      <c r="Q1055" s="10">
        <f>IF(N1055&lt;='[1]statistical criteria'!$B$2,IF(O1055&gt;=LOG('[1]statistical criteria'!$B$3,2),1,IF(O1055&lt;=-1*LOG('[1]statistical criteria'!$B$3,2),2,"-")),"-")</f>
        <v>2</v>
      </c>
      <c r="S1055" t="s">
        <v>3933</v>
      </c>
      <c r="T1055" s="9">
        <v>2.0000000000000002E-86</v>
      </c>
      <c r="U1055" t="s">
        <v>3934</v>
      </c>
    </row>
    <row r="1056" spans="1:21" x14ac:dyDescent="0.35">
      <c r="A1056" t="s">
        <v>3935</v>
      </c>
      <c r="B1056" t="s">
        <v>3936</v>
      </c>
      <c r="C1056">
        <v>816</v>
      </c>
      <c r="D1056" s="5">
        <v>4.4615679999999998</v>
      </c>
      <c r="E1056" s="5">
        <v>9.2414740000000002</v>
      </c>
      <c r="F1056" s="5">
        <v>2.369081</v>
      </c>
      <c r="G1056" s="5">
        <v>8.3989399999999996</v>
      </c>
      <c r="H1056" s="11">
        <v>0</v>
      </c>
      <c r="I1056" s="11">
        <v>0</v>
      </c>
      <c r="J1056" s="11">
        <v>0</v>
      </c>
      <c r="K1056" s="7">
        <f t="shared" si="32"/>
        <v>6.1177657500000002</v>
      </c>
      <c r="L1056" s="8">
        <f t="shared" si="33"/>
        <v>0</v>
      </c>
      <c r="M1056" s="9">
        <v>2.8876507929367998E-7</v>
      </c>
      <c r="N1056" s="9">
        <v>3.76127315486802E-6</v>
      </c>
      <c r="O1056" s="2">
        <v>-4.6871188099734296</v>
      </c>
      <c r="P1056" t="s">
        <v>3935</v>
      </c>
      <c r="Q1056" s="10">
        <f>IF(N1056&lt;='[1]statistical criteria'!$B$2,IF(O1056&gt;=LOG('[1]statistical criteria'!$B$3,2),1,IF(O1056&lt;=-1*LOG('[1]statistical criteria'!$B$3,2),2,"-")),"-")</f>
        <v>2</v>
      </c>
      <c r="R1056" t="s">
        <v>3937</v>
      </c>
      <c r="S1056" t="s">
        <v>3938</v>
      </c>
      <c r="T1056" s="9">
        <v>3E-9</v>
      </c>
      <c r="U1056" t="s">
        <v>61</v>
      </c>
    </row>
    <row r="1057" spans="1:21" x14ac:dyDescent="0.35">
      <c r="A1057" t="s">
        <v>3939</v>
      </c>
      <c r="B1057" t="s">
        <v>3940</v>
      </c>
      <c r="C1057">
        <v>1254</v>
      </c>
      <c r="D1057" s="5">
        <v>2.1352920000000002</v>
      </c>
      <c r="E1057" s="5">
        <v>10.539759999999999</v>
      </c>
      <c r="F1057" s="5">
        <v>5.8620590000000004</v>
      </c>
      <c r="G1057" s="5">
        <v>3.4984839999999999</v>
      </c>
      <c r="H1057" s="11">
        <v>0</v>
      </c>
      <c r="I1057" s="11">
        <v>0</v>
      </c>
      <c r="J1057" s="11">
        <v>0</v>
      </c>
      <c r="K1057" s="7">
        <f t="shared" si="32"/>
        <v>5.5088987500000002</v>
      </c>
      <c r="L1057" s="8">
        <f t="shared" si="33"/>
        <v>0</v>
      </c>
      <c r="M1057" s="9">
        <v>9.8575251290281703E-8</v>
      </c>
      <c r="N1057" s="9">
        <v>1.4200507434171501E-6</v>
      </c>
      <c r="O1057" s="2">
        <v>-4.6892269878958599</v>
      </c>
      <c r="P1057" t="s">
        <v>3939</v>
      </c>
      <c r="Q1057" s="10">
        <f>IF(N1057&lt;='[1]statistical criteria'!$B$2,IF(O1057&gt;=LOG('[1]statistical criteria'!$B$3,2),1,IF(O1057&lt;=-1*LOG('[1]statistical criteria'!$B$3,2),2,"-")),"-")</f>
        <v>2</v>
      </c>
      <c r="R1057" t="s">
        <v>285</v>
      </c>
    </row>
    <row r="1058" spans="1:21" x14ac:dyDescent="0.35">
      <c r="A1058" t="s">
        <v>3941</v>
      </c>
      <c r="B1058" t="s">
        <v>3942</v>
      </c>
      <c r="C1058">
        <v>858</v>
      </c>
      <c r="D1058" s="5">
        <v>6.448887</v>
      </c>
      <c r="E1058" s="5">
        <v>9.1594259999999998</v>
      </c>
      <c r="F1058" s="5">
        <v>4.335089</v>
      </c>
      <c r="G1058" s="5">
        <v>0.900038</v>
      </c>
      <c r="H1058" s="11">
        <v>0</v>
      </c>
      <c r="I1058" s="11">
        <v>0</v>
      </c>
      <c r="J1058" s="11">
        <v>0</v>
      </c>
      <c r="K1058" s="7">
        <f t="shared" si="32"/>
        <v>5.2108599999999994</v>
      </c>
      <c r="L1058" s="8">
        <f t="shared" si="33"/>
        <v>0</v>
      </c>
      <c r="M1058" s="9">
        <v>1.16728135425629E-7</v>
      </c>
      <c r="N1058" s="9">
        <v>1.6497114126622601E-6</v>
      </c>
      <c r="O1058" s="2">
        <v>-4.6958024593670498</v>
      </c>
      <c r="P1058" t="s">
        <v>3941</v>
      </c>
      <c r="Q1058" s="10">
        <f>IF(N1058&lt;='[1]statistical criteria'!$B$2,IF(O1058&gt;=LOG('[1]statistical criteria'!$B$3,2),1,IF(O1058&lt;=-1*LOG('[1]statistical criteria'!$B$3,2),2,"-")),"-")</f>
        <v>2</v>
      </c>
      <c r="R1058" t="s">
        <v>3943</v>
      </c>
      <c r="S1058" t="s">
        <v>3944</v>
      </c>
      <c r="T1058" s="9">
        <v>8.0000000000000002E-58</v>
      </c>
      <c r="U1058" t="s">
        <v>3945</v>
      </c>
    </row>
    <row r="1059" spans="1:21" x14ac:dyDescent="0.35">
      <c r="A1059" t="s">
        <v>3946</v>
      </c>
      <c r="B1059" t="s">
        <v>3947</v>
      </c>
      <c r="C1059">
        <v>669</v>
      </c>
      <c r="D1059" s="5">
        <v>6.1437499999999998</v>
      </c>
      <c r="E1059" s="5">
        <v>6.8588089999999999</v>
      </c>
      <c r="F1059" s="5">
        <v>5.5840379999999996</v>
      </c>
      <c r="G1059" s="5">
        <v>7.0402699999999996</v>
      </c>
      <c r="H1059" s="11">
        <v>0</v>
      </c>
      <c r="I1059" s="11">
        <v>0</v>
      </c>
      <c r="J1059" s="11">
        <v>0</v>
      </c>
      <c r="K1059" s="7">
        <f t="shared" si="32"/>
        <v>6.4067167499999993</v>
      </c>
      <c r="L1059" s="8">
        <f t="shared" si="33"/>
        <v>0</v>
      </c>
      <c r="M1059" s="9">
        <v>2.2420629503236399E-7</v>
      </c>
      <c r="N1059" s="9">
        <v>2.9847119933304599E-6</v>
      </c>
      <c r="O1059" s="2">
        <v>-4.7034904929815102</v>
      </c>
      <c r="P1059" t="s">
        <v>3946</v>
      </c>
      <c r="Q1059" s="10">
        <f>IF(N1059&lt;='[1]statistical criteria'!$B$2,IF(O1059&gt;=LOG('[1]statistical criteria'!$B$3,2),1,IF(O1059&lt;=-1*LOG('[1]statistical criteria'!$B$3,2),2,"-")),"-")</f>
        <v>2</v>
      </c>
      <c r="R1059" t="s">
        <v>3948</v>
      </c>
      <c r="S1059" t="s">
        <v>3949</v>
      </c>
      <c r="T1059" s="9">
        <v>2.0000000000000001E-97</v>
      </c>
      <c r="U1059" t="s">
        <v>3950</v>
      </c>
    </row>
    <row r="1060" spans="1:21" x14ac:dyDescent="0.35">
      <c r="A1060" t="s">
        <v>3951</v>
      </c>
      <c r="B1060" t="s">
        <v>3952</v>
      </c>
      <c r="C1060">
        <v>1965</v>
      </c>
      <c r="D1060" s="5">
        <v>13.475787</v>
      </c>
      <c r="E1060" s="5">
        <v>5.9250369999999997</v>
      </c>
      <c r="F1060" s="5">
        <v>15.65297</v>
      </c>
      <c r="G1060" s="5">
        <v>14.920859</v>
      </c>
      <c r="H1060" s="11">
        <v>0</v>
      </c>
      <c r="I1060" s="11">
        <v>0</v>
      </c>
      <c r="J1060" s="6">
        <v>1.0038210000000001</v>
      </c>
      <c r="K1060" s="7">
        <f t="shared" si="32"/>
        <v>12.493663249999999</v>
      </c>
      <c r="L1060" s="8">
        <f t="shared" si="33"/>
        <v>0.33460700000000004</v>
      </c>
      <c r="M1060" s="9">
        <v>1.08192006179076E-14</v>
      </c>
      <c r="N1060" s="9">
        <v>4.9791871283865001E-13</v>
      </c>
      <c r="O1060" s="2">
        <v>-4.7038280500778598</v>
      </c>
      <c r="P1060" t="s">
        <v>3951</v>
      </c>
      <c r="Q1060" s="10">
        <f>IF(N1060&lt;='[1]statistical criteria'!$B$2,IF(O1060&gt;=LOG('[1]statistical criteria'!$B$3,2),1,IF(O1060&lt;=-1*LOG('[1]statistical criteria'!$B$3,2),2,"-")),"-")</f>
        <v>2</v>
      </c>
      <c r="R1060" t="s">
        <v>3953</v>
      </c>
      <c r="S1060" t="s">
        <v>3954</v>
      </c>
      <c r="T1060">
        <v>0</v>
      </c>
      <c r="U1060" t="s">
        <v>61</v>
      </c>
    </row>
    <row r="1061" spans="1:21" x14ac:dyDescent="0.35">
      <c r="A1061" t="s">
        <v>3955</v>
      </c>
      <c r="B1061" t="s">
        <v>3956</v>
      </c>
      <c r="C1061">
        <v>1708</v>
      </c>
      <c r="D1061" s="5">
        <v>5.9973380000000001</v>
      </c>
      <c r="E1061" s="5">
        <v>1.7419279999999999</v>
      </c>
      <c r="F1061" s="5">
        <v>19.591626999999999</v>
      </c>
      <c r="G1061" s="5">
        <v>17.349705</v>
      </c>
      <c r="H1061" s="6">
        <v>0.120131</v>
      </c>
      <c r="I1061" s="11">
        <v>0</v>
      </c>
      <c r="J1061" s="11">
        <v>0</v>
      </c>
      <c r="K1061" s="7">
        <f t="shared" si="32"/>
        <v>11.170149500000001</v>
      </c>
      <c r="L1061" s="8">
        <f t="shared" si="33"/>
        <v>4.0043666666666665E-2</v>
      </c>
      <c r="M1061" s="9">
        <v>9.5283650899587008E-12</v>
      </c>
      <c r="N1061" s="9">
        <v>2.82877983871941E-10</v>
      </c>
      <c r="O1061" s="2">
        <v>-4.70465813817093</v>
      </c>
      <c r="P1061" t="s">
        <v>3955</v>
      </c>
      <c r="Q1061" s="10">
        <f>IF(N1061&lt;='[1]statistical criteria'!$B$2,IF(O1061&gt;=LOG('[1]statistical criteria'!$B$3,2),1,IF(O1061&lt;=-1*LOG('[1]statistical criteria'!$B$3,2),2,"-")),"-")</f>
        <v>2</v>
      </c>
      <c r="R1061" t="s">
        <v>3957</v>
      </c>
      <c r="S1061" t="s">
        <v>3958</v>
      </c>
      <c r="T1061" s="9">
        <v>1.9999999999999999E-6</v>
      </c>
      <c r="U1061" t="s">
        <v>1883</v>
      </c>
    </row>
    <row r="1062" spans="1:21" x14ac:dyDescent="0.35">
      <c r="A1062" t="s">
        <v>3959</v>
      </c>
      <c r="B1062" t="s">
        <v>3960</v>
      </c>
      <c r="C1062">
        <v>1750</v>
      </c>
      <c r="D1062" s="5">
        <v>5.435028</v>
      </c>
      <c r="E1062" s="5">
        <v>6.0609200000000003</v>
      </c>
      <c r="F1062" s="5">
        <v>3.2881809999999998</v>
      </c>
      <c r="G1062" s="5">
        <v>6.5711599999999999</v>
      </c>
      <c r="H1062" s="11">
        <v>0</v>
      </c>
      <c r="I1062" s="11">
        <v>0</v>
      </c>
      <c r="J1062" s="11">
        <v>0</v>
      </c>
      <c r="K1062" s="7">
        <f t="shared" si="32"/>
        <v>5.3388222499999998</v>
      </c>
      <c r="L1062" s="8">
        <f t="shared" si="33"/>
        <v>0</v>
      </c>
      <c r="M1062" s="9">
        <v>6.9630680617945396E-8</v>
      </c>
      <c r="N1062" s="9">
        <v>1.04459743962121E-6</v>
      </c>
      <c r="O1062" s="2">
        <v>-4.7047834250394001</v>
      </c>
      <c r="P1062" t="s">
        <v>3959</v>
      </c>
      <c r="Q1062" s="10">
        <f>IF(N1062&lt;='[1]statistical criteria'!$B$2,IF(O1062&gt;=LOG('[1]statistical criteria'!$B$3,2),1,IF(O1062&lt;=-1*LOG('[1]statistical criteria'!$B$3,2),2,"-")),"-")</f>
        <v>2</v>
      </c>
      <c r="R1062" t="s">
        <v>3961</v>
      </c>
      <c r="S1062" t="s">
        <v>3962</v>
      </c>
      <c r="T1062" s="9">
        <v>7E-128</v>
      </c>
      <c r="U1062" t="s">
        <v>3963</v>
      </c>
    </row>
    <row r="1063" spans="1:21" x14ac:dyDescent="0.35">
      <c r="A1063" t="s">
        <v>3964</v>
      </c>
      <c r="B1063" t="s">
        <v>3965</v>
      </c>
      <c r="C1063">
        <v>450</v>
      </c>
      <c r="D1063" s="5">
        <v>24.629759</v>
      </c>
      <c r="E1063" s="5">
        <v>43.956302000000001</v>
      </c>
      <c r="F1063" s="5">
        <v>28.996244000000001</v>
      </c>
      <c r="G1063" s="5">
        <v>22.453468000000001</v>
      </c>
      <c r="H1063" s="11">
        <v>0</v>
      </c>
      <c r="I1063" s="11">
        <v>0</v>
      </c>
      <c r="J1063" s="6">
        <v>1.0573859999999999</v>
      </c>
      <c r="K1063" s="7">
        <f t="shared" ref="K1063:K1126" si="34">AVERAGE(D1063:G1063)</f>
        <v>30.008943250000002</v>
      </c>
      <c r="L1063" s="8">
        <f t="shared" ref="L1063:L1126" si="35">AVERAGE(H1063:J1063)</f>
        <v>0.352462</v>
      </c>
      <c r="M1063" s="9">
        <v>8.7990896192553796E-18</v>
      </c>
      <c r="N1063" s="9">
        <v>6.4155814350356296E-16</v>
      </c>
      <c r="O1063" s="2">
        <v>-4.7158432091075904</v>
      </c>
      <c r="P1063" t="s">
        <v>3964</v>
      </c>
      <c r="Q1063" s="10">
        <f>IF(N1063&lt;='[1]statistical criteria'!$B$2,IF(O1063&gt;=LOG('[1]statistical criteria'!$B$3,2),1,IF(O1063&lt;=-1*LOG('[1]statistical criteria'!$B$3,2),2,"-")),"-")</f>
        <v>2</v>
      </c>
    </row>
    <row r="1064" spans="1:21" x14ac:dyDescent="0.35">
      <c r="A1064" t="s">
        <v>3966</v>
      </c>
      <c r="B1064" t="s">
        <v>3967</v>
      </c>
      <c r="C1064">
        <v>774</v>
      </c>
      <c r="D1064" s="5">
        <v>5.0705070000000001</v>
      </c>
      <c r="E1064" s="5">
        <v>5.3342159999999996</v>
      </c>
      <c r="F1064" s="5">
        <v>3.872763</v>
      </c>
      <c r="G1064" s="5">
        <v>10.091507</v>
      </c>
      <c r="H1064" s="11">
        <v>0</v>
      </c>
      <c r="I1064" s="11">
        <v>0</v>
      </c>
      <c r="J1064" s="11">
        <v>0</v>
      </c>
      <c r="K1064" s="7">
        <f t="shared" si="34"/>
        <v>6.0922482499999999</v>
      </c>
      <c r="L1064" s="8">
        <f t="shared" si="35"/>
        <v>0</v>
      </c>
      <c r="M1064" s="9">
        <v>7.4955924813066994E-8</v>
      </c>
      <c r="N1064" s="9">
        <v>1.1161277380224301E-6</v>
      </c>
      <c r="O1064" s="2">
        <v>-4.7161334028130302</v>
      </c>
      <c r="P1064" t="s">
        <v>3966</v>
      </c>
      <c r="Q1064" s="10">
        <f>IF(N1064&lt;='[1]statistical criteria'!$B$2,IF(O1064&gt;=LOG('[1]statistical criteria'!$B$3,2),1,IF(O1064&lt;=-1*LOG('[1]statistical criteria'!$B$3,2),2,"-")),"-")</f>
        <v>2</v>
      </c>
      <c r="R1064" t="s">
        <v>2588</v>
      </c>
      <c r="S1064" t="s">
        <v>2589</v>
      </c>
      <c r="T1064" s="9">
        <v>7.0000000000000003E-62</v>
      </c>
      <c r="U1064" t="s">
        <v>2590</v>
      </c>
    </row>
    <row r="1065" spans="1:21" x14ac:dyDescent="0.35">
      <c r="A1065" t="s">
        <v>382</v>
      </c>
      <c r="B1065" t="s">
        <v>383</v>
      </c>
      <c r="C1065">
        <v>1101</v>
      </c>
      <c r="D1065" s="4">
        <v>0</v>
      </c>
      <c r="E1065" s="5">
        <v>32.921855999999998</v>
      </c>
      <c r="F1065" s="5">
        <v>30.995145000000001</v>
      </c>
      <c r="G1065" s="5">
        <v>14.088137</v>
      </c>
      <c r="H1065" s="11">
        <v>0</v>
      </c>
      <c r="I1065" s="11">
        <v>0</v>
      </c>
      <c r="J1065" s="11">
        <v>0</v>
      </c>
      <c r="K1065" s="7">
        <f t="shared" si="34"/>
        <v>19.501284500000001</v>
      </c>
      <c r="L1065" s="8">
        <f t="shared" si="35"/>
        <v>0</v>
      </c>
      <c r="M1065" s="9">
        <v>2.6072422934118602E-5</v>
      </c>
      <c r="N1065">
        <v>2.1142914829599301E-4</v>
      </c>
      <c r="O1065" s="2">
        <v>-4.7200258925267997</v>
      </c>
      <c r="P1065" t="s">
        <v>382</v>
      </c>
      <c r="Q1065" s="10">
        <f>IF(N1065&lt;='[1]statistical criteria'!$B$2,IF(O1065&gt;=LOG('[1]statistical criteria'!$B$3,2),1,IF(O1065&lt;=-1*LOG('[1]statistical criteria'!$B$3,2),2,"-")),"-")</f>
        <v>2</v>
      </c>
      <c r="R1065" t="s">
        <v>394</v>
      </c>
      <c r="S1065" t="s">
        <v>395</v>
      </c>
      <c r="T1065" s="9">
        <v>2.0000000000000001E-138</v>
      </c>
      <c r="U1065" t="s">
        <v>396</v>
      </c>
    </row>
    <row r="1066" spans="1:21" x14ac:dyDescent="0.35">
      <c r="A1066" t="s">
        <v>3968</v>
      </c>
      <c r="B1066" t="s">
        <v>3969</v>
      </c>
      <c r="C1066">
        <v>3162</v>
      </c>
      <c r="D1066" s="5">
        <v>6.6259389999999998</v>
      </c>
      <c r="E1066" s="5">
        <v>7.306813</v>
      </c>
      <c r="F1066" s="5">
        <v>13.032893</v>
      </c>
      <c r="G1066" s="5">
        <v>10.783225</v>
      </c>
      <c r="H1066" s="11">
        <v>0</v>
      </c>
      <c r="I1066" s="6">
        <v>1.4069579999999999</v>
      </c>
      <c r="J1066" s="11">
        <v>0</v>
      </c>
      <c r="K1066" s="7">
        <f t="shared" si="34"/>
        <v>9.4372175000000009</v>
      </c>
      <c r="L1066" s="8">
        <f t="shared" si="35"/>
        <v>0.46898599999999996</v>
      </c>
      <c r="M1066" s="9">
        <v>1.2644075853258501E-9</v>
      </c>
      <c r="N1066" s="9">
        <v>2.68695436613633E-8</v>
      </c>
      <c r="O1066" s="2">
        <v>-4.7228510436361004</v>
      </c>
      <c r="P1066" t="s">
        <v>3968</v>
      </c>
      <c r="Q1066" s="10">
        <f>IF(N1066&lt;='[1]statistical criteria'!$B$2,IF(O1066&gt;=LOG('[1]statistical criteria'!$B$3,2),1,IF(O1066&lt;=-1*LOG('[1]statistical criteria'!$B$3,2),2,"-")),"-")</f>
        <v>2</v>
      </c>
      <c r="R1066" t="s">
        <v>878</v>
      </c>
      <c r="S1066" t="s">
        <v>3970</v>
      </c>
      <c r="T1066">
        <v>0</v>
      </c>
      <c r="U1066" t="s">
        <v>880</v>
      </c>
    </row>
    <row r="1067" spans="1:21" x14ac:dyDescent="0.35">
      <c r="A1067" t="s">
        <v>3971</v>
      </c>
      <c r="B1067" t="s">
        <v>3972</v>
      </c>
      <c r="C1067">
        <v>438</v>
      </c>
      <c r="D1067" s="5">
        <v>22.063209000000001</v>
      </c>
      <c r="E1067" s="5">
        <v>9.0267400000000002</v>
      </c>
      <c r="F1067" s="5">
        <v>14.52384</v>
      </c>
      <c r="G1067" s="5">
        <v>8.2277930000000001</v>
      </c>
      <c r="H1067" s="11">
        <v>0</v>
      </c>
      <c r="I1067" s="11">
        <v>0</v>
      </c>
      <c r="J1067" s="11">
        <v>0</v>
      </c>
      <c r="K1067" s="7">
        <f t="shared" si="34"/>
        <v>13.460395499999999</v>
      </c>
      <c r="L1067" s="8">
        <f t="shared" si="35"/>
        <v>0</v>
      </c>
      <c r="M1067" s="9">
        <v>1.02946431615975E-7</v>
      </c>
      <c r="N1067" s="9">
        <v>1.47575939258154E-6</v>
      </c>
      <c r="O1067" s="2">
        <v>-4.7293286616963899</v>
      </c>
      <c r="P1067" t="s">
        <v>3971</v>
      </c>
      <c r="Q1067" s="10">
        <f>IF(N1067&lt;='[1]statistical criteria'!$B$2,IF(O1067&gt;=LOG('[1]statistical criteria'!$B$3,2),1,IF(O1067&lt;=-1*LOG('[1]statistical criteria'!$B$3,2),2,"-")),"-")</f>
        <v>2</v>
      </c>
      <c r="R1067" t="s">
        <v>3973</v>
      </c>
      <c r="S1067" t="s">
        <v>3974</v>
      </c>
      <c r="T1067" s="9">
        <v>1E-13</v>
      </c>
      <c r="U1067" t="s">
        <v>3975</v>
      </c>
    </row>
    <row r="1068" spans="1:21" x14ac:dyDescent="0.35">
      <c r="A1068" t="s">
        <v>3976</v>
      </c>
      <c r="B1068" t="s">
        <v>3977</v>
      </c>
      <c r="C1068">
        <v>1935</v>
      </c>
      <c r="D1068" s="5">
        <v>4.7967339999999998</v>
      </c>
      <c r="E1068" s="5">
        <v>16.550332000000001</v>
      </c>
      <c r="F1068" s="5">
        <v>11.302035999999999</v>
      </c>
      <c r="G1068" s="5">
        <v>7.8899470000000003</v>
      </c>
      <c r="H1068" s="6">
        <v>0.30497999999999997</v>
      </c>
      <c r="I1068" s="11">
        <v>0</v>
      </c>
      <c r="J1068" s="11">
        <v>0</v>
      </c>
      <c r="K1068" s="7">
        <f t="shared" si="34"/>
        <v>10.13476225</v>
      </c>
      <c r="L1068" s="8">
        <f t="shared" si="35"/>
        <v>0.10165999999999999</v>
      </c>
      <c r="M1068" s="9">
        <v>3.2775064747316601E-18</v>
      </c>
      <c r="N1068" s="9">
        <v>2.5667056878248399E-16</v>
      </c>
      <c r="O1068" s="2">
        <v>-4.73207161157017</v>
      </c>
      <c r="P1068" t="s">
        <v>3976</v>
      </c>
      <c r="Q1068" s="10">
        <f>IF(N1068&lt;='[1]statistical criteria'!$B$2,IF(O1068&gt;=LOG('[1]statistical criteria'!$B$3,2),1,IF(O1068&lt;=-1*LOG('[1]statistical criteria'!$B$3,2),2,"-")),"-")</f>
        <v>2</v>
      </c>
      <c r="R1068" t="s">
        <v>2796</v>
      </c>
      <c r="S1068" t="s">
        <v>2797</v>
      </c>
      <c r="T1068" s="9">
        <v>8.9999999999999997E-156</v>
      </c>
      <c r="U1068" t="s">
        <v>2798</v>
      </c>
    </row>
    <row r="1069" spans="1:21" x14ac:dyDescent="0.35">
      <c r="A1069" t="s">
        <v>3978</v>
      </c>
      <c r="B1069" t="s">
        <v>3979</v>
      </c>
      <c r="C1069">
        <v>543</v>
      </c>
      <c r="D1069" s="5">
        <v>17.96903</v>
      </c>
      <c r="E1069" s="5">
        <v>2.6794120000000001</v>
      </c>
      <c r="F1069" s="5">
        <v>10.1061</v>
      </c>
      <c r="G1069" s="5">
        <v>12.469417</v>
      </c>
      <c r="H1069" s="11">
        <v>0</v>
      </c>
      <c r="I1069" s="11">
        <v>0</v>
      </c>
      <c r="J1069" s="11">
        <v>0</v>
      </c>
      <c r="K1069" s="7">
        <f t="shared" si="34"/>
        <v>10.80598975</v>
      </c>
      <c r="L1069" s="8">
        <f t="shared" si="35"/>
        <v>0</v>
      </c>
      <c r="M1069" s="9">
        <v>1.46281895896777E-9</v>
      </c>
      <c r="N1069" s="9">
        <v>3.0674870291081701E-8</v>
      </c>
      <c r="O1069" s="2">
        <v>-4.7327214854105097</v>
      </c>
      <c r="P1069" t="s">
        <v>3978</v>
      </c>
      <c r="Q1069" s="10">
        <f>IF(N1069&lt;='[1]statistical criteria'!$B$2,IF(O1069&gt;=LOG('[1]statistical criteria'!$B$3,2),1,IF(O1069&lt;=-1*LOG('[1]statistical criteria'!$B$3,2),2,"-")),"-")</f>
        <v>2</v>
      </c>
      <c r="R1069" t="s">
        <v>3359</v>
      </c>
      <c r="S1069" t="s">
        <v>3360</v>
      </c>
      <c r="T1069" s="9">
        <v>1.9999999999999999E-98</v>
      </c>
      <c r="U1069" t="s">
        <v>3361</v>
      </c>
    </row>
    <row r="1070" spans="1:21" x14ac:dyDescent="0.35">
      <c r="A1070" t="s">
        <v>3980</v>
      </c>
      <c r="B1070" t="s">
        <v>3981</v>
      </c>
      <c r="C1070">
        <v>999</v>
      </c>
      <c r="D1070" s="5">
        <v>3.5714630000000001</v>
      </c>
      <c r="E1070" s="5">
        <v>5.2594880000000002</v>
      </c>
      <c r="F1070" s="5">
        <v>5.5988199999999999</v>
      </c>
      <c r="G1070" s="5">
        <v>4.8267030000000002</v>
      </c>
      <c r="H1070" s="11">
        <v>0</v>
      </c>
      <c r="I1070" s="11">
        <v>0</v>
      </c>
      <c r="J1070" s="11">
        <v>0</v>
      </c>
      <c r="K1070" s="7">
        <f t="shared" si="34"/>
        <v>4.8141185000000002</v>
      </c>
      <c r="L1070" s="8">
        <f t="shared" si="35"/>
        <v>0</v>
      </c>
      <c r="M1070" s="9">
        <v>3.5273167054460802E-7</v>
      </c>
      <c r="N1070" s="9">
        <v>4.5035113656248797E-6</v>
      </c>
      <c r="O1070" s="2">
        <v>-4.7351418570834802</v>
      </c>
      <c r="P1070" t="s">
        <v>3980</v>
      </c>
      <c r="Q1070" s="10">
        <f>IF(N1070&lt;='[1]statistical criteria'!$B$2,IF(O1070&gt;=LOG('[1]statistical criteria'!$B$3,2),1,IF(O1070&lt;=-1*LOG('[1]statistical criteria'!$B$3,2),2,"-")),"-")</f>
        <v>2</v>
      </c>
      <c r="R1070" t="s">
        <v>3982</v>
      </c>
      <c r="S1070" t="s">
        <v>3983</v>
      </c>
      <c r="T1070" s="9">
        <v>1.0000000000000001E-110</v>
      </c>
      <c r="U1070" t="s">
        <v>3984</v>
      </c>
    </row>
    <row r="1071" spans="1:21" x14ac:dyDescent="0.35">
      <c r="A1071" t="s">
        <v>3985</v>
      </c>
      <c r="B1071" t="s">
        <v>3986</v>
      </c>
      <c r="C1071">
        <v>3066</v>
      </c>
      <c r="D1071" s="5">
        <v>12.216685</v>
      </c>
      <c r="E1071" s="5">
        <v>11.998017000000001</v>
      </c>
      <c r="F1071" s="5">
        <v>9.8532290000000007</v>
      </c>
      <c r="G1071" s="5">
        <v>12.989490999999999</v>
      </c>
      <c r="H1071" s="6">
        <v>3.1249090000000002</v>
      </c>
      <c r="I1071" s="11">
        <v>0</v>
      </c>
      <c r="J1071" s="11">
        <v>0</v>
      </c>
      <c r="K1071" s="7">
        <f t="shared" si="34"/>
        <v>11.764355500000001</v>
      </c>
      <c r="L1071" s="8">
        <f t="shared" si="35"/>
        <v>1.0416363333333334</v>
      </c>
      <c r="M1071" s="9">
        <v>7.8613523495567897E-8</v>
      </c>
      <c r="N1071" s="9">
        <v>1.1660291131104101E-6</v>
      </c>
      <c r="O1071" s="2">
        <v>-4.7378278317674196</v>
      </c>
      <c r="P1071" t="s">
        <v>3985</v>
      </c>
      <c r="Q1071" s="10">
        <f>IF(N1071&lt;='[1]statistical criteria'!$B$2,IF(O1071&gt;=LOG('[1]statistical criteria'!$B$3,2),1,IF(O1071&lt;=-1*LOG('[1]statistical criteria'!$B$3,2),2,"-")),"-")</f>
        <v>2</v>
      </c>
      <c r="R1071" t="s">
        <v>3987</v>
      </c>
      <c r="S1071" t="s">
        <v>3988</v>
      </c>
      <c r="T1071" s="9">
        <v>9.9999999999999998E-13</v>
      </c>
      <c r="U1071" t="s">
        <v>3989</v>
      </c>
    </row>
    <row r="1072" spans="1:21" x14ac:dyDescent="0.35">
      <c r="A1072" t="s">
        <v>3990</v>
      </c>
      <c r="B1072" t="s">
        <v>3991</v>
      </c>
      <c r="C1072">
        <v>1227</v>
      </c>
      <c r="D1072" s="5">
        <v>5.1477820000000003</v>
      </c>
      <c r="E1072" s="5">
        <v>3.6264289999999999</v>
      </c>
      <c r="F1072" s="5">
        <v>11.204496000000001</v>
      </c>
      <c r="G1072" s="5">
        <v>2.4271370000000001</v>
      </c>
      <c r="H1072" s="11">
        <v>0</v>
      </c>
      <c r="I1072" s="11">
        <v>0</v>
      </c>
      <c r="J1072" s="11">
        <v>0</v>
      </c>
      <c r="K1072" s="7">
        <f t="shared" si="34"/>
        <v>5.6014610000000005</v>
      </c>
      <c r="L1072" s="8">
        <f t="shared" si="35"/>
        <v>0</v>
      </c>
      <c r="M1072" s="9">
        <v>8.6250704619682099E-8</v>
      </c>
      <c r="N1072" s="9">
        <v>1.26306341586191E-6</v>
      </c>
      <c r="O1072" s="2">
        <v>-4.7401051564441499</v>
      </c>
      <c r="P1072" t="s">
        <v>3990</v>
      </c>
      <c r="Q1072" s="10">
        <f>IF(N1072&lt;='[1]statistical criteria'!$B$2,IF(O1072&gt;=LOG('[1]statistical criteria'!$B$3,2),1,IF(O1072&lt;=-1*LOG('[1]statistical criteria'!$B$3,2),2,"-")),"-")</f>
        <v>2</v>
      </c>
      <c r="R1072" t="s">
        <v>2796</v>
      </c>
      <c r="S1072" t="s">
        <v>3992</v>
      </c>
      <c r="T1072">
        <v>0</v>
      </c>
      <c r="U1072" t="s">
        <v>2798</v>
      </c>
    </row>
    <row r="1073" spans="1:21" x14ac:dyDescent="0.35">
      <c r="A1073" t="s">
        <v>3993</v>
      </c>
      <c r="B1073" t="s">
        <v>3994</v>
      </c>
      <c r="C1073">
        <v>2130</v>
      </c>
      <c r="D1073" s="5">
        <v>4.4882309999999999</v>
      </c>
      <c r="E1073" s="5">
        <v>4.0701530000000004</v>
      </c>
      <c r="F1073" s="5">
        <v>3.7737850000000002</v>
      </c>
      <c r="G1073" s="5">
        <v>2.5890569999999999</v>
      </c>
      <c r="H1073" s="11">
        <v>0</v>
      </c>
      <c r="I1073" s="11">
        <v>0</v>
      </c>
      <c r="J1073" s="11">
        <v>0</v>
      </c>
      <c r="K1073" s="7">
        <f t="shared" si="34"/>
        <v>3.7303065000000002</v>
      </c>
      <c r="L1073" s="8">
        <f t="shared" si="35"/>
        <v>0</v>
      </c>
      <c r="M1073" s="9">
        <v>4.4676353803079302E-9</v>
      </c>
      <c r="N1073" s="9">
        <v>8.5575341003784493E-8</v>
      </c>
      <c r="O1073" s="2">
        <v>-4.7433943712115303</v>
      </c>
      <c r="P1073" t="s">
        <v>3993</v>
      </c>
      <c r="Q1073" s="10">
        <f>IF(N1073&lt;='[1]statistical criteria'!$B$2,IF(O1073&gt;=LOG('[1]statistical criteria'!$B$3,2),1,IF(O1073&lt;=-1*LOG('[1]statistical criteria'!$B$3,2),2,"-")),"-")</f>
        <v>2</v>
      </c>
      <c r="R1073" t="s">
        <v>3995</v>
      </c>
      <c r="S1073" t="s">
        <v>3996</v>
      </c>
      <c r="T1073">
        <v>0</v>
      </c>
      <c r="U1073" t="s">
        <v>3997</v>
      </c>
    </row>
    <row r="1074" spans="1:21" x14ac:dyDescent="0.35">
      <c r="A1074" t="s">
        <v>3998</v>
      </c>
      <c r="B1074" t="s">
        <v>3999</v>
      </c>
      <c r="C1074">
        <v>971</v>
      </c>
      <c r="D1074" s="5">
        <v>3.811963</v>
      </c>
      <c r="E1074" s="5">
        <v>4.3125</v>
      </c>
      <c r="F1074" s="5">
        <v>6.3611050000000002</v>
      </c>
      <c r="G1074" s="5">
        <v>2.3008790000000001</v>
      </c>
      <c r="H1074" s="11">
        <v>0</v>
      </c>
      <c r="I1074" s="11">
        <v>0</v>
      </c>
      <c r="J1074" s="11">
        <v>0</v>
      </c>
      <c r="K1074" s="7">
        <f t="shared" si="34"/>
        <v>4.1966117500000006</v>
      </c>
      <c r="L1074" s="8">
        <f t="shared" si="35"/>
        <v>0</v>
      </c>
      <c r="M1074" s="9">
        <v>9.4941014468155799E-8</v>
      </c>
      <c r="N1074" s="9">
        <v>1.37603008783626E-6</v>
      </c>
      <c r="O1074" s="2">
        <v>-4.7436002659978396</v>
      </c>
      <c r="P1074" t="s">
        <v>3998</v>
      </c>
      <c r="Q1074" s="10">
        <f>IF(N1074&lt;='[1]statistical criteria'!$B$2,IF(O1074&gt;=LOG('[1]statistical criteria'!$B$3,2),1,IF(O1074&lt;=-1*LOG('[1]statistical criteria'!$B$3,2),2,"-")),"-")</f>
        <v>2</v>
      </c>
      <c r="R1074" t="s">
        <v>3630</v>
      </c>
      <c r="S1074" t="s">
        <v>3631</v>
      </c>
      <c r="T1074" s="9">
        <v>7.0000000000000001E-143</v>
      </c>
      <c r="U1074" t="s">
        <v>3632</v>
      </c>
    </row>
    <row r="1075" spans="1:21" x14ac:dyDescent="0.35">
      <c r="A1075" t="s">
        <v>4000</v>
      </c>
      <c r="B1075" t="s">
        <v>4001</v>
      </c>
      <c r="C1075">
        <v>2043</v>
      </c>
      <c r="D1075" s="5">
        <v>12.045567999999999</v>
      </c>
      <c r="E1075" s="5">
        <v>17.409348000000001</v>
      </c>
      <c r="F1075" s="5">
        <v>13.790217999999999</v>
      </c>
      <c r="G1075" s="5">
        <v>16.817833</v>
      </c>
      <c r="H1075" s="6">
        <v>1.4945120000000001</v>
      </c>
      <c r="I1075" s="11">
        <v>0</v>
      </c>
      <c r="J1075" s="11">
        <v>0</v>
      </c>
      <c r="K1075" s="7">
        <f t="shared" si="34"/>
        <v>15.01574175</v>
      </c>
      <c r="L1075" s="8">
        <f t="shared" si="35"/>
        <v>0.49817066666666671</v>
      </c>
      <c r="M1075" s="9">
        <v>1.2170367612196599E-12</v>
      </c>
      <c r="N1075" s="9">
        <v>4.12470339554944E-11</v>
      </c>
      <c r="O1075" s="2">
        <v>-4.7446829846496996</v>
      </c>
      <c r="P1075" t="s">
        <v>4000</v>
      </c>
      <c r="Q1075" s="10">
        <f>IF(N1075&lt;='[1]statistical criteria'!$B$2,IF(O1075&gt;=LOG('[1]statistical criteria'!$B$3,2),1,IF(O1075&lt;=-1*LOG('[1]statistical criteria'!$B$3,2),2,"-")),"-")</f>
        <v>2</v>
      </c>
      <c r="R1075" t="s">
        <v>4002</v>
      </c>
      <c r="S1075" t="s">
        <v>4003</v>
      </c>
      <c r="T1075">
        <v>0</v>
      </c>
      <c r="U1075" t="s">
        <v>4004</v>
      </c>
    </row>
    <row r="1076" spans="1:21" x14ac:dyDescent="0.35">
      <c r="A1076" t="s">
        <v>4005</v>
      </c>
      <c r="B1076" t="s">
        <v>4006</v>
      </c>
      <c r="C1076">
        <v>1080</v>
      </c>
      <c r="D1076" s="5">
        <v>2.7536770000000002</v>
      </c>
      <c r="E1076" s="5">
        <v>4.8295839999999997</v>
      </c>
      <c r="F1076" s="5">
        <v>1.1648000000000001</v>
      </c>
      <c r="G1076" s="5">
        <v>3.5123920000000002</v>
      </c>
      <c r="H1076" s="11">
        <v>0</v>
      </c>
      <c r="I1076" s="11">
        <v>0</v>
      </c>
      <c r="J1076" s="11">
        <v>0</v>
      </c>
      <c r="K1076" s="7">
        <f t="shared" si="34"/>
        <v>3.06511325</v>
      </c>
      <c r="L1076" s="8">
        <f t="shared" si="35"/>
        <v>0</v>
      </c>
      <c r="M1076" s="9">
        <v>4.8319862562782401E-9</v>
      </c>
      <c r="N1076" s="9">
        <v>9.2044743200175096E-8</v>
      </c>
      <c r="O1076" s="2">
        <v>-4.7465325184795901</v>
      </c>
      <c r="P1076" t="s">
        <v>4005</v>
      </c>
      <c r="Q1076" s="10">
        <f>IF(N1076&lt;='[1]statistical criteria'!$B$2,IF(O1076&gt;=LOG('[1]statistical criteria'!$B$3,2),1,IF(O1076&lt;=-1*LOG('[1]statistical criteria'!$B$3,2),2,"-")),"-")</f>
        <v>2</v>
      </c>
      <c r="R1076" t="s">
        <v>4007</v>
      </c>
    </row>
    <row r="1077" spans="1:21" x14ac:dyDescent="0.35">
      <c r="A1077" t="s">
        <v>4008</v>
      </c>
      <c r="B1077" t="s">
        <v>4009</v>
      </c>
      <c r="C1077">
        <v>558</v>
      </c>
      <c r="D1077" s="5">
        <v>15.592965</v>
      </c>
      <c r="E1077" s="5">
        <v>13.177526</v>
      </c>
      <c r="F1077" s="5">
        <v>20.629515999999999</v>
      </c>
      <c r="G1077" s="5">
        <v>16.552398</v>
      </c>
      <c r="H1077" s="11">
        <v>0</v>
      </c>
      <c r="I1077" s="11">
        <v>0</v>
      </c>
      <c r="J1077" s="6">
        <v>0.41455799999999998</v>
      </c>
      <c r="K1077" s="7">
        <f t="shared" si="34"/>
        <v>16.48810125</v>
      </c>
      <c r="L1077" s="8">
        <f t="shared" si="35"/>
        <v>0.138186</v>
      </c>
      <c r="M1077" s="9">
        <v>5.9845046422829198E-9</v>
      </c>
      <c r="N1077" s="9">
        <v>1.1181651776401E-7</v>
      </c>
      <c r="O1077" s="2">
        <v>-4.7495805324818603</v>
      </c>
      <c r="P1077" t="s">
        <v>4008</v>
      </c>
      <c r="Q1077" s="10">
        <f>IF(N1077&lt;='[1]statistical criteria'!$B$2,IF(O1077&gt;=LOG('[1]statistical criteria'!$B$3,2),1,IF(O1077&lt;=-1*LOG('[1]statistical criteria'!$B$3,2),2,"-")),"-")</f>
        <v>2</v>
      </c>
      <c r="R1077" t="s">
        <v>4010</v>
      </c>
    </row>
    <row r="1078" spans="1:21" x14ac:dyDescent="0.35">
      <c r="A1078" t="s">
        <v>4011</v>
      </c>
      <c r="B1078" t="s">
        <v>4012</v>
      </c>
      <c r="C1078">
        <v>1140</v>
      </c>
      <c r="D1078" s="5">
        <v>3.594932</v>
      </c>
      <c r="E1078" s="5">
        <v>6.173934</v>
      </c>
      <c r="F1078" s="5">
        <v>4.4758599999999999</v>
      </c>
      <c r="G1078" s="5">
        <v>3.9543409999999999</v>
      </c>
      <c r="H1078" s="11">
        <v>0</v>
      </c>
      <c r="I1078" s="11">
        <v>0</v>
      </c>
      <c r="J1078" s="11">
        <v>0</v>
      </c>
      <c r="K1078" s="7">
        <f t="shared" si="34"/>
        <v>4.5497667499999999</v>
      </c>
      <c r="L1078" s="8">
        <f t="shared" si="35"/>
        <v>0</v>
      </c>
      <c r="M1078" s="9">
        <v>1.0030520510329399E-9</v>
      </c>
      <c r="N1078" s="9">
        <v>2.15684525775784E-8</v>
      </c>
      <c r="O1078" s="2">
        <v>-4.7526693415146601</v>
      </c>
      <c r="P1078" t="s">
        <v>4011</v>
      </c>
      <c r="Q1078" s="10">
        <f>IF(N1078&lt;='[1]statistical criteria'!$B$2,IF(O1078&gt;=LOG('[1]statistical criteria'!$B$3,2),1,IF(O1078&lt;=-1*LOG('[1]statistical criteria'!$B$3,2),2,"-")),"-")</f>
        <v>2</v>
      </c>
      <c r="R1078" t="s">
        <v>4013</v>
      </c>
      <c r="S1078" t="s">
        <v>4014</v>
      </c>
      <c r="T1078" s="9">
        <v>2.9999999999999999E-78</v>
      </c>
      <c r="U1078" t="s">
        <v>61</v>
      </c>
    </row>
    <row r="1079" spans="1:21" x14ac:dyDescent="0.35">
      <c r="A1079" t="s">
        <v>4015</v>
      </c>
      <c r="B1079" t="s">
        <v>4016</v>
      </c>
      <c r="C1079">
        <v>1116</v>
      </c>
      <c r="D1079" s="5">
        <v>9.823696</v>
      </c>
      <c r="E1079" s="5">
        <v>3.0427219999999999</v>
      </c>
      <c r="F1079" s="5">
        <v>5.2979149999999997</v>
      </c>
      <c r="G1079" s="5">
        <v>11.672641</v>
      </c>
      <c r="H1079" s="11">
        <v>0</v>
      </c>
      <c r="I1079" s="11">
        <v>0</v>
      </c>
      <c r="J1079" s="11">
        <v>0</v>
      </c>
      <c r="K1079" s="7">
        <f t="shared" si="34"/>
        <v>7.4592434999999995</v>
      </c>
      <c r="L1079" s="8">
        <f t="shared" si="35"/>
        <v>0</v>
      </c>
      <c r="M1079" s="9">
        <v>9.6385157063102902E-9</v>
      </c>
      <c r="N1079" s="9">
        <v>1.72957052231103E-7</v>
      </c>
      <c r="O1079" s="2">
        <v>-4.7584425657947804</v>
      </c>
      <c r="P1079" t="s">
        <v>4015</v>
      </c>
      <c r="Q1079" s="10">
        <f>IF(N1079&lt;='[1]statistical criteria'!$B$2,IF(O1079&gt;=LOG('[1]statistical criteria'!$B$3,2),1,IF(O1079&lt;=-1*LOG('[1]statistical criteria'!$B$3,2),2,"-")),"-")</f>
        <v>2</v>
      </c>
      <c r="R1079" t="s">
        <v>4017</v>
      </c>
      <c r="S1079" t="s">
        <v>4018</v>
      </c>
      <c r="T1079">
        <v>0</v>
      </c>
      <c r="U1079" t="s">
        <v>4019</v>
      </c>
    </row>
    <row r="1080" spans="1:21" x14ac:dyDescent="0.35">
      <c r="A1080" t="s">
        <v>4020</v>
      </c>
      <c r="B1080" t="s">
        <v>4021</v>
      </c>
      <c r="C1080">
        <v>618</v>
      </c>
      <c r="D1080" s="5">
        <v>4.9742550000000003</v>
      </c>
      <c r="E1080" s="5">
        <v>11.568410999999999</v>
      </c>
      <c r="F1080" s="5">
        <v>9.3738469999999996</v>
      </c>
      <c r="G1080" s="5">
        <v>6.2089350000000003</v>
      </c>
      <c r="H1080" s="11">
        <v>0</v>
      </c>
      <c r="I1080" s="11">
        <v>0</v>
      </c>
      <c r="J1080" s="11">
        <v>0</v>
      </c>
      <c r="K1080" s="7">
        <f t="shared" si="34"/>
        <v>8.0313620000000014</v>
      </c>
      <c r="L1080" s="8">
        <f t="shared" si="35"/>
        <v>0</v>
      </c>
      <c r="M1080" s="9">
        <v>1.97851864971751E-7</v>
      </c>
      <c r="N1080" s="9">
        <v>2.6618034573435301E-6</v>
      </c>
      <c r="O1080" s="2">
        <v>-4.7608301436152498</v>
      </c>
      <c r="P1080" t="s">
        <v>4020</v>
      </c>
      <c r="Q1080" s="10">
        <f>IF(N1080&lt;='[1]statistical criteria'!$B$2,IF(O1080&gt;=LOG('[1]statistical criteria'!$B$3,2),1,IF(O1080&lt;=-1*LOG('[1]statistical criteria'!$B$3,2),2,"-")),"-")</f>
        <v>2</v>
      </c>
      <c r="R1080" t="s">
        <v>4022</v>
      </c>
      <c r="S1080" t="s">
        <v>4023</v>
      </c>
      <c r="T1080" s="9">
        <v>2.9999999999999998E-31</v>
      </c>
      <c r="U1080" t="s">
        <v>4024</v>
      </c>
    </row>
    <row r="1081" spans="1:21" x14ac:dyDescent="0.35">
      <c r="A1081" t="s">
        <v>4025</v>
      </c>
      <c r="B1081" t="s">
        <v>4026</v>
      </c>
      <c r="C1081">
        <v>621</v>
      </c>
      <c r="D1081" s="5">
        <v>22.447845000000001</v>
      </c>
      <c r="E1081" s="5">
        <v>39.079391000000001</v>
      </c>
      <c r="F1081" s="5">
        <v>27.782598</v>
      </c>
      <c r="G1081" s="5">
        <v>14.555718000000001</v>
      </c>
      <c r="H1081" s="6">
        <v>2.4256310000000001</v>
      </c>
      <c r="I1081" s="11">
        <v>0</v>
      </c>
      <c r="J1081" s="11">
        <v>0</v>
      </c>
      <c r="K1081" s="7">
        <f t="shared" si="34"/>
        <v>25.966387999999998</v>
      </c>
      <c r="L1081" s="8">
        <f t="shared" si="35"/>
        <v>0.80854366666666666</v>
      </c>
      <c r="M1081" s="9">
        <v>1.8665994163780398E-12</v>
      </c>
      <c r="N1081" s="9">
        <v>6.1508895053980997E-11</v>
      </c>
      <c r="O1081" s="2">
        <v>-4.7614524732254901</v>
      </c>
      <c r="P1081" t="s">
        <v>4025</v>
      </c>
      <c r="Q1081" s="10">
        <f>IF(N1081&lt;='[1]statistical criteria'!$B$2,IF(O1081&gt;=LOG('[1]statistical criteria'!$B$3,2),1,IF(O1081&lt;=-1*LOG('[1]statistical criteria'!$B$3,2),2,"-")),"-")</f>
        <v>2</v>
      </c>
      <c r="R1081" t="s">
        <v>3142</v>
      </c>
      <c r="S1081" t="s">
        <v>3143</v>
      </c>
      <c r="T1081" s="9">
        <v>3E-43</v>
      </c>
      <c r="U1081" t="s">
        <v>3144</v>
      </c>
    </row>
    <row r="1082" spans="1:21" x14ac:dyDescent="0.35">
      <c r="A1082" t="s">
        <v>4027</v>
      </c>
      <c r="B1082" t="s">
        <v>4028</v>
      </c>
      <c r="C1082">
        <v>417</v>
      </c>
      <c r="D1082" s="5">
        <v>19.100629000000001</v>
      </c>
      <c r="E1082" s="5">
        <v>22.755351000000001</v>
      </c>
      <c r="F1082" s="5">
        <v>9.9326070000000009</v>
      </c>
      <c r="G1082" s="5">
        <v>15.131695000000001</v>
      </c>
      <c r="H1082" s="11">
        <v>0</v>
      </c>
      <c r="I1082" s="11">
        <v>0</v>
      </c>
      <c r="J1082" s="11">
        <v>0</v>
      </c>
      <c r="K1082" s="7">
        <f t="shared" si="34"/>
        <v>16.730070500000004</v>
      </c>
      <c r="L1082" s="8">
        <f t="shared" si="35"/>
        <v>0</v>
      </c>
      <c r="M1082" s="9">
        <v>2.57586884370457E-7</v>
      </c>
      <c r="N1082" s="9">
        <v>3.3911299962433699E-6</v>
      </c>
      <c r="O1082" s="2">
        <v>-4.7704881596035298</v>
      </c>
      <c r="P1082" t="s">
        <v>4027</v>
      </c>
      <c r="Q1082" s="10">
        <f>IF(N1082&lt;='[1]statistical criteria'!$B$2,IF(O1082&gt;=LOG('[1]statistical criteria'!$B$3,2),1,IF(O1082&lt;=-1*LOG('[1]statistical criteria'!$B$3,2),2,"-")),"-")</f>
        <v>2</v>
      </c>
      <c r="R1082" t="s">
        <v>4029</v>
      </c>
      <c r="S1082" t="s">
        <v>4030</v>
      </c>
      <c r="T1082" s="9">
        <v>7.9999999999999995E-49</v>
      </c>
      <c r="U1082" t="s">
        <v>61</v>
      </c>
    </row>
    <row r="1083" spans="1:21" x14ac:dyDescent="0.35">
      <c r="A1083" t="s">
        <v>4031</v>
      </c>
      <c r="B1083" t="s">
        <v>4032</v>
      </c>
      <c r="C1083">
        <v>1877</v>
      </c>
      <c r="D1083" s="5">
        <v>83.278893999999994</v>
      </c>
      <c r="E1083" s="5">
        <v>113.89072</v>
      </c>
      <c r="F1083" s="5">
        <v>103.956874</v>
      </c>
      <c r="G1083" s="5">
        <v>89.075569999999999</v>
      </c>
      <c r="H1083" s="6">
        <v>4.9430389999999997</v>
      </c>
      <c r="I1083" s="11">
        <v>0</v>
      </c>
      <c r="J1083" s="6">
        <v>1.939575</v>
      </c>
      <c r="K1083" s="7">
        <f t="shared" si="34"/>
        <v>97.550514499999991</v>
      </c>
      <c r="L1083" s="8">
        <f t="shared" si="35"/>
        <v>2.2942046666666669</v>
      </c>
      <c r="M1083" s="9">
        <v>3.7055770214751301E-9</v>
      </c>
      <c r="N1083" s="9">
        <v>7.1882905931367805E-8</v>
      </c>
      <c r="O1083" s="2">
        <v>-4.7722540791907804</v>
      </c>
      <c r="P1083" t="s">
        <v>4031</v>
      </c>
      <c r="Q1083" s="10">
        <f>IF(N1083&lt;='[1]statistical criteria'!$B$2,IF(O1083&gt;=LOG('[1]statistical criteria'!$B$3,2),1,IF(O1083&lt;=-1*LOG('[1]statistical criteria'!$B$3,2),2,"-")),"-")</f>
        <v>2</v>
      </c>
      <c r="R1083" t="s">
        <v>4033</v>
      </c>
      <c r="S1083" t="s">
        <v>4034</v>
      </c>
      <c r="T1083">
        <v>0</v>
      </c>
      <c r="U1083" t="s">
        <v>4035</v>
      </c>
    </row>
    <row r="1084" spans="1:21" x14ac:dyDescent="0.35">
      <c r="A1084" t="s">
        <v>4036</v>
      </c>
      <c r="B1084" t="s">
        <v>4037</v>
      </c>
      <c r="C1084">
        <v>741</v>
      </c>
      <c r="D1084" s="5">
        <v>3.935152</v>
      </c>
      <c r="E1084" s="5">
        <v>16.459937</v>
      </c>
      <c r="F1084" s="5">
        <v>4.8474149999999998</v>
      </c>
      <c r="G1084" s="5">
        <v>5.6873760000000004</v>
      </c>
      <c r="H1084" s="11">
        <v>0</v>
      </c>
      <c r="I1084" s="11">
        <v>0</v>
      </c>
      <c r="J1084" s="11">
        <v>0</v>
      </c>
      <c r="K1084" s="7">
        <f t="shared" si="34"/>
        <v>7.7324699999999993</v>
      </c>
      <c r="L1084" s="8">
        <f t="shared" si="35"/>
        <v>0</v>
      </c>
      <c r="M1084" s="9">
        <v>4.96810981492695E-7</v>
      </c>
      <c r="N1084" s="9">
        <v>6.1431533319077196E-6</v>
      </c>
      <c r="O1084" s="2">
        <v>-4.7747465363237298</v>
      </c>
      <c r="P1084" t="s">
        <v>4036</v>
      </c>
      <c r="Q1084" s="10">
        <f>IF(N1084&lt;='[1]statistical criteria'!$B$2,IF(O1084&gt;=LOG('[1]statistical criteria'!$B$3,2),1,IF(O1084&lt;=-1*LOG('[1]statistical criteria'!$B$3,2),2,"-")),"-")</f>
        <v>2</v>
      </c>
      <c r="R1084" t="s">
        <v>4038</v>
      </c>
      <c r="S1084" t="s">
        <v>4039</v>
      </c>
      <c r="T1084" s="9">
        <v>1.9999999999999999E-29</v>
      </c>
      <c r="U1084" t="s">
        <v>4040</v>
      </c>
    </row>
    <row r="1085" spans="1:21" x14ac:dyDescent="0.35">
      <c r="A1085" t="s">
        <v>4041</v>
      </c>
      <c r="B1085" t="s">
        <v>4042</v>
      </c>
      <c r="C1085">
        <v>936</v>
      </c>
      <c r="D1085" s="5">
        <v>9.6586719999999993</v>
      </c>
      <c r="E1085" s="5">
        <v>9.8800819999999998</v>
      </c>
      <c r="F1085" s="5">
        <v>9.8771930000000001</v>
      </c>
      <c r="G1085" s="5">
        <v>6.8048339999999996</v>
      </c>
      <c r="H1085" s="11">
        <v>0</v>
      </c>
      <c r="I1085" s="11">
        <v>0</v>
      </c>
      <c r="J1085" s="6">
        <v>0.33058500000000002</v>
      </c>
      <c r="K1085" s="7">
        <f t="shared" si="34"/>
        <v>9.0551952499999988</v>
      </c>
      <c r="L1085" s="8">
        <f t="shared" si="35"/>
        <v>0.110195</v>
      </c>
      <c r="M1085" s="9">
        <v>7.9365110745369998E-10</v>
      </c>
      <c r="N1085" s="9">
        <v>1.7359977672234401E-8</v>
      </c>
      <c r="O1085" s="2">
        <v>-4.7785111788671903</v>
      </c>
      <c r="P1085" t="s">
        <v>4041</v>
      </c>
      <c r="Q1085" s="10">
        <f>IF(N1085&lt;='[1]statistical criteria'!$B$2,IF(O1085&gt;=LOG('[1]statistical criteria'!$B$3,2),1,IF(O1085&lt;=-1*LOG('[1]statistical criteria'!$B$3,2),2,"-")),"-")</f>
        <v>2</v>
      </c>
      <c r="S1085" t="s">
        <v>4043</v>
      </c>
      <c r="T1085" s="9">
        <v>2.9999999999999998E-13</v>
      </c>
      <c r="U1085" t="s">
        <v>61</v>
      </c>
    </row>
    <row r="1086" spans="1:21" x14ac:dyDescent="0.35">
      <c r="A1086" t="s">
        <v>4044</v>
      </c>
      <c r="B1086" t="s">
        <v>4045</v>
      </c>
      <c r="C1086">
        <v>483</v>
      </c>
      <c r="D1086" s="5">
        <v>14.918466</v>
      </c>
      <c r="E1086" s="5">
        <v>20.392893999999998</v>
      </c>
      <c r="F1086" s="5">
        <v>17.467075000000001</v>
      </c>
      <c r="G1086" s="5">
        <v>7.9113660000000001</v>
      </c>
      <c r="H1086" s="11">
        <v>0</v>
      </c>
      <c r="I1086" s="11">
        <v>0</v>
      </c>
      <c r="J1086" s="11">
        <v>0</v>
      </c>
      <c r="K1086" s="7">
        <f t="shared" si="34"/>
        <v>15.172450250000001</v>
      </c>
      <c r="L1086" s="8">
        <f t="shared" si="35"/>
        <v>0</v>
      </c>
      <c r="M1086" s="9">
        <v>2.9728057196495198E-7</v>
      </c>
      <c r="N1086" s="9">
        <v>3.8576537909942301E-6</v>
      </c>
      <c r="O1086" s="2">
        <v>-4.7798391540212402</v>
      </c>
      <c r="P1086" t="s">
        <v>4044</v>
      </c>
      <c r="Q1086" s="10">
        <f>IF(N1086&lt;='[1]statistical criteria'!$B$2,IF(O1086&gt;=LOG('[1]statistical criteria'!$B$3,2),1,IF(O1086&lt;=-1*LOG('[1]statistical criteria'!$B$3,2),2,"-")),"-")</f>
        <v>2</v>
      </c>
      <c r="R1086" t="s">
        <v>4046</v>
      </c>
      <c r="S1086" t="s">
        <v>4047</v>
      </c>
      <c r="T1086">
        <v>0</v>
      </c>
      <c r="U1086" t="s">
        <v>4048</v>
      </c>
    </row>
    <row r="1087" spans="1:21" x14ac:dyDescent="0.35">
      <c r="A1087" t="s">
        <v>4049</v>
      </c>
      <c r="B1087" t="s">
        <v>4050</v>
      </c>
      <c r="C1087">
        <v>1503</v>
      </c>
      <c r="D1087" s="5">
        <v>2.6569219999999998</v>
      </c>
      <c r="E1087" s="5">
        <v>5.1748209999999997</v>
      </c>
      <c r="F1087" s="5">
        <v>3.5855489999999999</v>
      </c>
      <c r="G1087" s="5">
        <v>6.978389</v>
      </c>
      <c r="H1087" s="11">
        <v>0</v>
      </c>
      <c r="I1087" s="11">
        <v>0</v>
      </c>
      <c r="J1087" s="11">
        <v>0</v>
      </c>
      <c r="K1087" s="7">
        <f t="shared" si="34"/>
        <v>4.5989202499999999</v>
      </c>
      <c r="L1087" s="8">
        <f t="shared" si="35"/>
        <v>0</v>
      </c>
      <c r="M1087" s="9">
        <v>8.7605718906088899E-10</v>
      </c>
      <c r="N1087" s="9">
        <v>1.8998710322311899E-8</v>
      </c>
      <c r="O1087" s="2">
        <v>-4.7799942177769097</v>
      </c>
      <c r="P1087" t="s">
        <v>4049</v>
      </c>
      <c r="Q1087" s="10">
        <f>IF(N1087&lt;='[1]statistical criteria'!$B$2,IF(O1087&gt;=LOG('[1]statistical criteria'!$B$3,2),1,IF(O1087&lt;=-1*LOG('[1]statistical criteria'!$B$3,2),2,"-")),"-")</f>
        <v>2</v>
      </c>
      <c r="R1087" t="s">
        <v>980</v>
      </c>
      <c r="S1087" t="s">
        <v>4051</v>
      </c>
      <c r="T1087">
        <v>0</v>
      </c>
      <c r="U1087" t="s">
        <v>982</v>
      </c>
    </row>
    <row r="1088" spans="1:21" x14ac:dyDescent="0.35">
      <c r="A1088" t="s">
        <v>4052</v>
      </c>
      <c r="B1088" s="27" t="s">
        <v>4053</v>
      </c>
      <c r="C1088">
        <v>546</v>
      </c>
      <c r="D1088" s="5">
        <v>191.56537499999999</v>
      </c>
      <c r="E1088" s="5">
        <v>262.17085300000002</v>
      </c>
      <c r="F1088" s="5">
        <v>279.32466899999997</v>
      </c>
      <c r="G1088" s="5">
        <v>237.539297</v>
      </c>
      <c r="H1088" s="6">
        <v>17.532378000000001</v>
      </c>
      <c r="I1088" s="6">
        <v>18.805416999999998</v>
      </c>
      <c r="J1088" s="11">
        <v>0</v>
      </c>
      <c r="K1088" s="7">
        <f t="shared" si="34"/>
        <v>242.6500485</v>
      </c>
      <c r="L1088" s="8">
        <f t="shared" si="35"/>
        <v>12.112598333333333</v>
      </c>
      <c r="M1088" s="9">
        <v>5.5075644906291897E-8</v>
      </c>
      <c r="N1088" s="9">
        <v>8.4694102833675495E-7</v>
      </c>
      <c r="O1088" s="2">
        <v>-4.78469743237022</v>
      </c>
      <c r="P1088" t="s">
        <v>4052</v>
      </c>
      <c r="Q1088" s="10">
        <f>IF(N1088&lt;='[1]statistical criteria'!$B$2,IF(O1088&gt;=LOG('[1]statistical criteria'!$B$3,2),1,IF(O1088&lt;=-1*LOG('[1]statistical criteria'!$B$3,2),2,"-")),"-")</f>
        <v>2</v>
      </c>
      <c r="R1088" s="27" t="s">
        <v>2576</v>
      </c>
      <c r="S1088" s="27" t="s">
        <v>2577</v>
      </c>
      <c r="T1088" s="28">
        <v>2.0000000000000001E-61</v>
      </c>
      <c r="U1088" s="27" t="s">
        <v>2578</v>
      </c>
    </row>
    <row r="1089" spans="1:21" x14ac:dyDescent="0.35">
      <c r="A1089" t="s">
        <v>4054</v>
      </c>
      <c r="B1089" t="s">
        <v>4055</v>
      </c>
      <c r="C1089">
        <v>1490</v>
      </c>
      <c r="D1089" s="5">
        <v>67.234059000000002</v>
      </c>
      <c r="E1089" s="5">
        <v>70.422501999999994</v>
      </c>
      <c r="F1089" s="5">
        <v>102.392984</v>
      </c>
      <c r="G1089" s="5">
        <v>83.892847000000003</v>
      </c>
      <c r="H1089" s="6">
        <v>1.6276870000000001</v>
      </c>
      <c r="I1089" s="6">
        <v>4.2050280000000004</v>
      </c>
      <c r="J1089" s="11">
        <v>0</v>
      </c>
      <c r="K1089" s="7">
        <f t="shared" si="34"/>
        <v>80.98559800000001</v>
      </c>
      <c r="L1089" s="8">
        <f t="shared" si="35"/>
        <v>1.9442383333333335</v>
      </c>
      <c r="M1089" s="9">
        <v>1.6736702485190701E-10</v>
      </c>
      <c r="N1089" s="9">
        <v>4.0700059267743E-9</v>
      </c>
      <c r="O1089" s="2">
        <v>-4.7863667857171803</v>
      </c>
      <c r="P1089" t="s">
        <v>4054</v>
      </c>
      <c r="Q1089" s="10">
        <f>IF(N1089&lt;='[1]statistical criteria'!$B$2,IF(O1089&gt;=LOG('[1]statistical criteria'!$B$3,2),1,IF(O1089&lt;=-1*LOG('[1]statistical criteria'!$B$3,2),2,"-")),"-")</f>
        <v>2</v>
      </c>
      <c r="R1089" t="s">
        <v>4056</v>
      </c>
      <c r="S1089" t="s">
        <v>4057</v>
      </c>
      <c r="T1089">
        <v>0</v>
      </c>
      <c r="U1089" t="s">
        <v>4058</v>
      </c>
    </row>
    <row r="1090" spans="1:21" x14ac:dyDescent="0.35">
      <c r="A1090" t="s">
        <v>4059</v>
      </c>
      <c r="B1090" t="s">
        <v>4060</v>
      </c>
      <c r="C1090">
        <v>1632</v>
      </c>
      <c r="D1090" s="5">
        <v>4.8449749999999998</v>
      </c>
      <c r="E1090" s="5">
        <v>9.0337589999999999</v>
      </c>
      <c r="F1090" s="5">
        <v>7.9859210000000003</v>
      </c>
      <c r="G1090" s="5">
        <v>4.1884100000000002</v>
      </c>
      <c r="H1090" s="11">
        <v>0</v>
      </c>
      <c r="I1090" s="11">
        <v>0</v>
      </c>
      <c r="J1090" s="11">
        <v>0</v>
      </c>
      <c r="K1090" s="7">
        <f t="shared" si="34"/>
        <v>6.51326625</v>
      </c>
      <c r="L1090" s="8">
        <f t="shared" si="35"/>
        <v>0</v>
      </c>
      <c r="M1090" s="9">
        <v>4.7689449606379904E-9</v>
      </c>
      <c r="N1090" s="9">
        <v>9.0980473785404398E-8</v>
      </c>
      <c r="O1090" s="2">
        <v>-4.7893867163258097</v>
      </c>
      <c r="P1090" t="s">
        <v>4059</v>
      </c>
      <c r="Q1090" s="10">
        <f>IF(N1090&lt;='[1]statistical criteria'!$B$2,IF(O1090&gt;=LOG('[1]statistical criteria'!$B$3,2),1,IF(O1090&lt;=-1*LOG('[1]statistical criteria'!$B$3,2),2,"-")),"-")</f>
        <v>2</v>
      </c>
      <c r="R1090" t="s">
        <v>3576</v>
      </c>
      <c r="S1090" t="s">
        <v>4061</v>
      </c>
      <c r="T1090" s="9">
        <v>3.9999999999999999E-105</v>
      </c>
      <c r="U1090" t="s">
        <v>322</v>
      </c>
    </row>
    <row r="1091" spans="1:21" x14ac:dyDescent="0.35">
      <c r="A1091" t="s">
        <v>4062</v>
      </c>
      <c r="B1091" t="s">
        <v>4063</v>
      </c>
      <c r="C1091">
        <v>1620</v>
      </c>
      <c r="D1091" s="5">
        <v>7.7774989999999997</v>
      </c>
      <c r="E1091" s="5">
        <v>9.8099410000000002</v>
      </c>
      <c r="F1091" s="5">
        <v>3.5961979999999998</v>
      </c>
      <c r="G1091" s="5">
        <v>2.6464810000000001</v>
      </c>
      <c r="H1091" s="11">
        <v>0</v>
      </c>
      <c r="I1091" s="11">
        <v>0</v>
      </c>
      <c r="J1091" s="11">
        <v>0</v>
      </c>
      <c r="K1091" s="7">
        <f t="shared" si="34"/>
        <v>5.9575297500000008</v>
      </c>
      <c r="L1091" s="8">
        <f t="shared" si="35"/>
        <v>0</v>
      </c>
      <c r="M1091" s="9">
        <v>8.5634311880790401E-10</v>
      </c>
      <c r="N1091" s="9">
        <v>1.8634887994184601E-8</v>
      </c>
      <c r="O1091" s="2">
        <v>-4.7925725838437296</v>
      </c>
      <c r="P1091" t="s">
        <v>4062</v>
      </c>
      <c r="Q1091" s="10">
        <f>IF(N1091&lt;='[1]statistical criteria'!$B$2,IF(O1091&gt;=LOG('[1]statistical criteria'!$B$3,2),1,IF(O1091&lt;=-1*LOG('[1]statistical criteria'!$B$3,2),2,"-")),"-")</f>
        <v>2</v>
      </c>
      <c r="R1091" t="s">
        <v>4064</v>
      </c>
      <c r="S1091" t="s">
        <v>4065</v>
      </c>
      <c r="T1091" s="9">
        <v>1E-25</v>
      </c>
      <c r="U1091" t="s">
        <v>61</v>
      </c>
    </row>
    <row r="1092" spans="1:21" x14ac:dyDescent="0.35">
      <c r="A1092" t="s">
        <v>4066</v>
      </c>
      <c r="B1092" t="s">
        <v>4067</v>
      </c>
      <c r="C1092">
        <v>778</v>
      </c>
      <c r="D1092" s="5">
        <v>10.141368999999999</v>
      </c>
      <c r="E1092" s="5">
        <v>2.7685650000000002</v>
      </c>
      <c r="F1092" s="5">
        <v>9.567698</v>
      </c>
      <c r="G1092" s="5">
        <v>9.9121469999999992</v>
      </c>
      <c r="H1092" s="11">
        <v>0</v>
      </c>
      <c r="I1092" s="11">
        <v>0</v>
      </c>
      <c r="J1092" s="11">
        <v>0</v>
      </c>
      <c r="K1092" s="7">
        <f t="shared" si="34"/>
        <v>8.0974447499999993</v>
      </c>
      <c r="L1092" s="8">
        <f t="shared" si="35"/>
        <v>0</v>
      </c>
      <c r="M1092" s="9">
        <v>1.2694288223412099E-7</v>
      </c>
      <c r="N1092" s="9">
        <v>1.7749618287401299E-6</v>
      </c>
      <c r="O1092" s="2">
        <v>-4.7948784285357897</v>
      </c>
      <c r="P1092" t="s">
        <v>4066</v>
      </c>
      <c r="Q1092" s="10">
        <f>IF(N1092&lt;='[1]statistical criteria'!$B$2,IF(O1092&gt;=LOG('[1]statistical criteria'!$B$3,2),1,IF(O1092&lt;=-1*LOG('[1]statistical criteria'!$B$3,2),2,"-")),"-")</f>
        <v>2</v>
      </c>
      <c r="R1092" t="s">
        <v>4068</v>
      </c>
      <c r="S1092" t="s">
        <v>4069</v>
      </c>
      <c r="T1092" s="9">
        <v>5.0000000000000002E-84</v>
      </c>
      <c r="U1092" t="s">
        <v>4070</v>
      </c>
    </row>
    <row r="1093" spans="1:21" x14ac:dyDescent="0.35">
      <c r="A1093" t="s">
        <v>4071</v>
      </c>
      <c r="B1093" t="s">
        <v>4072</v>
      </c>
      <c r="C1093">
        <v>363</v>
      </c>
      <c r="D1093" s="5">
        <v>18.895847</v>
      </c>
      <c r="E1093" s="5">
        <v>14.366357000000001</v>
      </c>
      <c r="F1093" s="5">
        <v>26.486953</v>
      </c>
      <c r="G1093" s="5">
        <v>27.072972</v>
      </c>
      <c r="H1093" s="11">
        <v>0</v>
      </c>
      <c r="I1093" s="11">
        <v>0</v>
      </c>
      <c r="J1093" s="11">
        <v>0</v>
      </c>
      <c r="K1093" s="7">
        <f t="shared" si="34"/>
        <v>21.705532249999997</v>
      </c>
      <c r="L1093" s="8">
        <f t="shared" si="35"/>
        <v>0</v>
      </c>
      <c r="M1093" s="9">
        <v>2.1697842174151701E-7</v>
      </c>
      <c r="N1093" s="9">
        <v>2.8955816029039801E-6</v>
      </c>
      <c r="O1093" s="2">
        <v>-4.7986852276821503</v>
      </c>
      <c r="P1093" t="s">
        <v>4071</v>
      </c>
      <c r="Q1093" s="10">
        <f>IF(N1093&lt;='[1]statistical criteria'!$B$2,IF(O1093&gt;=LOG('[1]statistical criteria'!$B$3,2),1,IF(O1093&lt;=-1*LOG('[1]statistical criteria'!$B$3,2),2,"-")),"-")</f>
        <v>2</v>
      </c>
      <c r="R1093" t="s">
        <v>4073</v>
      </c>
      <c r="S1093" t="s">
        <v>4074</v>
      </c>
      <c r="T1093" s="9">
        <v>3.0000000000000002E-90</v>
      </c>
      <c r="U1093" t="s">
        <v>4075</v>
      </c>
    </row>
    <row r="1094" spans="1:21" x14ac:dyDescent="0.35">
      <c r="A1094" t="s">
        <v>4076</v>
      </c>
      <c r="B1094" t="s">
        <v>4077</v>
      </c>
      <c r="C1094">
        <v>1060</v>
      </c>
      <c r="D1094" s="5">
        <v>13.333862999999999</v>
      </c>
      <c r="E1094" s="5">
        <v>24.414798000000001</v>
      </c>
      <c r="F1094" s="5">
        <v>11.672048999999999</v>
      </c>
      <c r="G1094" s="5">
        <v>9.8704680000000007</v>
      </c>
      <c r="H1094" s="11">
        <v>0</v>
      </c>
      <c r="I1094" s="11">
        <v>0</v>
      </c>
      <c r="J1094" s="6">
        <v>2.0578400000000001</v>
      </c>
      <c r="K1094" s="7">
        <f t="shared" si="34"/>
        <v>14.822794500000001</v>
      </c>
      <c r="L1094" s="8">
        <f t="shared" si="35"/>
        <v>0.6859466666666667</v>
      </c>
      <c r="M1094" s="9">
        <v>1.0172626532085799E-11</v>
      </c>
      <c r="N1094" s="9">
        <v>2.9989943130223598E-10</v>
      </c>
      <c r="O1094" s="2">
        <v>-4.7990014812648703</v>
      </c>
      <c r="P1094" t="s">
        <v>4076</v>
      </c>
      <c r="Q1094" s="10">
        <f>IF(N1094&lt;='[1]statistical criteria'!$B$2,IF(O1094&gt;=LOG('[1]statistical criteria'!$B$3,2),1,IF(O1094&lt;=-1*LOG('[1]statistical criteria'!$B$3,2),2,"-")),"-")</f>
        <v>2</v>
      </c>
      <c r="R1094" t="s">
        <v>4078</v>
      </c>
      <c r="S1094" t="s">
        <v>4079</v>
      </c>
      <c r="T1094" s="9">
        <v>2.0000000000000001E-134</v>
      </c>
      <c r="U1094" t="s">
        <v>4080</v>
      </c>
    </row>
    <row r="1095" spans="1:21" x14ac:dyDescent="0.35">
      <c r="A1095" t="s">
        <v>4081</v>
      </c>
      <c r="B1095" t="s">
        <v>4082</v>
      </c>
      <c r="C1095">
        <v>2451</v>
      </c>
      <c r="D1095" s="5">
        <v>7.7610150000000004</v>
      </c>
      <c r="E1095" s="5">
        <v>7.3571220000000004</v>
      </c>
      <c r="F1095" s="5">
        <v>13.570822</v>
      </c>
      <c r="G1095" s="5">
        <v>12.401726999999999</v>
      </c>
      <c r="H1095" s="6">
        <v>1.224586</v>
      </c>
      <c r="I1095" s="11">
        <v>0</v>
      </c>
      <c r="J1095" s="11">
        <v>0</v>
      </c>
      <c r="K1095" s="7">
        <f t="shared" si="34"/>
        <v>10.2726715</v>
      </c>
      <c r="L1095" s="8">
        <f t="shared" si="35"/>
        <v>0.4081953333333333</v>
      </c>
      <c r="M1095" s="9">
        <v>4.7433816295129402E-7</v>
      </c>
      <c r="N1095" s="9">
        <v>5.8843906394805196E-6</v>
      </c>
      <c r="O1095" s="2">
        <v>-4.8011032250906904</v>
      </c>
      <c r="P1095" t="s">
        <v>4081</v>
      </c>
      <c r="Q1095" s="10">
        <f>IF(N1095&lt;='[1]statistical criteria'!$B$2,IF(O1095&gt;=LOG('[1]statistical criteria'!$B$3,2),1,IF(O1095&lt;=-1*LOG('[1]statistical criteria'!$B$3,2),2,"-")),"-")</f>
        <v>2</v>
      </c>
      <c r="R1095" t="s">
        <v>878</v>
      </c>
      <c r="S1095" t="s">
        <v>3465</v>
      </c>
      <c r="T1095">
        <v>0</v>
      </c>
      <c r="U1095" t="s">
        <v>880</v>
      </c>
    </row>
    <row r="1096" spans="1:21" x14ac:dyDescent="0.35">
      <c r="A1096" t="s">
        <v>390</v>
      </c>
      <c r="B1096" t="s">
        <v>4083</v>
      </c>
      <c r="C1096">
        <v>1167</v>
      </c>
      <c r="D1096" s="5">
        <v>4.812011</v>
      </c>
      <c r="E1096" s="5">
        <v>8.5358300000000007</v>
      </c>
      <c r="F1096" s="5">
        <v>10.390611</v>
      </c>
      <c r="G1096" s="5">
        <v>3.0111520000000001</v>
      </c>
      <c r="H1096" s="11">
        <v>0</v>
      </c>
      <c r="I1096" s="11">
        <v>0</v>
      </c>
      <c r="J1096" s="11">
        <v>0</v>
      </c>
      <c r="K1096" s="7">
        <f t="shared" si="34"/>
        <v>6.6874010000000004</v>
      </c>
      <c r="L1096" s="8">
        <f t="shared" si="35"/>
        <v>0</v>
      </c>
      <c r="M1096" s="9">
        <v>1.4497450943921499E-7</v>
      </c>
      <c r="N1096" s="9">
        <v>2.0057178586901302E-6</v>
      </c>
      <c r="O1096" s="2">
        <v>-4.8057417336188601</v>
      </c>
      <c r="P1096" t="s">
        <v>390</v>
      </c>
      <c r="Q1096" s="10">
        <f>IF(N1096&lt;='[1]statistical criteria'!$B$2,IF(O1096&gt;=LOG('[1]statistical criteria'!$B$3,2),1,IF(O1096&lt;=-1*LOG('[1]statistical criteria'!$B$3,2),2,"-")),"-")</f>
        <v>2</v>
      </c>
      <c r="S1096" t="s">
        <v>391</v>
      </c>
      <c r="T1096" s="9">
        <v>2.9999999999999997E-4</v>
      </c>
      <c r="U1096" t="s">
        <v>61</v>
      </c>
    </row>
    <row r="1097" spans="1:21" x14ac:dyDescent="0.35">
      <c r="A1097" t="s">
        <v>4084</v>
      </c>
      <c r="B1097" t="s">
        <v>4085</v>
      </c>
      <c r="C1097">
        <v>1941</v>
      </c>
      <c r="D1097" s="5">
        <v>3.1315870000000001</v>
      </c>
      <c r="E1097" s="5">
        <v>4.0906120000000001</v>
      </c>
      <c r="F1097" s="5">
        <v>3.0864310000000001</v>
      </c>
      <c r="G1097" s="5">
        <v>6.5668290000000002</v>
      </c>
      <c r="H1097" s="11">
        <v>0</v>
      </c>
      <c r="I1097" s="11">
        <v>0</v>
      </c>
      <c r="J1097" s="11">
        <v>0</v>
      </c>
      <c r="K1097" s="7">
        <f t="shared" si="34"/>
        <v>4.2188647499999998</v>
      </c>
      <c r="L1097" s="8">
        <f t="shared" si="35"/>
        <v>0</v>
      </c>
      <c r="M1097" s="9">
        <v>2.4955574581406001E-7</v>
      </c>
      <c r="N1097" s="9">
        <v>3.2910920601812698E-6</v>
      </c>
      <c r="O1097" s="2">
        <v>-4.8070052395195599</v>
      </c>
      <c r="P1097" t="s">
        <v>4084</v>
      </c>
      <c r="Q1097" s="10">
        <f>IF(N1097&lt;='[1]statistical criteria'!$B$2,IF(O1097&gt;=LOG('[1]statistical criteria'!$B$3,2),1,IF(O1097&lt;=-1*LOG('[1]statistical criteria'!$B$3,2),2,"-")),"-")</f>
        <v>2</v>
      </c>
      <c r="S1097" t="s">
        <v>4086</v>
      </c>
      <c r="T1097" s="9">
        <v>1.9999999999999999E-69</v>
      </c>
      <c r="U1097" t="s">
        <v>215</v>
      </c>
    </row>
    <row r="1098" spans="1:21" x14ac:dyDescent="0.35">
      <c r="A1098" t="s">
        <v>4087</v>
      </c>
      <c r="B1098" t="s">
        <v>4088</v>
      </c>
      <c r="C1098">
        <v>3276</v>
      </c>
      <c r="D1098" s="5">
        <v>1.459336</v>
      </c>
      <c r="E1098" s="5">
        <v>3.7858710000000002</v>
      </c>
      <c r="F1098" s="5">
        <v>2.1530339999999999</v>
      </c>
      <c r="G1098" s="5">
        <v>1.5818319999999999</v>
      </c>
      <c r="H1098" s="11">
        <v>0</v>
      </c>
      <c r="I1098" s="11">
        <v>0</v>
      </c>
      <c r="J1098" s="11">
        <v>0</v>
      </c>
      <c r="K1098" s="7">
        <f t="shared" si="34"/>
        <v>2.2450182500000002</v>
      </c>
      <c r="L1098" s="8">
        <f t="shared" si="35"/>
        <v>0</v>
      </c>
      <c r="M1098" s="9">
        <v>9.6441311122438097E-12</v>
      </c>
      <c r="N1098" s="9">
        <v>2.8542428470606498E-10</v>
      </c>
      <c r="O1098" s="2">
        <v>-4.8136761578024103</v>
      </c>
      <c r="P1098" t="s">
        <v>4087</v>
      </c>
      <c r="Q1098" s="10">
        <f>IF(N1098&lt;='[1]statistical criteria'!$B$2,IF(O1098&gt;=LOG('[1]statistical criteria'!$B$3,2),1,IF(O1098&lt;=-1*LOG('[1]statistical criteria'!$B$3,2),2,"-")),"-")</f>
        <v>2</v>
      </c>
      <c r="R1098" t="s">
        <v>4089</v>
      </c>
      <c r="S1098" t="s">
        <v>4090</v>
      </c>
      <c r="T1098" s="9">
        <v>7.0000000000000003E-17</v>
      </c>
      <c r="U1098" t="s">
        <v>4091</v>
      </c>
    </row>
    <row r="1099" spans="1:21" x14ac:dyDescent="0.35">
      <c r="A1099" t="s">
        <v>4092</v>
      </c>
      <c r="B1099" t="s">
        <v>4093</v>
      </c>
      <c r="C1099">
        <v>1137</v>
      </c>
      <c r="D1099" s="5">
        <v>1.9255100000000001</v>
      </c>
      <c r="E1099" s="5">
        <v>2.3206720000000001</v>
      </c>
      <c r="F1099" s="5">
        <v>5.6468990000000003</v>
      </c>
      <c r="G1099" s="5">
        <v>4.2287220000000003</v>
      </c>
      <c r="H1099" s="11">
        <v>0</v>
      </c>
      <c r="I1099" s="11">
        <v>0</v>
      </c>
      <c r="J1099" s="11">
        <v>0</v>
      </c>
      <c r="K1099" s="7">
        <f t="shared" si="34"/>
        <v>3.53045075</v>
      </c>
      <c r="L1099" s="8">
        <f t="shared" si="35"/>
        <v>0</v>
      </c>
      <c r="M1099" s="9">
        <v>2.0909352172167E-7</v>
      </c>
      <c r="N1099" s="9">
        <v>2.8011613645641502E-6</v>
      </c>
      <c r="O1099" s="2">
        <v>-4.8161752065135</v>
      </c>
      <c r="P1099" t="s">
        <v>4092</v>
      </c>
      <c r="Q1099" s="10">
        <f>IF(N1099&lt;='[1]statistical criteria'!$B$2,IF(O1099&gt;=LOG('[1]statistical criteria'!$B$3,2),1,IF(O1099&lt;=-1*LOG('[1]statistical criteria'!$B$3,2),2,"-")),"-")</f>
        <v>2</v>
      </c>
    </row>
    <row r="1100" spans="1:21" x14ac:dyDescent="0.35">
      <c r="A1100" t="s">
        <v>4094</v>
      </c>
      <c r="B1100" t="s">
        <v>4095</v>
      </c>
      <c r="C1100">
        <v>594</v>
      </c>
      <c r="D1100" s="5">
        <v>7.410793</v>
      </c>
      <c r="E1100" s="5">
        <v>9.0896279999999994</v>
      </c>
      <c r="F1100" s="5">
        <v>17.837260000000001</v>
      </c>
      <c r="G1100" s="5">
        <v>7.4119339999999996</v>
      </c>
      <c r="H1100" s="11">
        <v>0</v>
      </c>
      <c r="I1100" s="11">
        <v>0</v>
      </c>
      <c r="J1100" s="11">
        <v>0</v>
      </c>
      <c r="K1100" s="7">
        <f t="shared" si="34"/>
        <v>10.437403750000001</v>
      </c>
      <c r="L1100" s="8">
        <f t="shared" si="35"/>
        <v>0</v>
      </c>
      <c r="M1100" s="9">
        <v>9.5926261895966294E-8</v>
      </c>
      <c r="N1100" s="9">
        <v>1.3876676274270099E-6</v>
      </c>
      <c r="O1100" s="2">
        <v>-4.8164154042729903</v>
      </c>
      <c r="P1100" t="s">
        <v>4094</v>
      </c>
      <c r="Q1100" s="10">
        <f>IF(N1100&lt;='[1]statistical criteria'!$B$2,IF(O1100&gt;=LOG('[1]statistical criteria'!$B$3,2),1,IF(O1100&lt;=-1*LOG('[1]statistical criteria'!$B$3,2),2,"-")),"-")</f>
        <v>2</v>
      </c>
      <c r="R1100" t="s">
        <v>4096</v>
      </c>
      <c r="S1100" t="s">
        <v>4097</v>
      </c>
      <c r="T1100" s="9">
        <v>1E-42</v>
      </c>
      <c r="U1100" t="s">
        <v>4098</v>
      </c>
    </row>
    <row r="1101" spans="1:21" x14ac:dyDescent="0.35">
      <c r="A1101" t="s">
        <v>4099</v>
      </c>
      <c r="B1101" t="s">
        <v>4100</v>
      </c>
      <c r="C1101">
        <v>1800</v>
      </c>
      <c r="D1101" s="5">
        <v>3.018224</v>
      </c>
      <c r="E1101" s="5">
        <v>7.8993869999999999</v>
      </c>
      <c r="F1101" s="5">
        <v>2.733835</v>
      </c>
      <c r="G1101" s="5">
        <v>5.0803760000000002</v>
      </c>
      <c r="H1101" s="11">
        <v>0</v>
      </c>
      <c r="I1101" s="11">
        <v>0</v>
      </c>
      <c r="J1101" s="11">
        <v>0</v>
      </c>
      <c r="K1101" s="7">
        <f t="shared" si="34"/>
        <v>4.6829555000000003</v>
      </c>
      <c r="L1101" s="8">
        <f t="shared" si="35"/>
        <v>0</v>
      </c>
      <c r="M1101" s="9">
        <v>1.36358933198133E-7</v>
      </c>
      <c r="N1101" s="9">
        <v>1.89547881574907E-6</v>
      </c>
      <c r="O1101" s="2">
        <v>-4.8178874587033702</v>
      </c>
      <c r="P1101" t="s">
        <v>4099</v>
      </c>
      <c r="Q1101" s="10">
        <f>IF(N1101&lt;='[1]statistical criteria'!$B$2,IF(O1101&gt;=LOG('[1]statistical criteria'!$B$3,2),1,IF(O1101&lt;=-1*LOG('[1]statistical criteria'!$B$3,2),2,"-")),"-")</f>
        <v>2</v>
      </c>
      <c r="R1101" t="s">
        <v>4101</v>
      </c>
      <c r="S1101" t="s">
        <v>4102</v>
      </c>
      <c r="T1101">
        <v>0</v>
      </c>
      <c r="U1101" t="s">
        <v>4103</v>
      </c>
    </row>
    <row r="1102" spans="1:21" x14ac:dyDescent="0.35">
      <c r="A1102" t="s">
        <v>4104</v>
      </c>
      <c r="B1102" t="s">
        <v>4105</v>
      </c>
      <c r="C1102">
        <v>1638</v>
      </c>
      <c r="D1102" s="5">
        <v>5.370196</v>
      </c>
      <c r="E1102" s="5">
        <v>8.3005680000000002</v>
      </c>
      <c r="F1102" s="5">
        <v>3.2485089999999999</v>
      </c>
      <c r="G1102" s="5">
        <v>7.8040459999999996</v>
      </c>
      <c r="H1102" s="11">
        <v>0</v>
      </c>
      <c r="I1102" s="11">
        <v>0</v>
      </c>
      <c r="J1102" s="11">
        <v>0</v>
      </c>
      <c r="K1102" s="7">
        <f t="shared" si="34"/>
        <v>6.18082975</v>
      </c>
      <c r="L1102" s="8">
        <f t="shared" si="35"/>
        <v>0</v>
      </c>
      <c r="M1102" s="9">
        <v>6.3068208382860404E-9</v>
      </c>
      <c r="N1102" s="9">
        <v>1.17205859914632E-7</v>
      </c>
      <c r="O1102" s="2">
        <v>-4.8265268481853703</v>
      </c>
      <c r="P1102" t="s">
        <v>4104</v>
      </c>
      <c r="Q1102" s="10">
        <f>IF(N1102&lt;='[1]statistical criteria'!$B$2,IF(O1102&gt;=LOG('[1]statistical criteria'!$B$3,2),1,IF(O1102&lt;=-1*LOG('[1]statistical criteria'!$B$3,2),2,"-")),"-")</f>
        <v>2</v>
      </c>
      <c r="R1102" t="s">
        <v>1827</v>
      </c>
      <c r="S1102" t="s">
        <v>4106</v>
      </c>
      <c r="T1102">
        <v>0</v>
      </c>
      <c r="U1102" t="s">
        <v>1829</v>
      </c>
    </row>
    <row r="1103" spans="1:21" x14ac:dyDescent="0.35">
      <c r="A1103" t="s">
        <v>4107</v>
      </c>
      <c r="B1103" t="s">
        <v>4108</v>
      </c>
      <c r="C1103">
        <v>2970</v>
      </c>
      <c r="D1103" s="5">
        <v>0.79459900000000006</v>
      </c>
      <c r="E1103" s="5">
        <v>4.4913160000000003</v>
      </c>
      <c r="F1103" s="5">
        <v>4.1604840000000003</v>
      </c>
      <c r="G1103" s="5">
        <v>2.2901259999999999</v>
      </c>
      <c r="H1103" s="11">
        <v>0</v>
      </c>
      <c r="I1103" s="11">
        <v>0</v>
      </c>
      <c r="J1103" s="11">
        <v>0</v>
      </c>
      <c r="K1103" s="7">
        <f t="shared" si="34"/>
        <v>2.9341312500000001</v>
      </c>
      <c r="L1103" s="8">
        <f t="shared" si="35"/>
        <v>0</v>
      </c>
      <c r="M1103" s="9">
        <v>1.4360241517352501E-7</v>
      </c>
      <c r="N1103" s="9">
        <v>1.9881804006927501E-6</v>
      </c>
      <c r="O1103" s="2">
        <v>-4.8295095971541304</v>
      </c>
      <c r="P1103" t="s">
        <v>4107</v>
      </c>
      <c r="Q1103" s="10">
        <f>IF(N1103&lt;='[1]statistical criteria'!$B$2,IF(O1103&gt;=LOG('[1]statistical criteria'!$B$3,2),1,IF(O1103&lt;=-1*LOG('[1]statistical criteria'!$B$3,2),2,"-")),"-")</f>
        <v>2</v>
      </c>
      <c r="R1103" t="s">
        <v>4109</v>
      </c>
      <c r="S1103" t="s">
        <v>4110</v>
      </c>
      <c r="T1103">
        <v>0</v>
      </c>
      <c r="U1103" t="s">
        <v>4111</v>
      </c>
    </row>
    <row r="1104" spans="1:21" x14ac:dyDescent="0.35">
      <c r="A1104" t="s">
        <v>4112</v>
      </c>
      <c r="B1104" t="s">
        <v>4113</v>
      </c>
      <c r="C1104">
        <v>1392</v>
      </c>
      <c r="D1104" s="5">
        <v>6.4432859999999996</v>
      </c>
      <c r="E1104" s="5">
        <v>5.460826</v>
      </c>
      <c r="F1104" s="5">
        <v>7.3574999999999999</v>
      </c>
      <c r="G1104" s="5">
        <v>0.51107400000000003</v>
      </c>
      <c r="H1104" s="11">
        <v>0</v>
      </c>
      <c r="I1104" s="11">
        <v>0</v>
      </c>
      <c r="J1104" s="11">
        <v>0</v>
      </c>
      <c r="K1104" s="7">
        <f t="shared" si="34"/>
        <v>4.9431715000000001</v>
      </c>
      <c r="L1104" s="8">
        <f t="shared" si="35"/>
        <v>0</v>
      </c>
      <c r="M1104" s="9">
        <v>1.04586000833752E-10</v>
      </c>
      <c r="N1104" s="9">
        <v>2.6483986638274002E-9</v>
      </c>
      <c r="O1104" s="2">
        <v>-4.8314752281187499</v>
      </c>
      <c r="P1104" t="s">
        <v>4112</v>
      </c>
      <c r="Q1104" s="10">
        <f>IF(N1104&lt;='[1]statistical criteria'!$B$2,IF(O1104&gt;=LOG('[1]statistical criteria'!$B$3,2),1,IF(O1104&lt;=-1*LOG('[1]statistical criteria'!$B$3,2),2,"-")),"-")</f>
        <v>2</v>
      </c>
      <c r="R1104" t="s">
        <v>4114</v>
      </c>
      <c r="S1104" t="s">
        <v>4115</v>
      </c>
      <c r="T1104" s="9">
        <v>4.9999999999999996E-164</v>
      </c>
      <c r="U1104" t="s">
        <v>4116</v>
      </c>
    </row>
    <row r="1105" spans="1:21" x14ac:dyDescent="0.35">
      <c r="A1105" t="s">
        <v>4117</v>
      </c>
      <c r="B1105" t="s">
        <v>4118</v>
      </c>
      <c r="C1105">
        <v>1432</v>
      </c>
      <c r="D1105" s="5">
        <v>2.479797</v>
      </c>
      <c r="E1105" s="5">
        <v>7.0215300000000003</v>
      </c>
      <c r="F1105" s="5">
        <v>3.2811080000000001</v>
      </c>
      <c r="G1105" s="5">
        <v>8.1859129999999993</v>
      </c>
      <c r="H1105" s="11">
        <v>0</v>
      </c>
      <c r="I1105" s="11">
        <v>0</v>
      </c>
      <c r="J1105" s="11">
        <v>0</v>
      </c>
      <c r="K1105" s="7">
        <f t="shared" si="34"/>
        <v>5.2420869999999997</v>
      </c>
      <c r="L1105" s="8">
        <f t="shared" si="35"/>
        <v>0</v>
      </c>
      <c r="M1105" s="9">
        <v>3.3602089896494898E-9</v>
      </c>
      <c r="N1105" s="9">
        <v>6.5990482015510601E-8</v>
      </c>
      <c r="O1105" s="2">
        <v>-4.8336460829787002</v>
      </c>
      <c r="P1105" t="s">
        <v>4117</v>
      </c>
      <c r="Q1105" s="10">
        <f>IF(N1105&lt;='[1]statistical criteria'!$B$2,IF(O1105&gt;=LOG('[1]statistical criteria'!$B$3,2),1,IF(O1105&lt;=-1*LOG('[1]statistical criteria'!$B$3,2),2,"-")),"-")</f>
        <v>2</v>
      </c>
      <c r="R1105" t="s">
        <v>4119</v>
      </c>
      <c r="S1105" t="s">
        <v>4120</v>
      </c>
      <c r="T1105">
        <v>0</v>
      </c>
      <c r="U1105" t="s">
        <v>4121</v>
      </c>
    </row>
    <row r="1106" spans="1:21" x14ac:dyDescent="0.35">
      <c r="A1106" t="s">
        <v>4122</v>
      </c>
      <c r="B1106" t="s">
        <v>4123</v>
      </c>
      <c r="C1106">
        <v>1359</v>
      </c>
      <c r="D1106" s="5">
        <v>2.9283839999999999</v>
      </c>
      <c r="E1106" s="5">
        <v>10.840363999999999</v>
      </c>
      <c r="F1106" s="5">
        <v>1.753004</v>
      </c>
      <c r="G1106" s="5">
        <v>5.6691390000000004</v>
      </c>
      <c r="H1106" s="11">
        <v>0</v>
      </c>
      <c r="I1106" s="11">
        <v>0</v>
      </c>
      <c r="J1106" s="11">
        <v>0</v>
      </c>
      <c r="K1106" s="7">
        <f t="shared" si="34"/>
        <v>5.2977227500000001</v>
      </c>
      <c r="L1106" s="8">
        <f t="shared" si="35"/>
        <v>0</v>
      </c>
      <c r="M1106" s="9">
        <v>4.1593209849404399E-8</v>
      </c>
      <c r="N1106" s="9">
        <v>6.5441817563800396E-7</v>
      </c>
      <c r="O1106" s="2">
        <v>-4.8378243816435402</v>
      </c>
      <c r="P1106" t="s">
        <v>4122</v>
      </c>
      <c r="Q1106" s="10">
        <f>IF(N1106&lt;='[1]statistical criteria'!$B$2,IF(O1106&gt;=LOG('[1]statistical criteria'!$B$3,2),1,IF(O1106&lt;=-1*LOG('[1]statistical criteria'!$B$3,2),2,"-")),"-")</f>
        <v>2</v>
      </c>
      <c r="R1106" t="s">
        <v>4124</v>
      </c>
      <c r="S1106" t="s">
        <v>4125</v>
      </c>
      <c r="T1106" s="9">
        <v>1.0000000000000001E-128</v>
      </c>
      <c r="U1106" t="s">
        <v>4126</v>
      </c>
    </row>
    <row r="1107" spans="1:21" x14ac:dyDescent="0.35">
      <c r="A1107" t="s">
        <v>4127</v>
      </c>
      <c r="B1107" t="s">
        <v>4128</v>
      </c>
      <c r="C1107">
        <v>602</v>
      </c>
      <c r="D1107" s="5">
        <v>10.123513000000001</v>
      </c>
      <c r="E1107" s="5">
        <v>10.271124</v>
      </c>
      <c r="F1107" s="5">
        <v>13.787801999999999</v>
      </c>
      <c r="G1107" s="5">
        <v>5.111885</v>
      </c>
      <c r="H1107" s="11">
        <v>0</v>
      </c>
      <c r="I1107" s="11">
        <v>0</v>
      </c>
      <c r="J1107" s="6">
        <v>0.25599899999999998</v>
      </c>
      <c r="K1107" s="7">
        <f t="shared" si="34"/>
        <v>9.8235810000000008</v>
      </c>
      <c r="L1107" s="8">
        <f t="shared" si="35"/>
        <v>8.5332999999999992E-2</v>
      </c>
      <c r="M1107" s="9">
        <v>3.9637069951383601E-7</v>
      </c>
      <c r="N1107" s="9">
        <v>5.0052650376564703E-6</v>
      </c>
      <c r="O1107" s="2">
        <v>-4.8403305638291902</v>
      </c>
      <c r="P1107" t="s">
        <v>4127</v>
      </c>
      <c r="Q1107" s="10">
        <f>IF(N1107&lt;='[1]statistical criteria'!$B$2,IF(O1107&gt;=LOG('[1]statistical criteria'!$B$3,2),1,IF(O1107&lt;=-1*LOG('[1]statistical criteria'!$B$3,2),2,"-")),"-")</f>
        <v>2</v>
      </c>
      <c r="R1107" t="s">
        <v>4129</v>
      </c>
    </row>
    <row r="1108" spans="1:21" x14ac:dyDescent="0.35">
      <c r="A1108" t="s">
        <v>4130</v>
      </c>
      <c r="B1108" t="s">
        <v>4131</v>
      </c>
      <c r="C1108">
        <v>2264</v>
      </c>
      <c r="D1108" s="5">
        <v>5.8790089999999999</v>
      </c>
      <c r="E1108" s="5">
        <v>16.587112999999999</v>
      </c>
      <c r="F1108" s="5">
        <v>18.522905000000002</v>
      </c>
      <c r="G1108" s="5">
        <v>9.1750380000000007</v>
      </c>
      <c r="H1108" s="11">
        <v>0</v>
      </c>
      <c r="I1108" s="11">
        <v>0</v>
      </c>
      <c r="J1108" s="6">
        <v>0.69868399999999997</v>
      </c>
      <c r="K1108" s="7">
        <f t="shared" si="34"/>
        <v>12.54101625</v>
      </c>
      <c r="L1108" s="8">
        <f t="shared" si="35"/>
        <v>0.23289466666666667</v>
      </c>
      <c r="M1108" s="9">
        <v>4.6959219822871401E-15</v>
      </c>
      <c r="N1108" s="9">
        <v>2.26810648027726E-13</v>
      </c>
      <c r="O1108" s="2">
        <v>-4.8408565447220298</v>
      </c>
      <c r="P1108" t="s">
        <v>4130</v>
      </c>
      <c r="Q1108" s="10">
        <f>IF(N1108&lt;='[1]statistical criteria'!$B$2,IF(O1108&gt;=LOG('[1]statistical criteria'!$B$3,2),1,IF(O1108&lt;=-1*LOG('[1]statistical criteria'!$B$3,2),2,"-")),"-")</f>
        <v>2</v>
      </c>
      <c r="R1108" t="s">
        <v>4132</v>
      </c>
      <c r="S1108" t="s">
        <v>4133</v>
      </c>
      <c r="T1108">
        <v>0</v>
      </c>
      <c r="U1108" t="s">
        <v>4134</v>
      </c>
    </row>
    <row r="1109" spans="1:21" x14ac:dyDescent="0.35">
      <c r="A1109" t="s">
        <v>4135</v>
      </c>
      <c r="B1109" t="s">
        <v>4136</v>
      </c>
      <c r="C1109">
        <v>1536</v>
      </c>
      <c r="D1109" s="5">
        <v>2.1384120000000002</v>
      </c>
      <c r="E1109" s="5">
        <v>4.6369800000000003</v>
      </c>
      <c r="F1109" s="5">
        <v>5.5103790000000004</v>
      </c>
      <c r="G1109" s="5">
        <v>4.0050140000000001</v>
      </c>
      <c r="H1109" s="11">
        <v>0</v>
      </c>
      <c r="I1109" s="11">
        <v>0</v>
      </c>
      <c r="J1109" s="11">
        <v>0</v>
      </c>
      <c r="K1109" s="7">
        <f t="shared" si="34"/>
        <v>4.0726962499999999</v>
      </c>
      <c r="L1109" s="8">
        <f t="shared" si="35"/>
        <v>0</v>
      </c>
      <c r="M1109" s="9">
        <v>2.8426257552755399E-7</v>
      </c>
      <c r="N1109" s="9">
        <v>3.7076880139063402E-6</v>
      </c>
      <c r="O1109" s="2">
        <v>-4.8474605250551601</v>
      </c>
      <c r="P1109" t="s">
        <v>4135</v>
      </c>
      <c r="Q1109" s="10">
        <f>IF(N1109&lt;='[1]statistical criteria'!$B$2,IF(O1109&gt;=LOG('[1]statistical criteria'!$B$3,2),1,IF(O1109&lt;=-1*LOG('[1]statistical criteria'!$B$3,2),2,"-")),"-")</f>
        <v>2</v>
      </c>
      <c r="R1109" t="s">
        <v>4137</v>
      </c>
      <c r="S1109" t="s">
        <v>4138</v>
      </c>
      <c r="T1109" s="9">
        <v>9.0000000000000006E-75</v>
      </c>
      <c r="U1109" t="s">
        <v>4139</v>
      </c>
    </row>
    <row r="1110" spans="1:21" x14ac:dyDescent="0.35">
      <c r="A1110" t="s">
        <v>4140</v>
      </c>
      <c r="B1110" t="s">
        <v>4141</v>
      </c>
      <c r="C1110">
        <v>3417</v>
      </c>
      <c r="D1110" s="5">
        <v>0.75039100000000003</v>
      </c>
      <c r="E1110" s="5">
        <v>3.398082</v>
      </c>
      <c r="F1110" s="5">
        <v>4.9880149999999999</v>
      </c>
      <c r="G1110" s="5">
        <v>1.77508</v>
      </c>
      <c r="H1110" s="11">
        <v>0</v>
      </c>
      <c r="I1110" s="11">
        <v>0</v>
      </c>
      <c r="J1110" s="11">
        <v>0</v>
      </c>
      <c r="K1110" s="7">
        <f t="shared" si="34"/>
        <v>2.7278919999999998</v>
      </c>
      <c r="L1110" s="8">
        <f t="shared" si="35"/>
        <v>0</v>
      </c>
      <c r="M1110" s="9">
        <v>6.1676617661246899E-9</v>
      </c>
      <c r="N1110" s="9">
        <v>1.1495651656155999E-7</v>
      </c>
      <c r="O1110" s="2">
        <v>-4.8545738338434701</v>
      </c>
      <c r="P1110" t="s">
        <v>4140</v>
      </c>
      <c r="Q1110" s="10">
        <f>IF(N1110&lt;='[1]statistical criteria'!$B$2,IF(O1110&gt;=LOG('[1]statistical criteria'!$B$3,2),1,IF(O1110&lt;=-1*LOG('[1]statistical criteria'!$B$3,2),2,"-")),"-")</f>
        <v>2</v>
      </c>
      <c r="R1110" t="s">
        <v>3850</v>
      </c>
      <c r="S1110" t="s">
        <v>3851</v>
      </c>
      <c r="T1110">
        <v>0</v>
      </c>
      <c r="U1110" t="s">
        <v>3852</v>
      </c>
    </row>
    <row r="1111" spans="1:21" x14ac:dyDescent="0.35">
      <c r="A1111" t="s">
        <v>4142</v>
      </c>
      <c r="B1111" t="s">
        <v>4143</v>
      </c>
      <c r="C1111">
        <v>1101</v>
      </c>
      <c r="D1111" s="5">
        <v>90.353694000000004</v>
      </c>
      <c r="E1111" s="5">
        <v>71.823718999999997</v>
      </c>
      <c r="F1111" s="5">
        <v>59.956924000000001</v>
      </c>
      <c r="G1111" s="5">
        <v>91.871909000000002</v>
      </c>
      <c r="H1111" s="6">
        <v>4.0793189999999999</v>
      </c>
      <c r="I1111" s="11">
        <v>0</v>
      </c>
      <c r="J1111" s="6">
        <v>0.88988500000000004</v>
      </c>
      <c r="K1111" s="7">
        <f t="shared" si="34"/>
        <v>78.501561500000008</v>
      </c>
      <c r="L1111" s="8">
        <f t="shared" si="35"/>
        <v>1.6564013333333332</v>
      </c>
      <c r="M1111" s="9">
        <v>2.3404130721327801E-6</v>
      </c>
      <c r="N1111" s="9">
        <v>2.4599867861191301E-5</v>
      </c>
      <c r="O1111" s="2">
        <v>-4.8571587655098298</v>
      </c>
      <c r="P1111" t="s">
        <v>4142</v>
      </c>
      <c r="Q1111" s="10">
        <f>IF(N1111&lt;='[1]statistical criteria'!$B$2,IF(O1111&gt;=LOG('[1]statistical criteria'!$B$3,2),1,IF(O1111&lt;=-1*LOG('[1]statistical criteria'!$B$3,2),2,"-")),"-")</f>
        <v>2</v>
      </c>
      <c r="R1111" t="s">
        <v>2774</v>
      </c>
      <c r="S1111" t="s">
        <v>4144</v>
      </c>
      <c r="T1111" s="9">
        <v>3.0000000000000002E-85</v>
      </c>
      <c r="U1111" t="s">
        <v>4145</v>
      </c>
    </row>
    <row r="1112" spans="1:21" x14ac:dyDescent="0.35">
      <c r="A1112" t="s">
        <v>4146</v>
      </c>
      <c r="B1112" t="s">
        <v>4147</v>
      </c>
      <c r="C1112">
        <v>1602</v>
      </c>
      <c r="D1112" s="5">
        <v>3.3978009999999998</v>
      </c>
      <c r="E1112" s="5">
        <v>6.7625719999999996</v>
      </c>
      <c r="F1112" s="5">
        <v>1.266187</v>
      </c>
      <c r="G1112" s="5">
        <v>5.6499940000000004</v>
      </c>
      <c r="H1112" s="11">
        <v>0</v>
      </c>
      <c r="I1112" s="11">
        <v>0</v>
      </c>
      <c r="J1112" s="11">
        <v>0</v>
      </c>
      <c r="K1112" s="7">
        <f t="shared" si="34"/>
        <v>4.2691385000000004</v>
      </c>
      <c r="L1112" s="8">
        <f t="shared" si="35"/>
        <v>0</v>
      </c>
      <c r="M1112" s="9">
        <v>2.00309771544586E-9</v>
      </c>
      <c r="N1112" s="9">
        <v>4.1076454229455603E-8</v>
      </c>
      <c r="O1112" s="2">
        <v>-4.8576668987607396</v>
      </c>
      <c r="P1112" t="s">
        <v>4146</v>
      </c>
      <c r="Q1112" s="10">
        <f>IF(N1112&lt;='[1]statistical criteria'!$B$2,IF(O1112&gt;=LOG('[1]statistical criteria'!$B$3,2),1,IF(O1112&lt;=-1*LOG('[1]statistical criteria'!$B$3,2),2,"-")),"-")</f>
        <v>2</v>
      </c>
      <c r="R1112" t="s">
        <v>4148</v>
      </c>
      <c r="S1112" t="s">
        <v>4149</v>
      </c>
      <c r="T1112">
        <v>2E-3</v>
      </c>
      <c r="U1112" t="s">
        <v>4150</v>
      </c>
    </row>
    <row r="1113" spans="1:21" x14ac:dyDescent="0.35">
      <c r="A1113" t="s">
        <v>4151</v>
      </c>
      <c r="B1113" t="s">
        <v>4152</v>
      </c>
      <c r="C1113">
        <v>852</v>
      </c>
      <c r="D1113" s="5">
        <v>2.1924199999999998</v>
      </c>
      <c r="E1113" s="5">
        <v>8.3879660000000005</v>
      </c>
      <c r="F1113" s="5">
        <v>2.665324</v>
      </c>
      <c r="G1113" s="5">
        <v>4.8478950000000003</v>
      </c>
      <c r="H1113" s="11">
        <v>0</v>
      </c>
      <c r="I1113" s="11">
        <v>0</v>
      </c>
      <c r="J1113" s="11">
        <v>0</v>
      </c>
      <c r="K1113" s="7">
        <f t="shared" si="34"/>
        <v>4.52340125</v>
      </c>
      <c r="L1113" s="8">
        <f t="shared" si="35"/>
        <v>0</v>
      </c>
      <c r="M1113" s="9">
        <v>2.0782053291311699E-7</v>
      </c>
      <c r="N1113" s="9">
        <v>2.7850878460117E-6</v>
      </c>
      <c r="O1113" s="2">
        <v>-4.8629602253042199</v>
      </c>
      <c r="P1113" t="s">
        <v>4151</v>
      </c>
      <c r="Q1113" s="10">
        <f>IF(N1113&lt;='[1]statistical criteria'!$B$2,IF(O1113&gt;=LOG('[1]statistical criteria'!$B$3,2),1,IF(O1113&lt;=-1*LOG('[1]statistical criteria'!$B$3,2),2,"-")),"-")</f>
        <v>2</v>
      </c>
      <c r="R1113" t="s">
        <v>4153</v>
      </c>
    </row>
    <row r="1114" spans="1:21" x14ac:dyDescent="0.35">
      <c r="A1114" t="s">
        <v>4154</v>
      </c>
      <c r="B1114" t="s">
        <v>4155</v>
      </c>
      <c r="C1114">
        <v>1200</v>
      </c>
      <c r="D1114" s="5">
        <v>6.1524939999999999</v>
      </c>
      <c r="E1114" s="5">
        <v>6.9550340000000004</v>
      </c>
      <c r="F1114" s="5">
        <v>5.5941289999999997</v>
      </c>
      <c r="G1114" s="5">
        <v>3.3348870000000002</v>
      </c>
      <c r="H1114" s="11">
        <v>0</v>
      </c>
      <c r="I1114" s="11">
        <v>0</v>
      </c>
      <c r="J1114" s="11">
        <v>0</v>
      </c>
      <c r="K1114" s="7">
        <f t="shared" si="34"/>
        <v>5.5091359999999998</v>
      </c>
      <c r="L1114" s="8">
        <f t="shared" si="35"/>
        <v>0</v>
      </c>
      <c r="M1114" s="9">
        <v>3.7375500094757797E-8</v>
      </c>
      <c r="N1114" s="9">
        <v>5.9444694258524101E-7</v>
      </c>
      <c r="O1114" s="2">
        <v>-4.86434302495101</v>
      </c>
      <c r="P1114" t="s">
        <v>4154</v>
      </c>
      <c r="Q1114" s="10">
        <f>IF(N1114&lt;='[1]statistical criteria'!$B$2,IF(O1114&gt;=LOG('[1]statistical criteria'!$B$3,2),1,IF(O1114&lt;=-1*LOG('[1]statistical criteria'!$B$3,2),2,"-")),"-")</f>
        <v>2</v>
      </c>
      <c r="R1114" t="s">
        <v>2074</v>
      </c>
      <c r="S1114" t="s">
        <v>4156</v>
      </c>
      <c r="T1114" s="9">
        <v>7.0000000000000003E-69</v>
      </c>
      <c r="U1114" t="s">
        <v>529</v>
      </c>
    </row>
    <row r="1115" spans="1:21" x14ac:dyDescent="0.35">
      <c r="A1115" t="s">
        <v>369</v>
      </c>
      <c r="B1115" t="s">
        <v>370</v>
      </c>
      <c r="C1115">
        <v>759</v>
      </c>
      <c r="D1115" s="4">
        <v>0</v>
      </c>
      <c r="E1115" s="5">
        <v>13.710592999999999</v>
      </c>
      <c r="F1115" s="5">
        <v>32.073062999999998</v>
      </c>
      <c r="G1115" s="5">
        <v>12.997025000000001</v>
      </c>
      <c r="H1115" s="11">
        <v>0</v>
      </c>
      <c r="I1115" s="11">
        <v>0</v>
      </c>
      <c r="J1115" s="11">
        <v>0</v>
      </c>
      <c r="K1115" s="7">
        <f t="shared" si="34"/>
        <v>14.695170249999999</v>
      </c>
      <c r="L1115" s="8">
        <f t="shared" si="35"/>
        <v>0</v>
      </c>
      <c r="M1115" s="9">
        <v>3.1439330276046402E-5</v>
      </c>
      <c r="N1115">
        <v>2.4949560264935899E-4</v>
      </c>
      <c r="O1115" s="2">
        <v>-4.8667997524772701</v>
      </c>
      <c r="P1115" t="s">
        <v>369</v>
      </c>
      <c r="Q1115" s="10">
        <f>IF(N1115&lt;='[1]statistical criteria'!$B$2,IF(O1115&gt;=LOG('[1]statistical criteria'!$B$3,2),1,IF(O1115&lt;=-1*LOG('[1]statistical criteria'!$B$3,2),2,"-")),"-")</f>
        <v>2</v>
      </c>
    </row>
    <row r="1116" spans="1:21" x14ac:dyDescent="0.35">
      <c r="A1116" t="s">
        <v>4157</v>
      </c>
      <c r="B1116" t="s">
        <v>4158</v>
      </c>
      <c r="C1116">
        <v>2559</v>
      </c>
      <c r="D1116" s="5">
        <v>2.9820319999999998</v>
      </c>
      <c r="E1116" s="5">
        <v>0.886625</v>
      </c>
      <c r="F1116" s="5">
        <v>3.326546</v>
      </c>
      <c r="G1116" s="5">
        <v>2.4141650000000001</v>
      </c>
      <c r="H1116" s="11">
        <v>0</v>
      </c>
      <c r="I1116" s="11">
        <v>0</v>
      </c>
      <c r="J1116" s="11">
        <v>0</v>
      </c>
      <c r="K1116" s="7">
        <f t="shared" si="34"/>
        <v>2.402342</v>
      </c>
      <c r="L1116" s="8">
        <f t="shared" si="35"/>
        <v>0</v>
      </c>
      <c r="M1116" s="9">
        <v>7.5643937974819496E-8</v>
      </c>
      <c r="N1116" s="9">
        <v>1.12461260911001E-6</v>
      </c>
      <c r="O1116" s="2">
        <v>-4.8698957606319997</v>
      </c>
      <c r="P1116" t="s">
        <v>4157</v>
      </c>
      <c r="Q1116" s="10">
        <f>IF(N1116&lt;='[1]statistical criteria'!$B$2,IF(O1116&gt;=LOG('[1]statistical criteria'!$B$3,2),1,IF(O1116&lt;=-1*LOG('[1]statistical criteria'!$B$3,2),2,"-")),"-")</f>
        <v>2</v>
      </c>
      <c r="R1116" t="s">
        <v>3576</v>
      </c>
      <c r="S1116" t="s">
        <v>4159</v>
      </c>
      <c r="T1116" s="9">
        <v>9.9999999999999995E-8</v>
      </c>
      <c r="U1116" t="s">
        <v>322</v>
      </c>
    </row>
    <row r="1117" spans="1:21" x14ac:dyDescent="0.35">
      <c r="A1117" t="s">
        <v>4160</v>
      </c>
      <c r="B1117" t="s">
        <v>4161</v>
      </c>
      <c r="C1117">
        <v>1530</v>
      </c>
      <c r="D1117" s="5">
        <v>6.7190919999999998</v>
      </c>
      <c r="E1117" s="5">
        <v>1.2870839999999999</v>
      </c>
      <c r="F1117" s="5">
        <v>7.722696</v>
      </c>
      <c r="G1117" s="5">
        <v>4.8201359999999998</v>
      </c>
      <c r="H1117" s="11">
        <v>0</v>
      </c>
      <c r="I1117" s="11">
        <v>0</v>
      </c>
      <c r="J1117" s="11">
        <v>0</v>
      </c>
      <c r="K1117" s="7">
        <f t="shared" si="34"/>
        <v>5.1372520000000002</v>
      </c>
      <c r="L1117" s="8">
        <f t="shared" si="35"/>
        <v>0</v>
      </c>
      <c r="M1117" s="9">
        <v>3.1317495547527502E-7</v>
      </c>
      <c r="N1117" s="9">
        <v>4.0363829344358096E-6</v>
      </c>
      <c r="O1117" s="2">
        <v>-4.8732771764881004</v>
      </c>
      <c r="P1117" t="s">
        <v>4160</v>
      </c>
      <c r="Q1117" s="10">
        <f>IF(N1117&lt;='[1]statistical criteria'!$B$2,IF(O1117&gt;=LOG('[1]statistical criteria'!$B$3,2),1,IF(O1117&lt;=-1*LOG('[1]statistical criteria'!$B$3,2),2,"-")),"-")</f>
        <v>2</v>
      </c>
      <c r="R1117" t="s">
        <v>2841</v>
      </c>
      <c r="S1117" t="s">
        <v>2842</v>
      </c>
      <c r="T1117" s="9">
        <v>3E-34</v>
      </c>
      <c r="U1117" t="s">
        <v>61</v>
      </c>
    </row>
    <row r="1118" spans="1:21" x14ac:dyDescent="0.35">
      <c r="A1118" t="s">
        <v>4162</v>
      </c>
      <c r="B1118" t="s">
        <v>4163</v>
      </c>
      <c r="C1118">
        <v>2586</v>
      </c>
      <c r="D1118" s="5">
        <v>4.4238520000000001</v>
      </c>
      <c r="E1118" s="5">
        <v>3.924744</v>
      </c>
      <c r="F1118" s="5">
        <v>1.8701760000000001</v>
      </c>
      <c r="G1118" s="5">
        <v>2.8496299999999999</v>
      </c>
      <c r="H1118" s="11">
        <v>0</v>
      </c>
      <c r="I1118" s="11">
        <v>0</v>
      </c>
      <c r="J1118" s="11">
        <v>0</v>
      </c>
      <c r="K1118" s="7">
        <f t="shared" si="34"/>
        <v>3.2671005000000002</v>
      </c>
      <c r="L1118" s="8">
        <f t="shared" si="35"/>
        <v>0</v>
      </c>
      <c r="M1118" s="9">
        <v>1.67768941843795E-7</v>
      </c>
      <c r="N1118" s="9">
        <v>2.29027472258782E-6</v>
      </c>
      <c r="O1118" s="2">
        <v>-4.8751959096583803</v>
      </c>
      <c r="P1118" t="s">
        <v>4162</v>
      </c>
      <c r="Q1118" s="10">
        <f>IF(N1118&lt;='[1]statistical criteria'!$B$2,IF(O1118&gt;=LOG('[1]statistical criteria'!$B$3,2),1,IF(O1118&lt;=-1*LOG('[1]statistical criteria'!$B$3,2),2,"-")),"-")</f>
        <v>2</v>
      </c>
      <c r="S1118" t="s">
        <v>4164</v>
      </c>
      <c r="T1118" s="9">
        <v>6E-34</v>
      </c>
      <c r="U1118" t="s">
        <v>4165</v>
      </c>
    </row>
    <row r="1119" spans="1:21" x14ac:dyDescent="0.35">
      <c r="A1119" t="s">
        <v>373</v>
      </c>
      <c r="B1119" t="s">
        <v>374</v>
      </c>
      <c r="C1119">
        <v>2289</v>
      </c>
      <c r="D1119" s="5">
        <v>2.0562360000000002</v>
      </c>
      <c r="E1119" s="5">
        <v>2.7710620000000001</v>
      </c>
      <c r="F1119" s="5">
        <v>4.3852799999999998</v>
      </c>
      <c r="G1119" s="5">
        <v>4.6924580000000002</v>
      </c>
      <c r="H1119" s="11">
        <v>0</v>
      </c>
      <c r="I1119" s="11">
        <v>0</v>
      </c>
      <c r="J1119" s="11">
        <v>0</v>
      </c>
      <c r="K1119" s="7">
        <f t="shared" si="34"/>
        <v>3.4762590000000002</v>
      </c>
      <c r="L1119" s="8">
        <f t="shared" si="35"/>
        <v>0</v>
      </c>
      <c r="M1119" s="9">
        <v>1.3053886197775001E-7</v>
      </c>
      <c r="N1119" s="9">
        <v>1.8212276711411899E-6</v>
      </c>
      <c r="O1119" s="2">
        <v>-4.8777793962597098</v>
      </c>
      <c r="P1119" t="s">
        <v>373</v>
      </c>
      <c r="Q1119" s="10">
        <f>IF(N1119&lt;='[1]statistical criteria'!$B$2,IF(O1119&gt;=LOG('[1]statistical criteria'!$B$3,2),1,IF(O1119&lt;=-1*LOG('[1]statistical criteria'!$B$3,2),2,"-")),"-")</f>
        <v>2</v>
      </c>
      <c r="R1119" t="s">
        <v>422</v>
      </c>
    </row>
    <row r="1120" spans="1:21" x14ac:dyDescent="0.35">
      <c r="A1120" t="s">
        <v>4166</v>
      </c>
      <c r="B1120" t="s">
        <v>4167</v>
      </c>
      <c r="C1120">
        <v>1062</v>
      </c>
      <c r="D1120" s="5">
        <v>1.3750089999999999</v>
      </c>
      <c r="E1120" s="5">
        <v>6.5608320000000004</v>
      </c>
      <c r="F1120" s="5">
        <v>5.2272780000000001</v>
      </c>
      <c r="G1120" s="5">
        <v>5.2817160000000003</v>
      </c>
      <c r="H1120" s="11">
        <v>0</v>
      </c>
      <c r="I1120" s="11">
        <v>0</v>
      </c>
      <c r="J1120" s="11">
        <v>0</v>
      </c>
      <c r="K1120" s="7">
        <f t="shared" si="34"/>
        <v>4.6112087500000003</v>
      </c>
      <c r="L1120" s="8">
        <f t="shared" si="35"/>
        <v>0</v>
      </c>
      <c r="M1120" s="9">
        <v>1.3365473634420299E-7</v>
      </c>
      <c r="N1120" s="9">
        <v>1.8619689843559199E-6</v>
      </c>
      <c r="O1120" s="2">
        <v>-4.8857792580173403</v>
      </c>
      <c r="P1120" t="s">
        <v>4166</v>
      </c>
      <c r="Q1120" s="10">
        <f>IF(N1120&lt;='[1]statistical criteria'!$B$2,IF(O1120&gt;=LOG('[1]statistical criteria'!$B$3,2),1,IF(O1120&lt;=-1*LOG('[1]statistical criteria'!$B$3,2),2,"-")),"-")</f>
        <v>2</v>
      </c>
      <c r="R1120" t="s">
        <v>4168</v>
      </c>
      <c r="S1120" t="s">
        <v>4169</v>
      </c>
      <c r="T1120" s="9">
        <v>2E-79</v>
      </c>
      <c r="U1120" t="s">
        <v>4170</v>
      </c>
    </row>
    <row r="1121" spans="1:21" x14ac:dyDescent="0.35">
      <c r="A1121" t="s">
        <v>4171</v>
      </c>
      <c r="B1121" t="s">
        <v>4172</v>
      </c>
      <c r="C1121">
        <v>921</v>
      </c>
      <c r="D1121" s="5">
        <v>3.7841779999999998</v>
      </c>
      <c r="E1121" s="5">
        <v>5.0025769999999996</v>
      </c>
      <c r="F1121" s="5">
        <v>4.7489840000000001</v>
      </c>
      <c r="G1121" s="5">
        <v>2.0975920000000001</v>
      </c>
      <c r="H1121" s="11">
        <v>0</v>
      </c>
      <c r="I1121" s="11">
        <v>0</v>
      </c>
      <c r="J1121" s="11">
        <v>0</v>
      </c>
      <c r="K1121" s="7">
        <f t="shared" si="34"/>
        <v>3.90833275</v>
      </c>
      <c r="L1121" s="8">
        <f t="shared" si="35"/>
        <v>0</v>
      </c>
      <c r="M1121" s="9">
        <v>1.82625033664127E-7</v>
      </c>
      <c r="N1121" s="9">
        <v>2.47356184386359E-6</v>
      </c>
      <c r="O1121" s="2">
        <v>-4.8867964381672699</v>
      </c>
      <c r="P1121" t="s">
        <v>4171</v>
      </c>
      <c r="Q1121" s="10">
        <f>IF(N1121&lt;='[1]statistical criteria'!$B$2,IF(O1121&gt;=LOG('[1]statistical criteria'!$B$3,2),1,IF(O1121&lt;=-1*LOG('[1]statistical criteria'!$B$3,2),2,"-")),"-")</f>
        <v>2</v>
      </c>
      <c r="S1121" t="s">
        <v>4173</v>
      </c>
      <c r="T1121" s="9">
        <v>2E-12</v>
      </c>
      <c r="U1121" t="s">
        <v>4174</v>
      </c>
    </row>
    <row r="1122" spans="1:21" x14ac:dyDescent="0.35">
      <c r="A1122" t="s">
        <v>4175</v>
      </c>
      <c r="C1122">
        <v>1446</v>
      </c>
      <c r="D1122" s="5">
        <v>1.1325400000000001</v>
      </c>
      <c r="E1122" s="5">
        <v>6.253304</v>
      </c>
      <c r="F1122" s="5">
        <v>3.430987</v>
      </c>
      <c r="G1122" s="5">
        <v>3.8492120000000001</v>
      </c>
      <c r="H1122" s="11">
        <v>0</v>
      </c>
      <c r="I1122" s="11">
        <v>0</v>
      </c>
      <c r="J1122" s="11">
        <v>0</v>
      </c>
      <c r="K1122" s="7">
        <f t="shared" si="34"/>
        <v>3.66651075</v>
      </c>
      <c r="L1122" s="8">
        <f t="shared" si="35"/>
        <v>0</v>
      </c>
      <c r="M1122" s="9">
        <v>1.1674946578727199E-12</v>
      </c>
      <c r="N1122" s="9">
        <v>3.9709425092614601E-11</v>
      </c>
      <c r="O1122" s="2">
        <v>-4.8870441345708704</v>
      </c>
      <c r="P1122" t="s">
        <v>4175</v>
      </c>
      <c r="Q1122" s="10">
        <f>IF(N1122&lt;='[1]statistical criteria'!$B$2,IF(O1122&gt;=LOG('[1]statistical criteria'!$B$3,2),1,IF(O1122&lt;=-1*LOG('[1]statistical criteria'!$B$3,2),2,"-")),"-")</f>
        <v>2</v>
      </c>
    </row>
    <row r="1123" spans="1:21" x14ac:dyDescent="0.35">
      <c r="A1123" t="s">
        <v>4176</v>
      </c>
      <c r="B1123" t="s">
        <v>4177</v>
      </c>
      <c r="C1123">
        <v>1086</v>
      </c>
      <c r="D1123" s="5">
        <v>10.346541999999999</v>
      </c>
      <c r="E1123" s="5">
        <v>4.8902229999999998</v>
      </c>
      <c r="F1123" s="5">
        <v>4.8871089999999997</v>
      </c>
      <c r="G1123" s="5">
        <v>8.3563120000000009</v>
      </c>
      <c r="H1123" s="11">
        <v>0</v>
      </c>
      <c r="I1123" s="11">
        <v>0</v>
      </c>
      <c r="J1123" s="11">
        <v>0</v>
      </c>
      <c r="K1123" s="7">
        <f t="shared" si="34"/>
        <v>7.1200464999999991</v>
      </c>
      <c r="L1123" s="8">
        <f t="shared" si="35"/>
        <v>0</v>
      </c>
      <c r="M1123" s="9">
        <v>2.66364810804258E-8</v>
      </c>
      <c r="N1123" s="9">
        <v>4.3924803722747201E-7</v>
      </c>
      <c r="O1123" s="2">
        <v>-4.8937881500647604</v>
      </c>
      <c r="P1123" t="s">
        <v>4176</v>
      </c>
      <c r="Q1123" s="10">
        <f>IF(N1123&lt;='[1]statistical criteria'!$B$2,IF(O1123&gt;=LOG('[1]statistical criteria'!$B$3,2),1,IF(O1123&lt;=-1*LOG('[1]statistical criteria'!$B$3,2),2,"-")),"-")</f>
        <v>2</v>
      </c>
      <c r="R1123" t="s">
        <v>4178</v>
      </c>
      <c r="S1123" t="s">
        <v>4179</v>
      </c>
      <c r="T1123" s="9">
        <v>5.9999999999999997E-172</v>
      </c>
      <c r="U1123" t="s">
        <v>4180</v>
      </c>
    </row>
    <row r="1124" spans="1:21" x14ac:dyDescent="0.35">
      <c r="A1124" t="s">
        <v>4181</v>
      </c>
      <c r="B1124" t="s">
        <v>4182</v>
      </c>
      <c r="C1124">
        <v>2043</v>
      </c>
      <c r="D1124" s="5">
        <v>1.222234</v>
      </c>
      <c r="E1124" s="5">
        <v>5.115202</v>
      </c>
      <c r="F1124" s="5">
        <v>12.013403</v>
      </c>
      <c r="G1124" s="5">
        <v>4.8366559999999996</v>
      </c>
      <c r="H1124" s="11">
        <v>0</v>
      </c>
      <c r="I1124" s="11">
        <v>0</v>
      </c>
      <c r="J1124" s="11">
        <v>0</v>
      </c>
      <c r="K1124" s="7">
        <f t="shared" si="34"/>
        <v>5.7968737499999996</v>
      </c>
      <c r="L1124" s="8">
        <f t="shared" si="35"/>
        <v>0</v>
      </c>
      <c r="M1124" s="9">
        <v>2.4051780252419699E-10</v>
      </c>
      <c r="N1124" s="9">
        <v>5.6928529627306797E-9</v>
      </c>
      <c r="O1124" s="2">
        <v>-4.8948064751581697</v>
      </c>
      <c r="P1124" t="s">
        <v>4181</v>
      </c>
      <c r="Q1124" s="10">
        <f>IF(N1124&lt;='[1]statistical criteria'!$B$2,IF(O1124&gt;=LOG('[1]statistical criteria'!$B$3,2),1,IF(O1124&lt;=-1*LOG('[1]statistical criteria'!$B$3,2),2,"-")),"-")</f>
        <v>2</v>
      </c>
      <c r="R1124" t="s">
        <v>4183</v>
      </c>
      <c r="S1124" t="s">
        <v>4184</v>
      </c>
      <c r="T1124">
        <v>0</v>
      </c>
      <c r="U1124" t="s">
        <v>4185</v>
      </c>
    </row>
    <row r="1125" spans="1:21" x14ac:dyDescent="0.35">
      <c r="A1125" t="s">
        <v>4186</v>
      </c>
      <c r="B1125" t="s">
        <v>4187</v>
      </c>
      <c r="C1125">
        <v>378</v>
      </c>
      <c r="D1125" s="5">
        <v>21.451080999999999</v>
      </c>
      <c r="E1125" s="5">
        <v>36.071872999999997</v>
      </c>
      <c r="F1125" s="5">
        <v>17.013971999999999</v>
      </c>
      <c r="G1125" s="5">
        <v>15.092352999999999</v>
      </c>
      <c r="H1125" s="11">
        <v>0</v>
      </c>
      <c r="I1125" s="11">
        <v>0</v>
      </c>
      <c r="J1125" s="11">
        <v>0</v>
      </c>
      <c r="K1125" s="7">
        <f t="shared" si="34"/>
        <v>22.407319749999999</v>
      </c>
      <c r="L1125" s="8">
        <f t="shared" si="35"/>
        <v>0</v>
      </c>
      <c r="M1125" s="9">
        <v>1.2546303922494101E-7</v>
      </c>
      <c r="N1125" s="9">
        <v>1.7555600268019299E-6</v>
      </c>
      <c r="O1125" s="2">
        <v>-4.8979881079453298</v>
      </c>
      <c r="P1125" t="s">
        <v>4186</v>
      </c>
      <c r="Q1125" s="10">
        <f>IF(N1125&lt;='[1]statistical criteria'!$B$2,IF(O1125&gt;=LOG('[1]statistical criteria'!$B$3,2),1,IF(O1125&lt;=-1*LOG('[1]statistical criteria'!$B$3,2),2,"-")),"-")</f>
        <v>2</v>
      </c>
      <c r="R1125" t="s">
        <v>4188</v>
      </c>
      <c r="S1125" t="s">
        <v>4189</v>
      </c>
      <c r="T1125" s="9">
        <v>2E-14</v>
      </c>
      <c r="U1125" t="s">
        <v>61</v>
      </c>
    </row>
    <row r="1126" spans="1:21" x14ac:dyDescent="0.35">
      <c r="A1126" t="s">
        <v>4190</v>
      </c>
      <c r="B1126" t="s">
        <v>4191</v>
      </c>
      <c r="C1126">
        <v>540</v>
      </c>
      <c r="D1126" s="5">
        <v>8.9687389999999994</v>
      </c>
      <c r="E1126" s="5">
        <v>25.642980999999999</v>
      </c>
      <c r="F1126" s="5">
        <v>8.4726269999999992</v>
      </c>
      <c r="G1126" s="5">
        <v>3.447025</v>
      </c>
      <c r="H1126" s="11">
        <v>0</v>
      </c>
      <c r="I1126" s="11">
        <v>0</v>
      </c>
      <c r="J1126" s="11">
        <v>0</v>
      </c>
      <c r="K1126" s="7">
        <f t="shared" si="34"/>
        <v>11.632842999999998</v>
      </c>
      <c r="L1126" s="8">
        <f t="shared" si="35"/>
        <v>0</v>
      </c>
      <c r="M1126" s="9">
        <v>1.05582235703621E-7</v>
      </c>
      <c r="N1126" s="9">
        <v>1.5089973304092401E-6</v>
      </c>
      <c r="O1126" s="2">
        <v>-4.9006242168976604</v>
      </c>
      <c r="P1126" t="s">
        <v>4190</v>
      </c>
      <c r="Q1126" s="10">
        <f>IF(N1126&lt;='[1]statistical criteria'!$B$2,IF(O1126&gt;=LOG('[1]statistical criteria'!$B$3,2),1,IF(O1126&lt;=-1*LOG('[1]statistical criteria'!$B$3,2),2,"-")),"-")</f>
        <v>2</v>
      </c>
    </row>
    <row r="1127" spans="1:21" x14ac:dyDescent="0.35">
      <c r="A1127" t="s">
        <v>4192</v>
      </c>
      <c r="B1127" t="s">
        <v>4193</v>
      </c>
      <c r="C1127">
        <v>2007</v>
      </c>
      <c r="D1127" s="5">
        <v>7.3635999999999999</v>
      </c>
      <c r="E1127" s="5">
        <v>4.4811719999999999</v>
      </c>
      <c r="F1127" s="5">
        <v>10.072024000000001</v>
      </c>
      <c r="G1127" s="5">
        <v>1.6561950000000001</v>
      </c>
      <c r="H1127" s="11">
        <v>0</v>
      </c>
      <c r="I1127" s="11">
        <v>0</v>
      </c>
      <c r="J1127" s="11">
        <v>0</v>
      </c>
      <c r="K1127" s="7">
        <f t="shared" ref="K1127:K1190" si="36">AVERAGE(D1127:G1127)</f>
        <v>5.8932477499999996</v>
      </c>
      <c r="L1127" s="8">
        <f t="shared" ref="L1127:L1190" si="37">AVERAGE(H1127:J1127)</f>
        <v>0</v>
      </c>
      <c r="M1127" s="9">
        <v>3.89994983417557E-7</v>
      </c>
      <c r="N1127" s="9">
        <v>4.9329375436597702E-6</v>
      </c>
      <c r="O1127" s="2">
        <v>-4.9030547156648296</v>
      </c>
      <c r="P1127" t="s">
        <v>4192</v>
      </c>
      <c r="Q1127" s="10">
        <f>IF(N1127&lt;='[1]statistical criteria'!$B$2,IF(O1127&gt;=LOG('[1]statistical criteria'!$B$3,2),1,IF(O1127&lt;=-1*LOG('[1]statistical criteria'!$B$3,2),2,"-")),"-")</f>
        <v>2</v>
      </c>
      <c r="R1127" t="s">
        <v>4194</v>
      </c>
      <c r="S1127" t="s">
        <v>4195</v>
      </c>
      <c r="T1127" s="9">
        <v>9.9999999999999995E-163</v>
      </c>
      <c r="U1127" t="s">
        <v>4196</v>
      </c>
    </row>
    <row r="1128" spans="1:21" x14ac:dyDescent="0.35">
      <c r="A1128" t="s">
        <v>4197</v>
      </c>
      <c r="B1128" t="s">
        <v>3806</v>
      </c>
      <c r="C1128">
        <v>1257</v>
      </c>
      <c r="D1128" s="5">
        <v>8.5662660000000006</v>
      </c>
      <c r="E1128" s="5">
        <v>14.058916</v>
      </c>
      <c r="F1128" s="5">
        <v>11.596202</v>
      </c>
      <c r="G1128" s="5">
        <v>0.72189300000000001</v>
      </c>
      <c r="H1128" s="11">
        <v>0</v>
      </c>
      <c r="I1128" s="11">
        <v>0</v>
      </c>
      <c r="J1128" s="11">
        <v>0</v>
      </c>
      <c r="K1128" s="7">
        <f t="shared" si="36"/>
        <v>8.7358192500000005</v>
      </c>
      <c r="L1128" s="8">
        <f t="shared" si="37"/>
        <v>0</v>
      </c>
      <c r="M1128" s="9">
        <v>7.4890058956490901E-10</v>
      </c>
      <c r="N1128" s="9">
        <v>1.64283322414066E-8</v>
      </c>
      <c r="O1128" s="2">
        <v>-4.9061088354604996</v>
      </c>
      <c r="P1128" t="s">
        <v>4197</v>
      </c>
      <c r="Q1128" s="10">
        <f>IF(N1128&lt;='[1]statistical criteria'!$B$2,IF(O1128&gt;=LOG('[1]statistical criteria'!$B$3,2),1,IF(O1128&lt;=-1*LOG('[1]statistical criteria'!$B$3,2),2,"-")),"-")</f>
        <v>2</v>
      </c>
      <c r="R1128" t="s">
        <v>3191</v>
      </c>
      <c r="S1128" t="s">
        <v>3192</v>
      </c>
      <c r="T1128" s="9">
        <v>7.0000000000000003E-155</v>
      </c>
      <c r="U1128" t="s">
        <v>3193</v>
      </c>
    </row>
    <row r="1129" spans="1:21" x14ac:dyDescent="0.35">
      <c r="A1129" t="s">
        <v>4198</v>
      </c>
      <c r="B1129" t="s">
        <v>4199</v>
      </c>
      <c r="C1129">
        <v>993</v>
      </c>
      <c r="D1129" s="5">
        <v>4.2161379999999999</v>
      </c>
      <c r="E1129" s="5">
        <v>2.3896470000000001</v>
      </c>
      <c r="F1129" s="5">
        <v>5.7264499999999998</v>
      </c>
      <c r="G1129" s="5">
        <v>3.9049809999999998</v>
      </c>
      <c r="H1129" s="11">
        <v>0</v>
      </c>
      <c r="I1129" s="11">
        <v>0</v>
      </c>
      <c r="J1129" s="11">
        <v>0</v>
      </c>
      <c r="K1129" s="7">
        <f t="shared" si="36"/>
        <v>4.059304</v>
      </c>
      <c r="L1129" s="8">
        <f t="shared" si="37"/>
        <v>0</v>
      </c>
      <c r="M1129" s="9">
        <v>1.4065542526901601E-9</v>
      </c>
      <c r="N1129" s="9">
        <v>2.9658423743704999E-8</v>
      </c>
      <c r="O1129" s="2">
        <v>-4.9140361877687999</v>
      </c>
      <c r="P1129" t="s">
        <v>4198</v>
      </c>
      <c r="Q1129" s="10">
        <f>IF(N1129&lt;='[1]statistical criteria'!$B$2,IF(O1129&gt;=LOG('[1]statistical criteria'!$B$3,2),1,IF(O1129&lt;=-1*LOG('[1]statistical criteria'!$B$3,2),2,"-")),"-")</f>
        <v>2</v>
      </c>
      <c r="R1129" t="s">
        <v>4200</v>
      </c>
      <c r="S1129" t="s">
        <v>4201</v>
      </c>
      <c r="T1129" s="9">
        <v>3.0000000000000002E-118</v>
      </c>
      <c r="U1129" t="s">
        <v>2502</v>
      </c>
    </row>
    <row r="1130" spans="1:21" x14ac:dyDescent="0.35">
      <c r="A1130" t="s">
        <v>4202</v>
      </c>
      <c r="B1130" t="s">
        <v>4203</v>
      </c>
      <c r="C1130">
        <v>411</v>
      </c>
      <c r="D1130" s="5">
        <v>268.224536</v>
      </c>
      <c r="E1130" s="5">
        <v>465.39401700000002</v>
      </c>
      <c r="F1130" s="5">
        <v>342.88096899999999</v>
      </c>
      <c r="G1130" s="5">
        <v>552.759367</v>
      </c>
      <c r="H1130" s="6">
        <v>20.689129999999999</v>
      </c>
      <c r="I1130" s="6">
        <v>10.961207999999999</v>
      </c>
      <c r="J1130" s="11">
        <v>0</v>
      </c>
      <c r="K1130" s="7">
        <f t="shared" si="36"/>
        <v>407.31472225000005</v>
      </c>
      <c r="L1130" s="8">
        <f t="shared" si="37"/>
        <v>10.550112666666665</v>
      </c>
      <c r="M1130" s="9">
        <v>1.5597825847098801E-9</v>
      </c>
      <c r="N1130" s="9">
        <v>3.2493336165330098E-8</v>
      </c>
      <c r="O1130" s="2">
        <v>-4.9157543549715896</v>
      </c>
      <c r="P1130" t="s">
        <v>4202</v>
      </c>
      <c r="Q1130" s="10">
        <f>IF(N1130&lt;='[1]statistical criteria'!$B$2,IF(O1130&gt;=LOG('[1]statistical criteria'!$B$3,2),1,IF(O1130&lt;=-1*LOG('[1]statistical criteria'!$B$3,2),2,"-")),"-")</f>
        <v>2</v>
      </c>
      <c r="R1130" t="s">
        <v>3030</v>
      </c>
    </row>
    <row r="1131" spans="1:21" x14ac:dyDescent="0.35">
      <c r="A1131" t="s">
        <v>4204</v>
      </c>
      <c r="B1131" t="s">
        <v>4205</v>
      </c>
      <c r="C1131">
        <v>324</v>
      </c>
      <c r="D1131" s="5">
        <v>36.733525999999998</v>
      </c>
      <c r="E1131" s="5">
        <v>95.572475999999995</v>
      </c>
      <c r="F1131" s="5">
        <v>8.034376</v>
      </c>
      <c r="G1131" s="5">
        <v>32.105688999999998</v>
      </c>
      <c r="H1131" s="11">
        <v>0</v>
      </c>
      <c r="I1131" s="11">
        <v>0</v>
      </c>
      <c r="J1131" s="11">
        <v>0</v>
      </c>
      <c r="K1131" s="7">
        <f t="shared" si="36"/>
        <v>43.111516749999993</v>
      </c>
      <c r="L1131" s="8">
        <f t="shared" si="37"/>
        <v>0</v>
      </c>
      <c r="M1131" s="9">
        <v>1.5295102057496201E-11</v>
      </c>
      <c r="N1131" s="9">
        <v>4.3901326116765101E-10</v>
      </c>
      <c r="O1131" s="2">
        <v>-4.9237422885270004</v>
      </c>
      <c r="P1131" t="s">
        <v>4204</v>
      </c>
      <c r="Q1131" s="10">
        <f>IF(N1131&lt;='[1]statistical criteria'!$B$2,IF(O1131&gt;=LOG('[1]statistical criteria'!$B$3,2),1,IF(O1131&lt;=-1*LOG('[1]statistical criteria'!$B$3,2),2,"-")),"-")</f>
        <v>2</v>
      </c>
      <c r="S1131" t="s">
        <v>4206</v>
      </c>
      <c r="T1131" s="9">
        <v>6.0000000000000002E-45</v>
      </c>
      <c r="U1131" t="s">
        <v>4207</v>
      </c>
    </row>
    <row r="1132" spans="1:21" x14ac:dyDescent="0.35">
      <c r="A1132" t="s">
        <v>4208</v>
      </c>
      <c r="B1132" t="s">
        <v>4191</v>
      </c>
      <c r="C1132">
        <v>486</v>
      </c>
      <c r="D1132" s="5">
        <v>45.531301999999997</v>
      </c>
      <c r="E1132" s="5">
        <v>42.009852000000002</v>
      </c>
      <c r="F1132" s="5">
        <v>52.747047999999999</v>
      </c>
      <c r="G1132" s="5">
        <v>30.407841999999999</v>
      </c>
      <c r="H1132" s="11">
        <v>0</v>
      </c>
      <c r="I1132" s="6">
        <v>4.7749180000000004</v>
      </c>
      <c r="J1132" s="11">
        <v>0</v>
      </c>
      <c r="K1132" s="7">
        <f t="shared" si="36"/>
        <v>42.674011</v>
      </c>
      <c r="L1132" s="8">
        <f t="shared" si="37"/>
        <v>1.5916393333333334</v>
      </c>
      <c r="M1132" s="9">
        <v>2.43005071255584E-7</v>
      </c>
      <c r="N1132" s="9">
        <v>3.2124949676927902E-6</v>
      </c>
      <c r="O1132" s="2">
        <v>-4.9258361449748103</v>
      </c>
      <c r="P1132" t="s">
        <v>4208</v>
      </c>
      <c r="Q1132" s="10">
        <f>IF(N1132&lt;='[1]statistical criteria'!$B$2,IF(O1132&gt;=LOG('[1]statistical criteria'!$B$3,2),1,IF(O1132&lt;=-1*LOG('[1]statistical criteria'!$B$3,2),2,"-")),"-")</f>
        <v>2</v>
      </c>
    </row>
    <row r="1133" spans="1:21" x14ac:dyDescent="0.35">
      <c r="A1133" t="s">
        <v>4209</v>
      </c>
      <c r="B1133" t="s">
        <v>4210</v>
      </c>
      <c r="C1133">
        <v>1976</v>
      </c>
      <c r="D1133" s="5">
        <v>68.498795999999999</v>
      </c>
      <c r="E1133" s="5">
        <v>54.827325999999999</v>
      </c>
      <c r="F1133" s="5">
        <v>60.286327</v>
      </c>
      <c r="G1133" s="5">
        <v>69.149180999999999</v>
      </c>
      <c r="H1133" s="11">
        <v>0</v>
      </c>
      <c r="I1133" s="6">
        <v>0.90908599999999995</v>
      </c>
      <c r="J1133" s="6">
        <v>1.632077</v>
      </c>
      <c r="K1133" s="7">
        <f t="shared" si="36"/>
        <v>63.190407499999999</v>
      </c>
      <c r="L1133" s="8">
        <f t="shared" si="37"/>
        <v>0.84705433333333335</v>
      </c>
      <c r="M1133" s="9">
        <v>1.88596024332307E-13</v>
      </c>
      <c r="N1133" s="9">
        <v>7.30210039276461E-12</v>
      </c>
      <c r="O1133" s="2">
        <v>-4.9314357273116096</v>
      </c>
      <c r="P1133" t="s">
        <v>4209</v>
      </c>
      <c r="Q1133" s="10">
        <f>IF(N1133&lt;='[1]statistical criteria'!$B$2,IF(O1133&gt;=LOG('[1]statistical criteria'!$B$3,2),1,IF(O1133&lt;=-1*LOG('[1]statistical criteria'!$B$3,2),2,"-")),"-")</f>
        <v>2</v>
      </c>
      <c r="S1133" t="s">
        <v>3418</v>
      </c>
      <c r="T1133" s="9">
        <v>3.9999999999999996E-21</v>
      </c>
      <c r="U1133" t="s">
        <v>61</v>
      </c>
    </row>
    <row r="1134" spans="1:21" x14ac:dyDescent="0.35">
      <c r="A1134" t="s">
        <v>4211</v>
      </c>
      <c r="B1134" t="s">
        <v>4212</v>
      </c>
      <c r="C1134">
        <v>429</v>
      </c>
      <c r="D1134" s="5">
        <v>68.636309999999995</v>
      </c>
      <c r="E1134" s="5">
        <v>102.433881</v>
      </c>
      <c r="F1134" s="5">
        <v>97.532819000000003</v>
      </c>
      <c r="G1134" s="5">
        <v>115.8402</v>
      </c>
      <c r="H1134" s="11">
        <v>0</v>
      </c>
      <c r="I1134" s="11">
        <v>0</v>
      </c>
      <c r="J1134" s="6">
        <v>20.188341000000001</v>
      </c>
      <c r="K1134" s="7">
        <f t="shared" si="36"/>
        <v>96.110802499999991</v>
      </c>
      <c r="L1134" s="8">
        <f t="shared" si="37"/>
        <v>6.7294470000000004</v>
      </c>
      <c r="M1134" s="9">
        <v>1.0811101248888499E-8</v>
      </c>
      <c r="N1134" s="9">
        <v>1.9236583147858599E-7</v>
      </c>
      <c r="O1134" s="2">
        <v>-4.9344121054782502</v>
      </c>
      <c r="P1134" t="s">
        <v>4211</v>
      </c>
      <c r="Q1134" s="10">
        <f>IF(N1134&lt;='[1]statistical criteria'!$B$2,IF(O1134&gt;=LOG('[1]statistical criteria'!$B$3,2),1,IF(O1134&lt;=-1*LOG('[1]statistical criteria'!$B$3,2),2,"-")),"-")</f>
        <v>2</v>
      </c>
      <c r="R1134" t="s">
        <v>4213</v>
      </c>
    </row>
    <row r="1135" spans="1:21" x14ac:dyDescent="0.35">
      <c r="A1135" t="s">
        <v>4214</v>
      </c>
      <c r="B1135" t="s">
        <v>4215</v>
      </c>
      <c r="C1135">
        <v>2520</v>
      </c>
      <c r="D1135" s="5">
        <v>5.4368350000000003</v>
      </c>
      <c r="E1135" s="5">
        <v>1.7397899999999999</v>
      </c>
      <c r="F1135" s="5">
        <v>5.9894920000000003</v>
      </c>
      <c r="G1135" s="5">
        <v>2.6041189999999999</v>
      </c>
      <c r="H1135" s="11">
        <v>0</v>
      </c>
      <c r="I1135" s="11">
        <v>0</v>
      </c>
      <c r="J1135" s="11">
        <v>0</v>
      </c>
      <c r="K1135" s="7">
        <f t="shared" si="36"/>
        <v>3.9425590000000001</v>
      </c>
      <c r="L1135" s="8">
        <f t="shared" si="37"/>
        <v>0</v>
      </c>
      <c r="M1135" s="9">
        <v>1.20161486257871E-8</v>
      </c>
      <c r="N1135" s="9">
        <v>2.1217922527109999E-7</v>
      </c>
      <c r="O1135" s="2">
        <v>-4.9386878814758601</v>
      </c>
      <c r="P1135" t="s">
        <v>4214</v>
      </c>
      <c r="Q1135" s="10">
        <f>IF(N1135&lt;='[1]statistical criteria'!$B$2,IF(O1135&gt;=LOG('[1]statistical criteria'!$B$3,2),1,IF(O1135&lt;=-1*LOG('[1]statistical criteria'!$B$3,2),2,"-")),"-")</f>
        <v>2</v>
      </c>
      <c r="R1135" t="s">
        <v>3661</v>
      </c>
      <c r="S1135" t="s">
        <v>3662</v>
      </c>
      <c r="T1135">
        <v>3.1</v>
      </c>
      <c r="U1135" t="s">
        <v>3663</v>
      </c>
    </row>
    <row r="1136" spans="1:21" x14ac:dyDescent="0.35">
      <c r="A1136" t="s">
        <v>4216</v>
      </c>
      <c r="B1136" t="s">
        <v>4217</v>
      </c>
      <c r="C1136">
        <v>1089</v>
      </c>
      <c r="D1136" s="5">
        <v>21.711290000000002</v>
      </c>
      <c r="E1136" s="5">
        <v>15.666998</v>
      </c>
      <c r="F1136" s="5">
        <v>21.706818999999999</v>
      </c>
      <c r="G1136" s="5">
        <v>15.213450999999999</v>
      </c>
      <c r="H1136" s="6">
        <v>0.94042999999999999</v>
      </c>
      <c r="I1136" s="11">
        <v>0</v>
      </c>
      <c r="J1136" s="11">
        <v>0</v>
      </c>
      <c r="K1136" s="7">
        <f t="shared" si="36"/>
        <v>18.574639499999996</v>
      </c>
      <c r="L1136" s="8">
        <f t="shared" si="37"/>
        <v>0.31347666666666668</v>
      </c>
      <c r="M1136" s="9">
        <v>2.2255955606568499E-15</v>
      </c>
      <c r="N1136" s="9">
        <v>1.13547140802413E-13</v>
      </c>
      <c r="O1136" s="2">
        <v>-4.9417494831391897</v>
      </c>
      <c r="P1136" t="s">
        <v>4216</v>
      </c>
      <c r="Q1136" s="10">
        <f>IF(N1136&lt;='[1]statistical criteria'!$B$2,IF(O1136&gt;=LOG('[1]statistical criteria'!$B$3,2),1,IF(O1136&lt;=-1*LOG('[1]statistical criteria'!$B$3,2),2,"-")),"-")</f>
        <v>2</v>
      </c>
      <c r="R1136" t="s">
        <v>4218</v>
      </c>
    </row>
    <row r="1137" spans="1:21" x14ac:dyDescent="0.35">
      <c r="A1137" t="s">
        <v>4219</v>
      </c>
      <c r="B1137" t="s">
        <v>4220</v>
      </c>
      <c r="C1137">
        <v>1191</v>
      </c>
      <c r="D1137" s="5">
        <v>3.5855869999999999</v>
      </c>
      <c r="E1137" s="5">
        <v>6.6630739999999999</v>
      </c>
      <c r="F1137" s="5">
        <v>8.6279559999999993</v>
      </c>
      <c r="G1137" s="5">
        <v>7.2490819999999996</v>
      </c>
      <c r="H1137" s="11">
        <v>0</v>
      </c>
      <c r="I1137" s="11">
        <v>0</v>
      </c>
      <c r="J1137" s="11">
        <v>0</v>
      </c>
      <c r="K1137" s="7">
        <f t="shared" si="36"/>
        <v>6.5314247499999993</v>
      </c>
      <c r="L1137" s="8">
        <f t="shared" si="37"/>
        <v>0</v>
      </c>
      <c r="M1137" s="9">
        <v>8.2845240884584494E-8</v>
      </c>
      <c r="N1137" s="9">
        <v>1.21929229236941E-6</v>
      </c>
      <c r="O1137" s="2">
        <v>-4.9452892164342401</v>
      </c>
      <c r="P1137" t="s">
        <v>4219</v>
      </c>
      <c r="Q1137" s="10">
        <f>IF(N1137&lt;='[1]statistical criteria'!$B$2,IF(O1137&gt;=LOG('[1]statistical criteria'!$B$3,2),1,IF(O1137&lt;=-1*LOG('[1]statistical criteria'!$B$3,2),2,"-")),"-")</f>
        <v>2</v>
      </c>
      <c r="R1137" t="s">
        <v>241</v>
      </c>
      <c r="S1137" t="s">
        <v>4221</v>
      </c>
      <c r="T1137" s="9">
        <v>1E-176</v>
      </c>
      <c r="U1137" t="s">
        <v>242</v>
      </c>
    </row>
    <row r="1138" spans="1:21" x14ac:dyDescent="0.35">
      <c r="A1138" t="s">
        <v>4222</v>
      </c>
      <c r="B1138" t="s">
        <v>4223</v>
      </c>
      <c r="C1138">
        <v>411</v>
      </c>
      <c r="D1138" s="5">
        <v>266.940315</v>
      </c>
      <c r="E1138" s="5">
        <v>471.93303500000002</v>
      </c>
      <c r="F1138" s="5">
        <v>342.34063800000001</v>
      </c>
      <c r="G1138" s="5">
        <v>513.97789999999998</v>
      </c>
      <c r="H1138" s="6">
        <v>13.785562000000001</v>
      </c>
      <c r="I1138" s="6">
        <v>12.969917000000001</v>
      </c>
      <c r="J1138" s="11">
        <v>0</v>
      </c>
      <c r="K1138" s="7">
        <f t="shared" si="36"/>
        <v>398.79797199999996</v>
      </c>
      <c r="L1138" s="8">
        <f t="shared" si="37"/>
        <v>8.9184929999999998</v>
      </c>
      <c r="M1138" s="9">
        <v>7.7976050560364702E-10</v>
      </c>
      <c r="N1138" s="9">
        <v>1.7065948731037799E-8</v>
      </c>
      <c r="O1138" s="2">
        <v>-4.9507280021970201</v>
      </c>
      <c r="P1138" t="s">
        <v>4222</v>
      </c>
      <c r="Q1138" s="10">
        <f>IF(N1138&lt;='[1]statistical criteria'!$B$2,IF(O1138&gt;=LOG('[1]statistical criteria'!$B$3,2),1,IF(O1138&lt;=-1*LOG('[1]statistical criteria'!$B$3,2),2,"-")),"-")</f>
        <v>2</v>
      </c>
      <c r="R1138" t="s">
        <v>3030</v>
      </c>
      <c r="S1138" t="s">
        <v>3610</v>
      </c>
      <c r="T1138" s="9">
        <v>3.0000000000000001E-94</v>
      </c>
      <c r="U1138" t="s">
        <v>3178</v>
      </c>
    </row>
    <row r="1139" spans="1:21" x14ac:dyDescent="0.35">
      <c r="A1139" t="s">
        <v>4224</v>
      </c>
      <c r="B1139" t="s">
        <v>4225</v>
      </c>
      <c r="C1139">
        <v>1508</v>
      </c>
      <c r="D1139" s="5">
        <v>5.7506890000000004</v>
      </c>
      <c r="E1139" s="5">
        <v>2.7156639999999999</v>
      </c>
      <c r="F1139" s="5">
        <v>7.4185780000000001</v>
      </c>
      <c r="G1139" s="5">
        <v>8.641985</v>
      </c>
      <c r="H1139" s="11">
        <v>0</v>
      </c>
      <c r="I1139" s="11">
        <v>0</v>
      </c>
      <c r="J1139" s="11">
        <v>0</v>
      </c>
      <c r="K1139" s="7">
        <f t="shared" si="36"/>
        <v>6.131729</v>
      </c>
      <c r="L1139" s="8">
        <f t="shared" si="37"/>
        <v>0</v>
      </c>
      <c r="M1139" s="9">
        <v>1.88031529037973E-9</v>
      </c>
      <c r="N1139" s="9">
        <v>3.8746507824500502E-8</v>
      </c>
      <c r="O1139" s="2">
        <v>-4.9520431193461203</v>
      </c>
      <c r="P1139" t="s">
        <v>4224</v>
      </c>
      <c r="Q1139" s="10">
        <f>IF(N1139&lt;='[1]statistical criteria'!$B$2,IF(O1139&gt;=LOG('[1]statistical criteria'!$B$3,2),1,IF(O1139&lt;=-1*LOG('[1]statistical criteria'!$B$3,2),2,"-")),"-")</f>
        <v>2</v>
      </c>
      <c r="R1139" t="s">
        <v>4226</v>
      </c>
      <c r="S1139" t="s">
        <v>4227</v>
      </c>
      <c r="T1139" s="9">
        <v>6.0000000000000002E-177</v>
      </c>
      <c r="U1139" t="s">
        <v>3092</v>
      </c>
    </row>
    <row r="1140" spans="1:21" x14ac:dyDescent="0.35">
      <c r="A1140" t="s">
        <v>4228</v>
      </c>
      <c r="B1140" t="s">
        <v>4229</v>
      </c>
      <c r="C1140">
        <v>1194</v>
      </c>
      <c r="D1140" s="5">
        <v>9.9589619999999996</v>
      </c>
      <c r="E1140" s="5">
        <v>6.7396710000000004</v>
      </c>
      <c r="F1140" s="5">
        <v>7.5300190000000002</v>
      </c>
      <c r="G1140" s="5">
        <v>3.7199819999999999</v>
      </c>
      <c r="H1140" s="11">
        <v>0</v>
      </c>
      <c r="I1140" s="11">
        <v>0</v>
      </c>
      <c r="J1140" s="11">
        <v>0</v>
      </c>
      <c r="K1140" s="7">
        <f t="shared" si="36"/>
        <v>6.9871584999999996</v>
      </c>
      <c r="L1140" s="8">
        <f t="shared" si="37"/>
        <v>0</v>
      </c>
      <c r="M1140" s="9">
        <v>4.1313366282870299E-10</v>
      </c>
      <c r="N1140" s="9">
        <v>9.4380955625812994E-9</v>
      </c>
      <c r="O1140" s="2">
        <v>-4.9568992592280301</v>
      </c>
      <c r="P1140" t="s">
        <v>4228</v>
      </c>
      <c r="Q1140" s="10">
        <f>IF(N1140&lt;='[1]statistical criteria'!$B$2,IF(O1140&gt;=LOG('[1]statistical criteria'!$B$3,2),1,IF(O1140&lt;=-1*LOG('[1]statistical criteria'!$B$3,2),2,"-")),"-")</f>
        <v>2</v>
      </c>
      <c r="R1140" t="s">
        <v>94</v>
      </c>
      <c r="S1140" t="s">
        <v>4230</v>
      </c>
      <c r="T1140">
        <v>0</v>
      </c>
      <c r="U1140" t="s">
        <v>95</v>
      </c>
    </row>
    <row r="1141" spans="1:21" x14ac:dyDescent="0.35">
      <c r="A1141" t="s">
        <v>4231</v>
      </c>
      <c r="B1141" t="s">
        <v>4232</v>
      </c>
      <c r="C1141">
        <v>774</v>
      </c>
      <c r="D1141" s="5">
        <v>27.805954</v>
      </c>
      <c r="E1141" s="5">
        <v>35.037547000000004</v>
      </c>
      <c r="F1141" s="5">
        <v>34.394098</v>
      </c>
      <c r="G1141" s="5">
        <v>15.603402000000001</v>
      </c>
      <c r="H1141" s="11">
        <v>0</v>
      </c>
      <c r="I1141" s="11">
        <v>0</v>
      </c>
      <c r="J1141" s="6">
        <v>3.147338</v>
      </c>
      <c r="K1141" s="7">
        <f t="shared" si="36"/>
        <v>28.210250250000001</v>
      </c>
      <c r="L1141" s="8">
        <f t="shared" si="37"/>
        <v>1.0491126666666666</v>
      </c>
      <c r="M1141" s="9">
        <v>1.27208104595246E-13</v>
      </c>
      <c r="N1141" s="9">
        <v>5.0536372065850102E-12</v>
      </c>
      <c r="O1141" s="2">
        <v>-4.9584396377879596</v>
      </c>
      <c r="P1141" t="s">
        <v>4231</v>
      </c>
      <c r="Q1141" s="10">
        <f>IF(N1141&lt;='[1]statistical criteria'!$B$2,IF(O1141&gt;=LOG('[1]statistical criteria'!$B$3,2),1,IF(O1141&lt;=-1*LOG('[1]statistical criteria'!$B$3,2),2,"-")),"-")</f>
        <v>2</v>
      </c>
      <c r="R1141" t="s">
        <v>4233</v>
      </c>
      <c r="S1141" t="s">
        <v>4234</v>
      </c>
      <c r="T1141" s="9">
        <v>9.9999999999999993E-130</v>
      </c>
      <c r="U1141" t="s">
        <v>4235</v>
      </c>
    </row>
    <row r="1142" spans="1:21" x14ac:dyDescent="0.35">
      <c r="A1142" t="s">
        <v>4236</v>
      </c>
      <c r="B1142" t="s">
        <v>4237</v>
      </c>
      <c r="C1142">
        <v>853</v>
      </c>
      <c r="D1142" s="5">
        <v>12.048341000000001</v>
      </c>
      <c r="E1142" s="5">
        <v>11.683286000000001</v>
      </c>
      <c r="F1142" s="5">
        <v>27.521867</v>
      </c>
      <c r="G1142" s="5">
        <v>19.48039</v>
      </c>
      <c r="H1142" s="6">
        <v>0.794076</v>
      </c>
      <c r="I1142" s="11">
        <v>0</v>
      </c>
      <c r="J1142" s="11">
        <v>0</v>
      </c>
      <c r="K1142" s="7">
        <f t="shared" si="36"/>
        <v>17.683471000000001</v>
      </c>
      <c r="L1142" s="8">
        <f t="shared" si="37"/>
        <v>0.26469199999999998</v>
      </c>
      <c r="M1142" s="9">
        <v>6.5655688285019806E-8</v>
      </c>
      <c r="N1142" s="9">
        <v>9.9043024024092505E-7</v>
      </c>
      <c r="O1142" s="2">
        <v>-4.9608804309007599</v>
      </c>
      <c r="P1142" t="s">
        <v>4236</v>
      </c>
      <c r="Q1142" s="10">
        <f>IF(N1142&lt;='[1]statistical criteria'!$B$2,IF(O1142&gt;=LOG('[1]statistical criteria'!$B$3,2),1,IF(O1142&lt;=-1*LOG('[1]statistical criteria'!$B$3,2),2,"-")),"-")</f>
        <v>2</v>
      </c>
      <c r="R1142" t="s">
        <v>4238</v>
      </c>
      <c r="S1142" t="s">
        <v>4239</v>
      </c>
      <c r="T1142" s="9">
        <v>9.9999999999999993E-130</v>
      </c>
      <c r="U1142" t="s">
        <v>4240</v>
      </c>
    </row>
    <row r="1143" spans="1:21" x14ac:dyDescent="0.35">
      <c r="A1143" t="s">
        <v>4241</v>
      </c>
      <c r="B1143" t="s">
        <v>4242</v>
      </c>
      <c r="C1143">
        <v>2223</v>
      </c>
      <c r="D1143" s="5">
        <v>11.696016</v>
      </c>
      <c r="E1143" s="5">
        <v>14.553006999999999</v>
      </c>
      <c r="F1143" s="5">
        <v>17.719491000000001</v>
      </c>
      <c r="G1143" s="5">
        <v>9.3020139999999998</v>
      </c>
      <c r="H1143" s="6">
        <v>1.1212120000000001</v>
      </c>
      <c r="I1143" s="11">
        <v>0</v>
      </c>
      <c r="J1143" s="11">
        <v>0</v>
      </c>
      <c r="K1143" s="7">
        <f t="shared" si="36"/>
        <v>13.317632</v>
      </c>
      <c r="L1143" s="8">
        <f t="shared" si="37"/>
        <v>0.37373733333333337</v>
      </c>
      <c r="M1143" s="9">
        <v>2.2595340685057102E-12</v>
      </c>
      <c r="N1143" s="9">
        <v>7.3439681167657901E-11</v>
      </c>
      <c r="O1143" s="2">
        <v>-4.9609669053132999</v>
      </c>
      <c r="P1143" t="s">
        <v>4241</v>
      </c>
      <c r="Q1143" s="10">
        <f>IF(N1143&lt;='[1]statistical criteria'!$B$2,IF(O1143&gt;=LOG('[1]statistical criteria'!$B$3,2),1,IF(O1143&lt;=-1*LOG('[1]statistical criteria'!$B$3,2),2,"-")),"-")</f>
        <v>2</v>
      </c>
      <c r="R1143" t="s">
        <v>4243</v>
      </c>
      <c r="S1143" t="s">
        <v>4244</v>
      </c>
      <c r="T1143">
        <v>0</v>
      </c>
      <c r="U1143" t="s">
        <v>4245</v>
      </c>
    </row>
    <row r="1144" spans="1:21" x14ac:dyDescent="0.35">
      <c r="A1144" t="s">
        <v>4246</v>
      </c>
      <c r="B1144" t="s">
        <v>4247</v>
      </c>
      <c r="C1144">
        <v>1122</v>
      </c>
      <c r="D1144" s="5">
        <v>17.501749</v>
      </c>
      <c r="E1144" s="5">
        <v>19.227688000000001</v>
      </c>
      <c r="F1144" s="5">
        <v>21.510111999999999</v>
      </c>
      <c r="G1144" s="5">
        <v>24.245049999999999</v>
      </c>
      <c r="H1144" s="6">
        <v>1.2635149999999999</v>
      </c>
      <c r="I1144" s="11">
        <v>0</v>
      </c>
      <c r="J1144" s="11">
        <v>0</v>
      </c>
      <c r="K1144" s="7">
        <f t="shared" si="36"/>
        <v>20.621149750000001</v>
      </c>
      <c r="L1144" s="8">
        <f t="shared" si="37"/>
        <v>0.42117166666666667</v>
      </c>
      <c r="M1144" s="9">
        <v>8.8973311672380704E-20</v>
      </c>
      <c r="N1144" s="9">
        <v>8.2795213746963593E-18</v>
      </c>
      <c r="O1144" s="2">
        <v>-4.96614695263355</v>
      </c>
      <c r="P1144" t="s">
        <v>4246</v>
      </c>
      <c r="Q1144" s="10">
        <f>IF(N1144&lt;='[1]statistical criteria'!$B$2,IF(O1144&gt;=LOG('[1]statistical criteria'!$B$3,2),1,IF(O1144&lt;=-1*LOG('[1]statistical criteria'!$B$3,2),2,"-")),"-")</f>
        <v>2</v>
      </c>
      <c r="R1144" t="s">
        <v>4248</v>
      </c>
      <c r="S1144" t="s">
        <v>4249</v>
      </c>
      <c r="T1144" s="9">
        <v>3.0000000000000002E-90</v>
      </c>
      <c r="U1144" t="s">
        <v>61</v>
      </c>
    </row>
    <row r="1145" spans="1:21" x14ac:dyDescent="0.35">
      <c r="A1145" t="s">
        <v>361</v>
      </c>
      <c r="B1145" t="s">
        <v>362</v>
      </c>
      <c r="C1145">
        <v>1350</v>
      </c>
      <c r="D1145" s="5">
        <v>6.9894249999999998</v>
      </c>
      <c r="E1145" s="5">
        <v>6.9493510000000001</v>
      </c>
      <c r="F1145" s="5">
        <v>2.7090860000000001</v>
      </c>
      <c r="G1145" s="5">
        <v>3.7088130000000001</v>
      </c>
      <c r="H1145" s="11">
        <v>0</v>
      </c>
      <c r="I1145" s="11">
        <v>0</v>
      </c>
      <c r="J1145" s="11">
        <v>0</v>
      </c>
      <c r="K1145" s="7">
        <f t="shared" si="36"/>
        <v>5.0891687499999998</v>
      </c>
      <c r="L1145" s="8">
        <f t="shared" si="37"/>
        <v>0</v>
      </c>
      <c r="M1145" s="9">
        <v>8.0167714067803997E-8</v>
      </c>
      <c r="N1145" s="9">
        <v>1.18492551356141E-6</v>
      </c>
      <c r="O1145" s="2">
        <v>-4.9681463105988399</v>
      </c>
      <c r="P1145" t="s">
        <v>361</v>
      </c>
      <c r="Q1145" s="10">
        <f>IF(N1145&lt;='[1]statistical criteria'!$B$2,IF(O1145&gt;=LOG('[1]statistical criteria'!$B$3,2),1,IF(O1145&lt;=-1*LOG('[1]statistical criteria'!$B$3,2),2,"-")),"-")</f>
        <v>2</v>
      </c>
      <c r="R1145" t="s">
        <v>404</v>
      </c>
      <c r="S1145" t="s">
        <v>414</v>
      </c>
      <c r="T1145" s="9">
        <v>9E-153</v>
      </c>
      <c r="U1145" t="s">
        <v>84</v>
      </c>
    </row>
    <row r="1146" spans="1:21" x14ac:dyDescent="0.35">
      <c r="A1146" t="s">
        <v>4250</v>
      </c>
      <c r="B1146" t="s">
        <v>4251</v>
      </c>
      <c r="C1146">
        <v>620</v>
      </c>
      <c r="D1146" s="5">
        <v>9.5454539999999994</v>
      </c>
      <c r="E1146" s="5">
        <v>19.321916999999999</v>
      </c>
      <c r="F1146" s="5">
        <v>9.0365739999999999</v>
      </c>
      <c r="G1146" s="5">
        <v>12.343526000000001</v>
      </c>
      <c r="H1146" s="11">
        <v>0</v>
      </c>
      <c r="I1146" s="11">
        <v>0</v>
      </c>
      <c r="J1146" s="11">
        <v>0</v>
      </c>
      <c r="K1146" s="7">
        <f t="shared" si="36"/>
        <v>12.561867750000001</v>
      </c>
      <c r="L1146" s="8">
        <f t="shared" si="37"/>
        <v>0</v>
      </c>
      <c r="M1146" s="9">
        <v>1.2329754144817199E-7</v>
      </c>
      <c r="N1146" s="9">
        <v>1.72843625322926E-6</v>
      </c>
      <c r="O1146" s="2">
        <v>-4.9709058806452404</v>
      </c>
      <c r="P1146" t="s">
        <v>4250</v>
      </c>
      <c r="Q1146" s="10">
        <f>IF(N1146&lt;='[1]statistical criteria'!$B$2,IF(O1146&gt;=LOG('[1]statistical criteria'!$B$3,2),1,IF(O1146&lt;=-1*LOG('[1]statistical criteria'!$B$3,2),2,"-")),"-")</f>
        <v>2</v>
      </c>
    </row>
    <row r="1147" spans="1:21" x14ac:dyDescent="0.35">
      <c r="A1147" t="s">
        <v>4252</v>
      </c>
      <c r="B1147" t="s">
        <v>4253</v>
      </c>
      <c r="C1147">
        <v>2199</v>
      </c>
      <c r="D1147" s="5">
        <v>2.3267229999999999</v>
      </c>
      <c r="E1147" s="5">
        <v>2.5151289999999999</v>
      </c>
      <c r="F1147" s="5">
        <v>5.1738020000000002</v>
      </c>
      <c r="G1147" s="5">
        <v>7.7463939999999996</v>
      </c>
      <c r="H1147" s="11">
        <v>0</v>
      </c>
      <c r="I1147" s="11">
        <v>0</v>
      </c>
      <c r="J1147" s="11">
        <v>0</v>
      </c>
      <c r="K1147" s="7">
        <f t="shared" si="36"/>
        <v>4.440512</v>
      </c>
      <c r="L1147" s="8">
        <f t="shared" si="37"/>
        <v>0</v>
      </c>
      <c r="M1147" s="9">
        <v>5.0964008074714602E-9</v>
      </c>
      <c r="N1147" s="9">
        <v>9.6598114906555599E-8</v>
      </c>
      <c r="O1147" s="2">
        <v>-4.9768466345966997</v>
      </c>
      <c r="P1147" t="s">
        <v>4252</v>
      </c>
      <c r="Q1147" s="10">
        <f>IF(N1147&lt;='[1]statistical criteria'!$B$2,IF(O1147&gt;=LOG('[1]statistical criteria'!$B$3,2),1,IF(O1147&lt;=-1*LOG('[1]statistical criteria'!$B$3,2),2,"-")),"-")</f>
        <v>2</v>
      </c>
      <c r="R1147" t="s">
        <v>4243</v>
      </c>
      <c r="S1147" t="s">
        <v>4244</v>
      </c>
      <c r="T1147">
        <v>0</v>
      </c>
      <c r="U1147" t="s">
        <v>4245</v>
      </c>
    </row>
    <row r="1148" spans="1:21" x14ac:dyDescent="0.35">
      <c r="A1148" t="s">
        <v>4254</v>
      </c>
      <c r="B1148" t="s">
        <v>4255</v>
      </c>
      <c r="C1148">
        <v>1749</v>
      </c>
      <c r="D1148" s="5">
        <v>2.615434</v>
      </c>
      <c r="E1148" s="5">
        <v>6.2001439999999999</v>
      </c>
      <c r="F1148" s="5">
        <v>4.2111939999999999</v>
      </c>
      <c r="G1148" s="5">
        <v>11.086058</v>
      </c>
      <c r="H1148" s="11">
        <v>0</v>
      </c>
      <c r="I1148" s="11">
        <v>0</v>
      </c>
      <c r="J1148" s="11">
        <v>0</v>
      </c>
      <c r="K1148" s="7">
        <f t="shared" si="36"/>
        <v>6.0282075000000006</v>
      </c>
      <c r="L1148" s="8">
        <f t="shared" si="37"/>
        <v>0</v>
      </c>
      <c r="M1148" s="9">
        <v>4.3483252815362101E-8</v>
      </c>
      <c r="N1148" s="9">
        <v>6.8246292872275502E-7</v>
      </c>
      <c r="O1148" s="2">
        <v>-4.9863676462546902</v>
      </c>
      <c r="P1148" t="s">
        <v>4254</v>
      </c>
      <c r="Q1148" s="10">
        <f>IF(N1148&lt;='[1]statistical criteria'!$B$2,IF(O1148&gt;=LOG('[1]statistical criteria'!$B$3,2),1,IF(O1148&lt;=-1*LOG('[1]statistical criteria'!$B$3,2),2,"-")),"-")</f>
        <v>2</v>
      </c>
      <c r="R1148" t="s">
        <v>3013</v>
      </c>
      <c r="S1148" t="s">
        <v>3014</v>
      </c>
      <c r="T1148">
        <v>0</v>
      </c>
      <c r="U1148" t="s">
        <v>3015</v>
      </c>
    </row>
    <row r="1149" spans="1:21" x14ac:dyDescent="0.35">
      <c r="A1149" t="s">
        <v>4256</v>
      </c>
      <c r="B1149" t="s">
        <v>4257</v>
      </c>
      <c r="C1149">
        <v>2775</v>
      </c>
      <c r="D1149" s="5">
        <v>3.4648620000000001</v>
      </c>
      <c r="E1149" s="5">
        <v>3.0000990000000001</v>
      </c>
      <c r="F1149" s="5">
        <v>4.1575470000000001</v>
      </c>
      <c r="G1149" s="5">
        <v>2.6660020000000002</v>
      </c>
      <c r="H1149" s="11">
        <v>0</v>
      </c>
      <c r="I1149" s="11">
        <v>0</v>
      </c>
      <c r="J1149" s="11">
        <v>0</v>
      </c>
      <c r="K1149" s="7">
        <f t="shared" si="36"/>
        <v>3.3221275000000001</v>
      </c>
      <c r="L1149" s="8">
        <f t="shared" si="37"/>
        <v>0</v>
      </c>
      <c r="M1149" s="9">
        <v>5.0290863486132595E-10</v>
      </c>
      <c r="N1149" s="9">
        <v>1.1339278816837701E-8</v>
      </c>
      <c r="O1149" s="2">
        <v>-4.9893678626036397</v>
      </c>
      <c r="P1149" t="s">
        <v>4256</v>
      </c>
      <c r="Q1149" s="10">
        <f>IF(N1149&lt;='[1]statistical criteria'!$B$2,IF(O1149&gt;=LOG('[1]statistical criteria'!$B$3,2),1,IF(O1149&lt;=-1*LOG('[1]statistical criteria'!$B$3,2),2,"-")),"-")</f>
        <v>2</v>
      </c>
      <c r="R1149" t="s">
        <v>4258</v>
      </c>
      <c r="S1149" t="s">
        <v>4259</v>
      </c>
      <c r="T1149">
        <v>1.2</v>
      </c>
      <c r="U1149" t="s">
        <v>1114</v>
      </c>
    </row>
    <row r="1150" spans="1:21" x14ac:dyDescent="0.35">
      <c r="A1150" t="s">
        <v>4260</v>
      </c>
      <c r="B1150" t="s">
        <v>4261</v>
      </c>
      <c r="C1150">
        <v>2364</v>
      </c>
      <c r="D1150" s="5">
        <v>1.488702</v>
      </c>
      <c r="E1150" s="5">
        <v>3.1074259999999998</v>
      </c>
      <c r="F1150" s="5">
        <v>5.594595</v>
      </c>
      <c r="G1150" s="5">
        <v>6.809895</v>
      </c>
      <c r="H1150" s="11">
        <v>0</v>
      </c>
      <c r="I1150" s="11">
        <v>0</v>
      </c>
      <c r="J1150" s="11">
        <v>0</v>
      </c>
      <c r="K1150" s="7">
        <f t="shared" si="36"/>
        <v>4.2501544999999998</v>
      </c>
      <c r="L1150" s="8">
        <f t="shared" si="37"/>
        <v>0</v>
      </c>
      <c r="M1150" s="9">
        <v>4.4833058533253002E-13</v>
      </c>
      <c r="N1150" s="9">
        <v>1.6407175074765501E-11</v>
      </c>
      <c r="O1150" s="2">
        <v>-4.9926804491190699</v>
      </c>
      <c r="P1150" t="s">
        <v>4260</v>
      </c>
      <c r="Q1150" s="10">
        <f>IF(N1150&lt;='[1]statistical criteria'!$B$2,IF(O1150&gt;=LOG('[1]statistical criteria'!$B$3,2),1,IF(O1150&lt;=-1*LOG('[1]statistical criteria'!$B$3,2),2,"-")),"-")</f>
        <v>2</v>
      </c>
      <c r="R1150" t="s">
        <v>4262</v>
      </c>
      <c r="S1150" t="s">
        <v>4263</v>
      </c>
      <c r="T1150">
        <v>0</v>
      </c>
      <c r="U1150" t="s">
        <v>3627</v>
      </c>
    </row>
    <row r="1151" spans="1:21" x14ac:dyDescent="0.35">
      <c r="A1151" t="s">
        <v>4264</v>
      </c>
      <c r="B1151" t="s">
        <v>4265</v>
      </c>
      <c r="C1151">
        <v>919</v>
      </c>
      <c r="D1151" s="5">
        <v>24.267263</v>
      </c>
      <c r="E1151" s="5">
        <v>28.074556000000001</v>
      </c>
      <c r="F1151" s="5">
        <v>26.591172</v>
      </c>
      <c r="G1151" s="5">
        <v>28.399408000000001</v>
      </c>
      <c r="H1151" s="6">
        <v>4.7935480000000004</v>
      </c>
      <c r="I1151" s="11">
        <v>0</v>
      </c>
      <c r="J1151" s="11">
        <v>0</v>
      </c>
      <c r="K1151" s="7">
        <f t="shared" si="36"/>
        <v>26.833099750000002</v>
      </c>
      <c r="L1151" s="8">
        <f t="shared" si="37"/>
        <v>1.5978493333333335</v>
      </c>
      <c r="M1151" s="9">
        <v>4.0855233678827698E-11</v>
      </c>
      <c r="N1151" s="9">
        <v>1.1067261165951499E-9</v>
      </c>
      <c r="O1151" s="2">
        <v>-4.9972825526065101</v>
      </c>
      <c r="P1151" t="s">
        <v>4264</v>
      </c>
      <c r="Q1151" s="10">
        <f>IF(N1151&lt;='[1]statistical criteria'!$B$2,IF(O1151&gt;=LOG('[1]statistical criteria'!$B$3,2),1,IF(O1151&lt;=-1*LOG('[1]statistical criteria'!$B$3,2),2,"-")),"-")</f>
        <v>2</v>
      </c>
      <c r="R1151" t="s">
        <v>419</v>
      </c>
      <c r="S1151" t="s">
        <v>2747</v>
      </c>
      <c r="T1151" s="9">
        <v>9.9999999999999995E-127</v>
      </c>
      <c r="U1151" t="s">
        <v>421</v>
      </c>
    </row>
    <row r="1152" spans="1:21" x14ac:dyDescent="0.35">
      <c r="A1152" t="s">
        <v>4266</v>
      </c>
      <c r="B1152" t="s">
        <v>4267</v>
      </c>
      <c r="C1152">
        <v>450</v>
      </c>
      <c r="D1152" s="5">
        <v>20.685770000000002</v>
      </c>
      <c r="E1152" s="5">
        <v>18.772848</v>
      </c>
      <c r="F1152" s="5">
        <v>67.416709999999995</v>
      </c>
      <c r="G1152" s="5">
        <v>32.736074000000002</v>
      </c>
      <c r="H1152" s="6">
        <v>1.3847609999999999</v>
      </c>
      <c r="I1152" s="11">
        <v>0</v>
      </c>
      <c r="J1152" s="11">
        <v>0</v>
      </c>
      <c r="K1152" s="7">
        <f t="shared" si="36"/>
        <v>34.9028505</v>
      </c>
      <c r="L1152" s="8">
        <f t="shared" si="37"/>
        <v>0.46158699999999997</v>
      </c>
      <c r="M1152" s="9">
        <v>8.8681932086917695E-8</v>
      </c>
      <c r="N1152" s="9">
        <v>1.2941849444893001E-6</v>
      </c>
      <c r="O1152" s="2">
        <v>-5.0121267268010099</v>
      </c>
      <c r="P1152" t="s">
        <v>4266</v>
      </c>
      <c r="Q1152" s="10">
        <f>IF(N1152&lt;='[1]statistical criteria'!$B$2,IF(O1152&gt;=LOG('[1]statistical criteria'!$B$3,2),1,IF(O1152&lt;=-1*LOG('[1]statistical criteria'!$B$3,2),2,"-")),"-")</f>
        <v>2</v>
      </c>
      <c r="R1152" t="s">
        <v>4268</v>
      </c>
    </row>
    <row r="1153" spans="1:21" x14ac:dyDescent="0.35">
      <c r="A1153" t="s">
        <v>4269</v>
      </c>
      <c r="B1153" t="s">
        <v>4270</v>
      </c>
      <c r="C1153">
        <v>552</v>
      </c>
      <c r="D1153" s="5">
        <v>21.228429999999999</v>
      </c>
      <c r="E1153" s="5">
        <v>19.034806</v>
      </c>
      <c r="F1153" s="5">
        <v>8.6611069999999994</v>
      </c>
      <c r="G1153" s="5">
        <v>18.139885</v>
      </c>
      <c r="H1153" s="11">
        <v>0</v>
      </c>
      <c r="I1153" s="11">
        <v>0</v>
      </c>
      <c r="J1153" s="11">
        <v>0</v>
      </c>
      <c r="K1153" s="7">
        <f t="shared" si="36"/>
        <v>16.766057</v>
      </c>
      <c r="L1153" s="8">
        <f t="shared" si="37"/>
        <v>0</v>
      </c>
      <c r="M1153" s="9">
        <v>4.3153835335049997E-14</v>
      </c>
      <c r="N1153" s="9">
        <v>1.8269577006140201E-12</v>
      </c>
      <c r="O1153" s="2">
        <v>-5.0166877672254699</v>
      </c>
      <c r="P1153" t="s">
        <v>4269</v>
      </c>
      <c r="Q1153" s="10">
        <f>IF(N1153&lt;='[1]statistical criteria'!$B$2,IF(O1153&gt;=LOG('[1]statistical criteria'!$B$3,2),1,IF(O1153&lt;=-1*LOG('[1]statistical criteria'!$B$3,2),2,"-")),"-")</f>
        <v>2</v>
      </c>
      <c r="R1153" t="s">
        <v>4271</v>
      </c>
    </row>
    <row r="1154" spans="1:21" x14ac:dyDescent="0.35">
      <c r="A1154" t="s">
        <v>4272</v>
      </c>
      <c r="B1154" t="s">
        <v>4273</v>
      </c>
      <c r="C1154">
        <v>885</v>
      </c>
      <c r="D1154" s="5">
        <v>9.5493319999999997</v>
      </c>
      <c r="E1154" s="5">
        <v>2.0102449999999998</v>
      </c>
      <c r="F1154" s="5">
        <v>8.724024</v>
      </c>
      <c r="G1154" s="5">
        <v>7.245234</v>
      </c>
      <c r="H1154" s="11">
        <v>0</v>
      </c>
      <c r="I1154" s="11">
        <v>0</v>
      </c>
      <c r="J1154" s="11">
        <v>0</v>
      </c>
      <c r="K1154" s="7">
        <f t="shared" si="36"/>
        <v>6.8822087499999993</v>
      </c>
      <c r="L1154" s="8">
        <f t="shared" si="37"/>
        <v>0</v>
      </c>
      <c r="M1154" s="9">
        <v>6.6989735791554299E-8</v>
      </c>
      <c r="N1154" s="9">
        <v>1.00855591148202E-6</v>
      </c>
      <c r="O1154" s="2">
        <v>-5.0213244623944302</v>
      </c>
      <c r="P1154" t="s">
        <v>4272</v>
      </c>
      <c r="Q1154" s="10">
        <f>IF(N1154&lt;='[1]statistical criteria'!$B$2,IF(O1154&gt;=LOG('[1]statistical criteria'!$B$3,2),1,IF(O1154&lt;=-1*LOG('[1]statistical criteria'!$B$3,2),2,"-")),"-")</f>
        <v>2</v>
      </c>
      <c r="R1154" t="s">
        <v>4274</v>
      </c>
      <c r="S1154" t="s">
        <v>4275</v>
      </c>
      <c r="T1154">
        <v>0</v>
      </c>
      <c r="U1154" t="s">
        <v>4276</v>
      </c>
    </row>
    <row r="1155" spans="1:21" x14ac:dyDescent="0.35">
      <c r="A1155" t="s">
        <v>4277</v>
      </c>
      <c r="B1155" t="s">
        <v>4278</v>
      </c>
      <c r="C1155">
        <v>1968</v>
      </c>
      <c r="D1155" s="5">
        <v>4.1634500000000001</v>
      </c>
      <c r="E1155" s="5">
        <v>5.0377229999999997</v>
      </c>
      <c r="F1155" s="5">
        <v>5.7672990000000004</v>
      </c>
      <c r="G1155" s="5">
        <v>7.2469089999999996</v>
      </c>
      <c r="H1155" s="11">
        <v>0</v>
      </c>
      <c r="I1155" s="11">
        <v>0</v>
      </c>
      <c r="J1155" s="11">
        <v>0</v>
      </c>
      <c r="K1155" s="7">
        <f t="shared" si="36"/>
        <v>5.5538452500000002</v>
      </c>
      <c r="L1155" s="8">
        <f t="shared" si="37"/>
        <v>0</v>
      </c>
      <c r="M1155" s="9">
        <v>7.9786327719831495E-16</v>
      </c>
      <c r="N1155" s="9">
        <v>4.3443027654031298E-14</v>
      </c>
      <c r="O1155" s="2">
        <v>-5.0318457153398102</v>
      </c>
      <c r="P1155" t="s">
        <v>4277</v>
      </c>
      <c r="Q1155" s="10">
        <f>IF(N1155&lt;='[1]statistical criteria'!$B$2,IF(O1155&gt;=LOG('[1]statistical criteria'!$B$3,2),1,IF(O1155&lt;=-1*LOG('[1]statistical criteria'!$B$3,2),2,"-")),"-")</f>
        <v>2</v>
      </c>
      <c r="R1155" t="s">
        <v>4279</v>
      </c>
      <c r="S1155" t="s">
        <v>4280</v>
      </c>
      <c r="T1155" s="9">
        <v>9.9999999999999995E-8</v>
      </c>
      <c r="U1155" t="s">
        <v>4281</v>
      </c>
    </row>
    <row r="1156" spans="1:21" x14ac:dyDescent="0.35">
      <c r="A1156" t="s">
        <v>4282</v>
      </c>
      <c r="B1156" t="s">
        <v>4283</v>
      </c>
      <c r="C1156">
        <v>1182</v>
      </c>
      <c r="D1156" s="5">
        <v>4.0435350000000003</v>
      </c>
      <c r="E1156" s="5">
        <v>7.1526069999999997</v>
      </c>
      <c r="F1156" s="5">
        <v>3.53329</v>
      </c>
      <c r="G1156" s="5">
        <v>5.037007</v>
      </c>
      <c r="H1156" s="11">
        <v>0</v>
      </c>
      <c r="I1156" s="11">
        <v>0</v>
      </c>
      <c r="J1156" s="11">
        <v>0</v>
      </c>
      <c r="K1156" s="7">
        <f t="shared" si="36"/>
        <v>4.9416097499999996</v>
      </c>
      <c r="L1156" s="8">
        <f t="shared" si="37"/>
        <v>0</v>
      </c>
      <c r="M1156" s="9">
        <v>2.3749852202268698E-8</v>
      </c>
      <c r="N1156" s="9">
        <v>3.9438018098531799E-7</v>
      </c>
      <c r="O1156" s="2">
        <v>-5.0339413526878696</v>
      </c>
      <c r="P1156" t="s">
        <v>4282</v>
      </c>
      <c r="Q1156" s="10">
        <f>IF(N1156&lt;='[1]statistical criteria'!$B$2,IF(O1156&gt;=LOG('[1]statistical criteria'!$B$3,2),1,IF(O1156&lt;=-1*LOG('[1]statistical criteria'!$B$3,2),2,"-")),"-")</f>
        <v>2</v>
      </c>
      <c r="R1156" t="s">
        <v>4284</v>
      </c>
      <c r="S1156" t="s">
        <v>4285</v>
      </c>
      <c r="T1156" s="9">
        <v>5.0000000000000002E-98</v>
      </c>
      <c r="U1156" t="s">
        <v>4286</v>
      </c>
    </row>
    <row r="1157" spans="1:21" x14ac:dyDescent="0.35">
      <c r="A1157" t="s">
        <v>4287</v>
      </c>
      <c r="B1157" t="s">
        <v>4288</v>
      </c>
      <c r="C1157">
        <v>429</v>
      </c>
      <c r="D1157" s="5">
        <v>135.94762499999999</v>
      </c>
      <c r="E1157" s="5">
        <v>267.66247900000002</v>
      </c>
      <c r="F1157" s="5">
        <v>302.566236</v>
      </c>
      <c r="G1157" s="5">
        <v>224.32212000000001</v>
      </c>
      <c r="H1157" s="6">
        <v>28.06485</v>
      </c>
      <c r="I1157" s="6">
        <v>1.651438</v>
      </c>
      <c r="J1157" s="11">
        <v>0</v>
      </c>
      <c r="K1157" s="7">
        <f t="shared" si="36"/>
        <v>232.62461500000001</v>
      </c>
      <c r="L1157" s="8">
        <f t="shared" si="37"/>
        <v>9.9054293333333323</v>
      </c>
      <c r="M1157" s="9">
        <v>3.2805195761166597E-11</v>
      </c>
      <c r="N1157" s="9">
        <v>9.0214288343208099E-10</v>
      </c>
      <c r="O1157" s="2">
        <v>-5.0365811369910203</v>
      </c>
      <c r="P1157" t="s">
        <v>4287</v>
      </c>
      <c r="Q1157" s="10">
        <f>IF(N1157&lt;='[1]statistical criteria'!$B$2,IF(O1157&gt;=LOG('[1]statistical criteria'!$B$3,2),1,IF(O1157&lt;=-1*LOG('[1]statistical criteria'!$B$3,2),2,"-")),"-")</f>
        <v>2</v>
      </c>
      <c r="R1157" t="s">
        <v>3847</v>
      </c>
      <c r="S1157" t="s">
        <v>3877</v>
      </c>
      <c r="T1157" s="9">
        <v>9.9999999999999993E-77</v>
      </c>
      <c r="U1157" t="s">
        <v>3178</v>
      </c>
    </row>
    <row r="1158" spans="1:21" x14ac:dyDescent="0.35">
      <c r="A1158" t="s">
        <v>4289</v>
      </c>
      <c r="B1158" t="s">
        <v>4290</v>
      </c>
      <c r="C1158">
        <v>650</v>
      </c>
      <c r="D1158" s="5">
        <v>24.222473000000001</v>
      </c>
      <c r="E1158" s="5">
        <v>38.104711999999999</v>
      </c>
      <c r="F1158" s="5">
        <v>42.284903</v>
      </c>
      <c r="G1158" s="5">
        <v>49.502299999999998</v>
      </c>
      <c r="H1158" s="6">
        <v>4.6166010000000002</v>
      </c>
      <c r="I1158" s="11">
        <v>0</v>
      </c>
      <c r="J1158" s="11">
        <v>0</v>
      </c>
      <c r="K1158" s="7">
        <f t="shared" si="36"/>
        <v>38.528596999999998</v>
      </c>
      <c r="L1158" s="8">
        <f t="shared" si="37"/>
        <v>1.538867</v>
      </c>
      <c r="M1158" s="9">
        <v>4.0845617554873601E-13</v>
      </c>
      <c r="N1158" s="9">
        <v>1.5034663482964101E-11</v>
      </c>
      <c r="O1158" s="2">
        <v>-5.0368946775149199</v>
      </c>
      <c r="P1158" t="s">
        <v>4289</v>
      </c>
      <c r="Q1158" s="10">
        <f>IF(N1158&lt;='[1]statistical criteria'!$B$2,IF(O1158&gt;=LOG('[1]statistical criteria'!$B$3,2),1,IF(O1158&lt;=-1*LOG('[1]statistical criteria'!$B$3,2),2,"-")),"-")</f>
        <v>2</v>
      </c>
      <c r="R1158" t="s">
        <v>4291</v>
      </c>
      <c r="S1158" t="s">
        <v>4292</v>
      </c>
      <c r="T1158" s="9">
        <v>6.0000000000000004E-40</v>
      </c>
      <c r="U1158" t="s">
        <v>4293</v>
      </c>
    </row>
    <row r="1159" spans="1:21" x14ac:dyDescent="0.35">
      <c r="A1159" t="s">
        <v>4294</v>
      </c>
      <c r="B1159" t="s">
        <v>4295</v>
      </c>
      <c r="C1159">
        <v>291</v>
      </c>
      <c r="D1159" s="5">
        <v>30.82385</v>
      </c>
      <c r="E1159" s="5">
        <v>63.945357999999999</v>
      </c>
      <c r="F1159" s="5">
        <v>42.379125000000002</v>
      </c>
      <c r="G1159" s="5">
        <v>53.405982000000002</v>
      </c>
      <c r="H1159" s="11">
        <v>0</v>
      </c>
      <c r="I1159" s="11">
        <v>0</v>
      </c>
      <c r="J1159" s="11">
        <v>0</v>
      </c>
      <c r="K1159" s="7">
        <f t="shared" si="36"/>
        <v>47.638578749999994</v>
      </c>
      <c r="L1159" s="8">
        <f t="shared" si="37"/>
        <v>0</v>
      </c>
      <c r="M1159" s="9">
        <v>1.2512302074990001E-8</v>
      </c>
      <c r="N1159" s="9">
        <v>2.1975921410896201E-7</v>
      </c>
      <c r="O1159" s="2">
        <v>-5.0481374457208297</v>
      </c>
      <c r="P1159" t="s">
        <v>4294</v>
      </c>
      <c r="Q1159" s="10">
        <f>IF(N1159&lt;='[1]statistical criteria'!$B$2,IF(O1159&gt;=LOG('[1]statistical criteria'!$B$3,2),1,IF(O1159&lt;=-1*LOG('[1]statistical criteria'!$B$3,2),2,"-")),"-")</f>
        <v>2</v>
      </c>
      <c r="R1159" t="s">
        <v>4296</v>
      </c>
      <c r="S1159" t="s">
        <v>4297</v>
      </c>
      <c r="T1159" s="9">
        <v>4.9999999999999999E-20</v>
      </c>
      <c r="U1159" t="s">
        <v>61</v>
      </c>
    </row>
    <row r="1160" spans="1:21" x14ac:dyDescent="0.35">
      <c r="A1160" t="s">
        <v>4298</v>
      </c>
      <c r="B1160" t="s">
        <v>4299</v>
      </c>
      <c r="C1160">
        <v>552</v>
      </c>
      <c r="D1160" s="5">
        <v>9.643637</v>
      </c>
      <c r="E1160" s="5">
        <v>28.178726999999999</v>
      </c>
      <c r="F1160" s="5">
        <v>12.821365999999999</v>
      </c>
      <c r="G1160" s="5">
        <v>10.867198999999999</v>
      </c>
      <c r="H1160" s="11">
        <v>0</v>
      </c>
      <c r="I1160" s="11">
        <v>0</v>
      </c>
      <c r="J1160" s="11">
        <v>0</v>
      </c>
      <c r="K1160" s="7">
        <f t="shared" si="36"/>
        <v>15.377732249999999</v>
      </c>
      <c r="L1160" s="8">
        <f t="shared" si="37"/>
        <v>0</v>
      </c>
      <c r="M1160" s="9">
        <v>5.9426618666046502E-8</v>
      </c>
      <c r="N1160" s="9">
        <v>9.0725114578007605E-7</v>
      </c>
      <c r="O1160" s="2">
        <v>-5.0526463437857796</v>
      </c>
      <c r="P1160" t="s">
        <v>4298</v>
      </c>
      <c r="Q1160" s="10">
        <f>IF(N1160&lt;='[1]statistical criteria'!$B$2,IF(O1160&gt;=LOG('[1]statistical criteria'!$B$3,2),1,IF(O1160&lt;=-1*LOG('[1]statistical criteria'!$B$3,2),2,"-")),"-")</f>
        <v>2</v>
      </c>
      <c r="R1160" t="s">
        <v>4300</v>
      </c>
      <c r="S1160" t="s">
        <v>4301</v>
      </c>
      <c r="T1160" s="9">
        <v>4.0000000000000002E-33</v>
      </c>
      <c r="U1160" t="s">
        <v>61</v>
      </c>
    </row>
    <row r="1161" spans="1:21" x14ac:dyDescent="0.35">
      <c r="A1161" t="s">
        <v>4302</v>
      </c>
      <c r="B1161" t="s">
        <v>4303</v>
      </c>
      <c r="C1161">
        <v>1017</v>
      </c>
      <c r="D1161" s="5">
        <v>15.057676000000001</v>
      </c>
      <c r="E1161" s="5">
        <v>25.657622</v>
      </c>
      <c r="F1161" s="5">
        <v>12.297908</v>
      </c>
      <c r="G1161" s="5">
        <v>15.552248000000001</v>
      </c>
      <c r="H1161" s="6">
        <v>2.0625550000000001</v>
      </c>
      <c r="I1161" s="11">
        <v>0</v>
      </c>
      <c r="J1161" s="11">
        <v>0</v>
      </c>
      <c r="K1161" s="7">
        <f t="shared" si="36"/>
        <v>17.141363500000001</v>
      </c>
      <c r="L1161" s="8">
        <f t="shared" si="37"/>
        <v>0.68751833333333334</v>
      </c>
      <c r="M1161" s="9">
        <v>8.4557992349535995E-13</v>
      </c>
      <c r="N1161" s="9">
        <v>2.9498416029544802E-11</v>
      </c>
      <c r="O1161" s="2">
        <v>-5.0582508189540798</v>
      </c>
      <c r="P1161" t="s">
        <v>4302</v>
      </c>
      <c r="Q1161" s="10">
        <f>IF(N1161&lt;='[1]statistical criteria'!$B$2,IF(O1161&gt;=LOG('[1]statistical criteria'!$B$3,2),1,IF(O1161&lt;=-1*LOG('[1]statistical criteria'!$B$3,2),2,"-")),"-")</f>
        <v>2</v>
      </c>
      <c r="R1161" t="s">
        <v>4304</v>
      </c>
      <c r="S1161" t="s">
        <v>4305</v>
      </c>
      <c r="T1161" s="9">
        <v>1.9999999999999999E-44</v>
      </c>
      <c r="U1161" t="s">
        <v>61</v>
      </c>
    </row>
    <row r="1162" spans="1:21" x14ac:dyDescent="0.35">
      <c r="A1162" t="s">
        <v>4306</v>
      </c>
      <c r="B1162" t="s">
        <v>4307</v>
      </c>
      <c r="C1162">
        <v>1131</v>
      </c>
      <c r="D1162" s="5">
        <v>4.5104319999999998</v>
      </c>
      <c r="E1162" s="5">
        <v>15.713196</v>
      </c>
      <c r="F1162" s="5">
        <v>6.734076</v>
      </c>
      <c r="G1162" s="5">
        <v>3.6395209999999998</v>
      </c>
      <c r="H1162" s="11">
        <v>0</v>
      </c>
      <c r="I1162" s="11">
        <v>0</v>
      </c>
      <c r="J1162" s="11">
        <v>0</v>
      </c>
      <c r="K1162" s="7">
        <f t="shared" si="36"/>
        <v>7.6493062499999995</v>
      </c>
      <c r="L1162" s="8">
        <f t="shared" si="37"/>
        <v>0</v>
      </c>
      <c r="M1162" s="9">
        <v>1.4143677496758099E-8</v>
      </c>
      <c r="N1162" s="9">
        <v>2.4580290663315702E-7</v>
      </c>
      <c r="O1162" s="2">
        <v>-5.0648507280894899</v>
      </c>
      <c r="P1162" t="s">
        <v>4306</v>
      </c>
      <c r="Q1162" s="10">
        <f>IF(N1162&lt;='[1]statistical criteria'!$B$2,IF(O1162&gt;=LOG('[1]statistical criteria'!$B$3,2),1,IF(O1162&lt;=-1*LOG('[1]statistical criteria'!$B$3,2),2,"-")),"-")</f>
        <v>2</v>
      </c>
      <c r="R1162" t="s">
        <v>4308</v>
      </c>
      <c r="S1162" t="s">
        <v>4309</v>
      </c>
      <c r="T1162" s="9">
        <v>6.9999999999999997E-107</v>
      </c>
      <c r="U1162" t="s">
        <v>4310</v>
      </c>
    </row>
    <row r="1163" spans="1:21" x14ac:dyDescent="0.35">
      <c r="A1163" t="s">
        <v>4311</v>
      </c>
      <c r="B1163" t="s">
        <v>4312</v>
      </c>
      <c r="C1163">
        <v>1815</v>
      </c>
      <c r="D1163" s="5">
        <v>4.0062749999999996</v>
      </c>
      <c r="E1163" s="5">
        <v>8.1099099999999993</v>
      </c>
      <c r="F1163" s="5">
        <v>3.1235900000000001</v>
      </c>
      <c r="G1163" s="5">
        <v>7.6654980000000004</v>
      </c>
      <c r="H1163" s="11">
        <v>0</v>
      </c>
      <c r="I1163" s="11">
        <v>0</v>
      </c>
      <c r="J1163" s="11">
        <v>0</v>
      </c>
      <c r="K1163" s="7">
        <f t="shared" si="36"/>
        <v>5.7263182499999994</v>
      </c>
      <c r="L1163" s="8">
        <f t="shared" si="37"/>
        <v>0</v>
      </c>
      <c r="M1163" s="9">
        <v>6.4128265406851204E-10</v>
      </c>
      <c r="N1163" s="9">
        <v>1.4215036583487201E-8</v>
      </c>
      <c r="O1163" s="2">
        <v>-5.0705350748777596</v>
      </c>
      <c r="P1163" t="s">
        <v>4311</v>
      </c>
      <c r="Q1163" s="10">
        <f>IF(N1163&lt;='[1]statistical criteria'!$B$2,IF(O1163&gt;=LOG('[1]statistical criteria'!$B$3,2),1,IF(O1163&lt;=-1*LOG('[1]statistical criteria'!$B$3,2),2,"-")),"-")</f>
        <v>2</v>
      </c>
      <c r="R1163" t="s">
        <v>3823</v>
      </c>
      <c r="S1163" t="s">
        <v>3824</v>
      </c>
      <c r="T1163" s="9">
        <v>1.0000000000000001E-101</v>
      </c>
      <c r="U1163" t="s">
        <v>2798</v>
      </c>
    </row>
    <row r="1164" spans="1:21" x14ac:dyDescent="0.35">
      <c r="A1164" t="s">
        <v>4313</v>
      </c>
      <c r="B1164" t="s">
        <v>2701</v>
      </c>
      <c r="C1164">
        <v>513</v>
      </c>
      <c r="D1164" s="5">
        <v>8.1673749999999998</v>
      </c>
      <c r="E1164" s="5">
        <v>10.654960000000001</v>
      </c>
      <c r="F1164" s="5">
        <v>27.839334000000001</v>
      </c>
      <c r="G1164" s="5">
        <v>6.0142199999999999</v>
      </c>
      <c r="H1164" s="11">
        <v>0</v>
      </c>
      <c r="I1164" s="11">
        <v>0</v>
      </c>
      <c r="J1164" s="11">
        <v>0</v>
      </c>
      <c r="K1164" s="7">
        <f t="shared" si="36"/>
        <v>13.168972250000001</v>
      </c>
      <c r="L1164" s="8">
        <f t="shared" si="37"/>
        <v>0</v>
      </c>
      <c r="M1164" s="9">
        <v>2.5821248901106898E-10</v>
      </c>
      <c r="N1164" s="9">
        <v>6.0889512588359798E-9</v>
      </c>
      <c r="O1164" s="2">
        <v>-5.0786703700064502</v>
      </c>
      <c r="P1164" t="s">
        <v>4313</v>
      </c>
      <c r="Q1164" s="10">
        <f>IF(N1164&lt;='[1]statistical criteria'!$B$2,IF(O1164&gt;=LOG('[1]statistical criteria'!$B$3,2),1,IF(O1164&lt;=-1*LOG('[1]statistical criteria'!$B$3,2),2,"-")),"-")</f>
        <v>2</v>
      </c>
    </row>
    <row r="1165" spans="1:21" x14ac:dyDescent="0.35">
      <c r="A1165" t="s">
        <v>4314</v>
      </c>
      <c r="B1165" t="s">
        <v>4315</v>
      </c>
      <c r="C1165">
        <v>2466</v>
      </c>
      <c r="D1165" s="5">
        <v>6.1720009999999998</v>
      </c>
      <c r="E1165" s="5">
        <v>1.8321460000000001</v>
      </c>
      <c r="F1165" s="5">
        <v>6.9700740000000003</v>
      </c>
      <c r="G1165" s="5">
        <v>6.4344219999999996</v>
      </c>
      <c r="H1165" s="11">
        <v>0</v>
      </c>
      <c r="I1165" s="11">
        <v>0</v>
      </c>
      <c r="J1165" s="11">
        <v>0</v>
      </c>
      <c r="K1165" s="7">
        <f t="shared" si="36"/>
        <v>5.3521607499999995</v>
      </c>
      <c r="L1165" s="8">
        <f t="shared" si="37"/>
        <v>0</v>
      </c>
      <c r="M1165" s="9">
        <v>1.8557835073520299E-15</v>
      </c>
      <c r="N1165" s="9">
        <v>9.5706125053954401E-14</v>
      </c>
      <c r="O1165" s="2">
        <v>-5.0838543008111898</v>
      </c>
      <c r="P1165" t="s">
        <v>4314</v>
      </c>
      <c r="Q1165" s="10">
        <f>IF(N1165&lt;='[1]statistical criteria'!$B$2,IF(O1165&gt;=LOG('[1]statistical criteria'!$B$3,2),1,IF(O1165&lt;=-1*LOG('[1]statistical criteria'!$B$3,2),2,"-")),"-")</f>
        <v>2</v>
      </c>
      <c r="R1165" t="s">
        <v>4316</v>
      </c>
      <c r="S1165" t="s">
        <v>4317</v>
      </c>
      <c r="T1165">
        <v>0</v>
      </c>
      <c r="U1165" t="s">
        <v>4318</v>
      </c>
    </row>
    <row r="1166" spans="1:21" x14ac:dyDescent="0.35">
      <c r="A1166" t="s">
        <v>4319</v>
      </c>
      <c r="B1166" t="s">
        <v>4320</v>
      </c>
      <c r="C1166">
        <v>684</v>
      </c>
      <c r="D1166" s="5">
        <v>8.4307839999999992</v>
      </c>
      <c r="E1166" s="5">
        <v>6.0997219999999999</v>
      </c>
      <c r="F1166" s="5">
        <v>12.899251</v>
      </c>
      <c r="G1166" s="5">
        <v>18.484905000000001</v>
      </c>
      <c r="H1166" s="11">
        <v>0</v>
      </c>
      <c r="I1166" s="11">
        <v>0</v>
      </c>
      <c r="J1166" s="11">
        <v>0</v>
      </c>
      <c r="K1166" s="7">
        <f t="shared" si="36"/>
        <v>11.4786655</v>
      </c>
      <c r="L1166" s="8">
        <f t="shared" si="37"/>
        <v>0</v>
      </c>
      <c r="M1166" s="9">
        <v>2.4990393015537201E-9</v>
      </c>
      <c r="N1166" s="9">
        <v>5.0244815539954799E-8</v>
      </c>
      <c r="O1166" s="2">
        <v>-5.0863676009564696</v>
      </c>
      <c r="P1166" t="s">
        <v>4319</v>
      </c>
      <c r="Q1166" s="10">
        <f>IF(N1166&lt;='[1]statistical criteria'!$B$2,IF(O1166&gt;=LOG('[1]statistical criteria'!$B$3,2),1,IF(O1166&lt;=-1*LOG('[1]statistical criteria'!$B$3,2),2,"-")),"-")</f>
        <v>2</v>
      </c>
      <c r="R1166" t="s">
        <v>3937</v>
      </c>
      <c r="S1166" t="s">
        <v>3938</v>
      </c>
      <c r="T1166" s="9">
        <v>3.0000000000000001E-12</v>
      </c>
      <c r="U1166" t="s">
        <v>61</v>
      </c>
    </row>
    <row r="1167" spans="1:21" x14ac:dyDescent="0.35">
      <c r="A1167" t="s">
        <v>4321</v>
      </c>
      <c r="B1167" t="s">
        <v>4322</v>
      </c>
      <c r="C1167">
        <v>3078</v>
      </c>
      <c r="D1167" s="5">
        <v>1.893769</v>
      </c>
      <c r="E1167" s="5">
        <v>5.8341139999999996</v>
      </c>
      <c r="F1167" s="5">
        <v>2.426939</v>
      </c>
      <c r="G1167" s="5">
        <v>3.27501</v>
      </c>
      <c r="H1167" s="11">
        <v>0</v>
      </c>
      <c r="I1167" s="11">
        <v>0</v>
      </c>
      <c r="J1167" s="11">
        <v>0</v>
      </c>
      <c r="K1167" s="7">
        <f t="shared" si="36"/>
        <v>3.3574579999999998</v>
      </c>
      <c r="L1167" s="8">
        <f t="shared" si="37"/>
        <v>0</v>
      </c>
      <c r="M1167" s="9">
        <v>2.1789977478950401E-9</v>
      </c>
      <c r="N1167" s="9">
        <v>4.4467911144710503E-8</v>
      </c>
      <c r="O1167" s="2">
        <v>-5.0867468365372304</v>
      </c>
      <c r="P1167" t="s">
        <v>4321</v>
      </c>
      <c r="Q1167" s="10">
        <f>IF(N1167&lt;='[1]statistical criteria'!$B$2,IF(O1167&gt;=LOG('[1]statistical criteria'!$B$3,2),1,IF(O1167&lt;=-1*LOG('[1]statistical criteria'!$B$3,2),2,"-")),"-")</f>
        <v>2</v>
      </c>
      <c r="S1167" t="s">
        <v>4323</v>
      </c>
      <c r="T1167" s="9">
        <v>8.0000000000000002E-127</v>
      </c>
      <c r="U1167" t="s">
        <v>61</v>
      </c>
    </row>
    <row r="1168" spans="1:21" x14ac:dyDescent="0.35">
      <c r="A1168" t="s">
        <v>4324</v>
      </c>
      <c r="B1168" t="s">
        <v>4325</v>
      </c>
      <c r="C1168">
        <v>252</v>
      </c>
      <c r="D1168" s="5">
        <v>65.367819999999995</v>
      </c>
      <c r="E1168" s="5">
        <v>126.693662</v>
      </c>
      <c r="F1168" s="5">
        <v>49.335658000000002</v>
      </c>
      <c r="G1168" s="5">
        <v>64.445875000000001</v>
      </c>
      <c r="H1168" s="11">
        <v>0</v>
      </c>
      <c r="I1168" s="11">
        <v>0</v>
      </c>
      <c r="J1168" s="11">
        <v>0</v>
      </c>
      <c r="K1168" s="7">
        <f t="shared" si="36"/>
        <v>76.460753750000009</v>
      </c>
      <c r="L1168" s="8">
        <f t="shared" si="37"/>
        <v>0</v>
      </c>
      <c r="M1168" s="9">
        <v>3.3840905482336001E-12</v>
      </c>
      <c r="N1168" s="9">
        <v>1.07153482750225E-10</v>
      </c>
      <c r="O1168" s="2">
        <v>-5.0928021288655998</v>
      </c>
      <c r="P1168" t="s">
        <v>4324</v>
      </c>
      <c r="Q1168" s="10">
        <f>IF(N1168&lt;='[1]statistical criteria'!$B$2,IF(O1168&gt;=LOG('[1]statistical criteria'!$B$3,2),1,IF(O1168&lt;=-1*LOG('[1]statistical criteria'!$B$3,2),2,"-")),"-")</f>
        <v>2</v>
      </c>
      <c r="R1168" t="s">
        <v>2676</v>
      </c>
    </row>
    <row r="1169" spans="1:21" x14ac:dyDescent="0.35">
      <c r="A1169" t="s">
        <v>4326</v>
      </c>
      <c r="B1169" t="s">
        <v>4327</v>
      </c>
      <c r="C1169">
        <v>2073</v>
      </c>
      <c r="D1169" s="5">
        <v>6.7700760000000004</v>
      </c>
      <c r="E1169" s="5">
        <v>3.2524459999999999</v>
      </c>
      <c r="F1169" s="5">
        <v>3.7499699999999998</v>
      </c>
      <c r="G1169" s="5">
        <v>3.4128080000000001</v>
      </c>
      <c r="H1169" s="11">
        <v>0</v>
      </c>
      <c r="I1169" s="11">
        <v>0</v>
      </c>
      <c r="J1169" s="11">
        <v>0</v>
      </c>
      <c r="K1169" s="7">
        <f t="shared" si="36"/>
        <v>4.2963249999999995</v>
      </c>
      <c r="L1169" s="8">
        <f t="shared" si="37"/>
        <v>0</v>
      </c>
      <c r="M1169" s="9">
        <v>3.6929350740358702E-8</v>
      </c>
      <c r="N1169" s="9">
        <v>5.8882743576793095E-7</v>
      </c>
      <c r="O1169" s="2">
        <v>-5.0947832545101104</v>
      </c>
      <c r="P1169" t="s">
        <v>4326</v>
      </c>
      <c r="Q1169" s="10">
        <f>IF(N1169&lt;='[1]statistical criteria'!$B$2,IF(O1169&gt;=LOG('[1]statistical criteria'!$B$3,2),1,IF(O1169&lt;=-1*LOG('[1]statistical criteria'!$B$3,2),2,"-")),"-")</f>
        <v>2</v>
      </c>
    </row>
    <row r="1170" spans="1:21" x14ac:dyDescent="0.35">
      <c r="A1170" t="s">
        <v>4328</v>
      </c>
      <c r="B1170" t="s">
        <v>4329</v>
      </c>
      <c r="C1170">
        <v>696</v>
      </c>
      <c r="D1170" s="5">
        <v>6.3341349999999998</v>
      </c>
      <c r="E1170" s="5">
        <v>17.570678000000001</v>
      </c>
      <c r="F1170" s="5">
        <v>2.899079</v>
      </c>
      <c r="G1170" s="5">
        <v>14.427892</v>
      </c>
      <c r="H1170" s="11">
        <v>0</v>
      </c>
      <c r="I1170" s="11">
        <v>0</v>
      </c>
      <c r="J1170" s="11">
        <v>0</v>
      </c>
      <c r="K1170" s="7">
        <f t="shared" si="36"/>
        <v>10.307946000000001</v>
      </c>
      <c r="L1170" s="8">
        <f t="shared" si="37"/>
        <v>0</v>
      </c>
      <c r="M1170" s="9">
        <v>4.3457231185001397E-19</v>
      </c>
      <c r="N1170" s="9">
        <v>3.7762151116464699E-17</v>
      </c>
      <c r="O1170" s="2">
        <v>-5.0955343282804204</v>
      </c>
      <c r="P1170" t="s">
        <v>4328</v>
      </c>
      <c r="Q1170" s="10">
        <f>IF(N1170&lt;='[1]statistical criteria'!$B$2,IF(O1170&gt;=LOG('[1]statistical criteria'!$B$3,2),1,IF(O1170&lt;=-1*LOG('[1]statistical criteria'!$B$3,2),2,"-")),"-")</f>
        <v>2</v>
      </c>
      <c r="R1170" t="s">
        <v>4218</v>
      </c>
    </row>
    <row r="1171" spans="1:21" x14ac:dyDescent="0.35">
      <c r="A1171" t="s">
        <v>4330</v>
      </c>
      <c r="B1171" t="s">
        <v>4331</v>
      </c>
      <c r="C1171">
        <v>2199</v>
      </c>
      <c r="D1171" s="5">
        <v>4.8621800000000004</v>
      </c>
      <c r="E1171" s="5">
        <v>10.529494</v>
      </c>
      <c r="F1171" s="5">
        <v>2.6386120000000002</v>
      </c>
      <c r="G1171" s="5">
        <v>4.4367570000000001</v>
      </c>
      <c r="H1171" s="11">
        <v>0</v>
      </c>
      <c r="I1171" s="11">
        <v>0</v>
      </c>
      <c r="J1171" s="11">
        <v>0</v>
      </c>
      <c r="K1171" s="7">
        <f t="shared" si="36"/>
        <v>5.6167607500000001</v>
      </c>
      <c r="L1171" s="8">
        <f t="shared" si="37"/>
        <v>0</v>
      </c>
      <c r="M1171" s="9">
        <v>2.7697079838389502E-16</v>
      </c>
      <c r="N1171" s="9">
        <v>1.6192793527636E-14</v>
      </c>
      <c r="O1171" s="2">
        <v>-5.1104702143090801</v>
      </c>
      <c r="P1171" t="s">
        <v>4330</v>
      </c>
      <c r="Q1171" s="10">
        <f>IF(N1171&lt;='[1]statistical criteria'!$B$2,IF(O1171&gt;=LOG('[1]statistical criteria'!$B$3,2),1,IF(O1171&lt;=-1*LOG('[1]statistical criteria'!$B$3,2),2,"-")),"-")</f>
        <v>2</v>
      </c>
      <c r="R1171" t="s">
        <v>1521</v>
      </c>
      <c r="S1171" t="s">
        <v>4332</v>
      </c>
      <c r="T1171">
        <v>0</v>
      </c>
      <c r="U1171" t="s">
        <v>1523</v>
      </c>
    </row>
    <row r="1172" spans="1:21" x14ac:dyDescent="0.35">
      <c r="A1172" t="s">
        <v>4333</v>
      </c>
      <c r="B1172" t="s">
        <v>4334</v>
      </c>
      <c r="C1172">
        <v>1257</v>
      </c>
      <c r="D1172" s="5">
        <v>17.872332</v>
      </c>
      <c r="E1172" s="5">
        <v>15.102069999999999</v>
      </c>
      <c r="F1172" s="5">
        <v>15.84291</v>
      </c>
      <c r="G1172" s="5">
        <v>11.190166</v>
      </c>
      <c r="H1172" s="6">
        <v>0.49773000000000001</v>
      </c>
      <c r="I1172" s="11">
        <v>0</v>
      </c>
      <c r="J1172" s="11">
        <v>0</v>
      </c>
      <c r="K1172" s="7">
        <f t="shared" si="36"/>
        <v>15.0018695</v>
      </c>
      <c r="L1172" s="8">
        <f t="shared" si="37"/>
        <v>0.16591</v>
      </c>
      <c r="M1172" s="9">
        <v>1.52608346976913E-30</v>
      </c>
      <c r="N1172" s="9">
        <v>3.9512065890757198E-28</v>
      </c>
      <c r="O1172" s="2">
        <v>-5.1107987744764998</v>
      </c>
      <c r="P1172" t="s">
        <v>4333</v>
      </c>
      <c r="Q1172" s="10">
        <f>IF(N1172&lt;='[1]statistical criteria'!$B$2,IF(O1172&gt;=LOG('[1]statistical criteria'!$B$3,2),1,IF(O1172&lt;=-1*LOG('[1]statistical criteria'!$B$3,2),2,"-")),"-")</f>
        <v>2</v>
      </c>
      <c r="R1172" t="s">
        <v>4335</v>
      </c>
    </row>
    <row r="1173" spans="1:21" x14ac:dyDescent="0.35">
      <c r="A1173" t="s">
        <v>4336</v>
      </c>
      <c r="B1173" t="s">
        <v>4337</v>
      </c>
      <c r="C1173">
        <v>1542</v>
      </c>
      <c r="D1173" s="5">
        <v>2.0263110000000002</v>
      </c>
      <c r="E1173" s="5">
        <v>11.083742000000001</v>
      </c>
      <c r="F1173" s="5">
        <v>6.8344699999999996</v>
      </c>
      <c r="G1173" s="5">
        <v>7.9169390000000002</v>
      </c>
      <c r="H1173" s="11">
        <v>0</v>
      </c>
      <c r="I1173" s="11">
        <v>0</v>
      </c>
      <c r="J1173" s="11">
        <v>0</v>
      </c>
      <c r="K1173" s="7">
        <f t="shared" si="36"/>
        <v>6.9653654999999999</v>
      </c>
      <c r="L1173" s="8">
        <f t="shared" si="37"/>
        <v>0</v>
      </c>
      <c r="M1173" s="9">
        <v>4.2006403057197002E-9</v>
      </c>
      <c r="N1173" s="9">
        <v>8.0704881391061002E-8</v>
      </c>
      <c r="O1173" s="2">
        <v>-5.11328842603253</v>
      </c>
      <c r="P1173" t="s">
        <v>4336</v>
      </c>
      <c r="Q1173" s="10">
        <f>IF(N1173&lt;='[1]statistical criteria'!$B$2,IF(O1173&gt;=LOG('[1]statistical criteria'!$B$3,2),1,IF(O1173&lt;=-1*LOG('[1]statistical criteria'!$B$3,2),2,"-")),"-")</f>
        <v>2</v>
      </c>
      <c r="R1173" t="s">
        <v>4338</v>
      </c>
      <c r="S1173" t="s">
        <v>4339</v>
      </c>
      <c r="T1173">
        <v>0</v>
      </c>
      <c r="U1173" t="s">
        <v>4340</v>
      </c>
    </row>
    <row r="1174" spans="1:21" x14ac:dyDescent="0.35">
      <c r="A1174" t="s">
        <v>4341</v>
      </c>
      <c r="B1174" t="s">
        <v>4342</v>
      </c>
      <c r="C1174">
        <v>1839</v>
      </c>
      <c r="D1174" s="5">
        <v>14.847858</v>
      </c>
      <c r="E1174" s="5">
        <v>26.150376000000001</v>
      </c>
      <c r="F1174" s="5">
        <v>11.581224000000001</v>
      </c>
      <c r="G1174" s="5">
        <v>13.654624999999999</v>
      </c>
      <c r="H1174" s="11">
        <v>0</v>
      </c>
      <c r="I1174" s="6">
        <v>1.163594</v>
      </c>
      <c r="J1174" s="11">
        <v>0</v>
      </c>
      <c r="K1174" s="7">
        <f t="shared" si="36"/>
        <v>16.55852075</v>
      </c>
      <c r="L1174" s="8">
        <f t="shared" si="37"/>
        <v>0.38786466666666669</v>
      </c>
      <c r="M1174" s="9">
        <v>6.0987277922772895E-7</v>
      </c>
      <c r="N1174" s="9">
        <v>7.3852236644630504E-6</v>
      </c>
      <c r="O1174" s="2">
        <v>-5.1212166781092696</v>
      </c>
      <c r="P1174" t="s">
        <v>4341</v>
      </c>
      <c r="Q1174" s="10">
        <f>IF(N1174&lt;='[1]statistical criteria'!$B$2,IF(O1174&gt;=LOG('[1]statistical criteria'!$B$3,2),1,IF(O1174&lt;=-1*LOG('[1]statistical criteria'!$B$3,2),2,"-")),"-")</f>
        <v>2</v>
      </c>
      <c r="R1174" t="s">
        <v>2873</v>
      </c>
      <c r="S1174" t="s">
        <v>4343</v>
      </c>
      <c r="T1174" s="9">
        <v>2E-176</v>
      </c>
      <c r="U1174" t="s">
        <v>2875</v>
      </c>
    </row>
    <row r="1175" spans="1:21" x14ac:dyDescent="0.35">
      <c r="A1175" t="s">
        <v>4344</v>
      </c>
      <c r="B1175" t="s">
        <v>4345</v>
      </c>
      <c r="C1175">
        <v>1548</v>
      </c>
      <c r="D1175" s="5">
        <v>8.3680280000000007</v>
      </c>
      <c r="E1175" s="5">
        <v>5.4110129999999996</v>
      </c>
      <c r="F1175" s="5">
        <v>10.792014999999999</v>
      </c>
      <c r="G1175" s="5">
        <v>10.325324</v>
      </c>
      <c r="H1175" s="11">
        <v>0</v>
      </c>
      <c r="I1175" s="6">
        <v>0.116364</v>
      </c>
      <c r="J1175" s="11">
        <v>0</v>
      </c>
      <c r="K1175" s="7">
        <f t="shared" si="36"/>
        <v>8.7240950000000002</v>
      </c>
      <c r="L1175" s="8">
        <f t="shared" si="37"/>
        <v>3.8787999999999996E-2</v>
      </c>
      <c r="M1175" s="9">
        <v>1.00446428086774E-12</v>
      </c>
      <c r="N1175" s="9">
        <v>3.4455775575865397E-11</v>
      </c>
      <c r="O1175" s="2">
        <v>-5.1228935492407404</v>
      </c>
      <c r="P1175" t="s">
        <v>4344</v>
      </c>
      <c r="Q1175" s="10">
        <f>IF(N1175&lt;='[1]statistical criteria'!$B$2,IF(O1175&gt;=LOG('[1]statistical criteria'!$B$3,2),1,IF(O1175&lt;=-1*LOG('[1]statistical criteria'!$B$3,2),2,"-")),"-")</f>
        <v>2</v>
      </c>
      <c r="R1175" t="s">
        <v>4243</v>
      </c>
      <c r="S1175" t="s">
        <v>4244</v>
      </c>
      <c r="T1175" s="9">
        <v>4.0000000000000001E-59</v>
      </c>
      <c r="U1175" t="s">
        <v>4245</v>
      </c>
    </row>
    <row r="1176" spans="1:21" x14ac:dyDescent="0.35">
      <c r="A1176" t="s">
        <v>4346</v>
      </c>
      <c r="B1176" t="s">
        <v>4347</v>
      </c>
      <c r="C1176">
        <v>2412</v>
      </c>
      <c r="D1176" s="5">
        <v>4.5631820000000003</v>
      </c>
      <c r="E1176" s="5">
        <v>2.5955979999999998</v>
      </c>
      <c r="F1176" s="5">
        <v>6.7043410000000003</v>
      </c>
      <c r="G1176" s="5">
        <v>6.9215730000000004</v>
      </c>
      <c r="H1176" s="11">
        <v>0</v>
      </c>
      <c r="I1176" s="11">
        <v>0</v>
      </c>
      <c r="J1176" s="11">
        <v>0</v>
      </c>
      <c r="K1176" s="7">
        <f t="shared" si="36"/>
        <v>5.1961735000000004</v>
      </c>
      <c r="L1176" s="8">
        <f t="shared" si="37"/>
        <v>0</v>
      </c>
      <c r="M1176" s="9">
        <v>1.2688655058672699E-10</v>
      </c>
      <c r="N1176" s="9">
        <v>3.1688334090097198E-9</v>
      </c>
      <c r="O1176" s="2">
        <v>-5.1250395195357097</v>
      </c>
      <c r="P1176" t="s">
        <v>4346</v>
      </c>
      <c r="Q1176" s="10">
        <f>IF(N1176&lt;='[1]statistical criteria'!$B$2,IF(O1176&gt;=LOG('[1]statistical criteria'!$B$3,2),1,IF(O1176&lt;=-1*LOG('[1]statistical criteria'!$B$3,2),2,"-")),"-")</f>
        <v>2</v>
      </c>
      <c r="R1176" t="s">
        <v>4348</v>
      </c>
      <c r="S1176" t="s">
        <v>4349</v>
      </c>
      <c r="T1176">
        <v>0</v>
      </c>
      <c r="U1176" t="s">
        <v>4350</v>
      </c>
    </row>
    <row r="1177" spans="1:21" x14ac:dyDescent="0.35">
      <c r="A1177" t="s">
        <v>4351</v>
      </c>
      <c r="B1177" t="s">
        <v>4352</v>
      </c>
      <c r="C1177">
        <v>3459</v>
      </c>
      <c r="D1177" s="5">
        <v>8.1116980000000005</v>
      </c>
      <c r="E1177" s="5">
        <v>6.593547</v>
      </c>
      <c r="F1177" s="5">
        <v>11.99418</v>
      </c>
      <c r="G1177" s="5">
        <v>5.7961539999999996</v>
      </c>
      <c r="H1177" s="6">
        <v>0.44647799999999999</v>
      </c>
      <c r="I1177" s="11">
        <v>0</v>
      </c>
      <c r="J1177" s="11">
        <v>0</v>
      </c>
      <c r="K1177" s="7">
        <f t="shared" si="36"/>
        <v>8.1238947499999998</v>
      </c>
      <c r="L1177" s="8">
        <f t="shared" si="37"/>
        <v>0.14882599999999999</v>
      </c>
      <c r="M1177" s="9">
        <v>1.5277835473468299E-15</v>
      </c>
      <c r="N1177" s="9">
        <v>7.9654029879479699E-14</v>
      </c>
      <c r="O1177" s="2">
        <v>-5.1267122483473297</v>
      </c>
      <c r="P1177" t="s">
        <v>4351</v>
      </c>
      <c r="Q1177" s="10">
        <f>IF(N1177&lt;='[1]statistical criteria'!$B$2,IF(O1177&gt;=LOG('[1]statistical criteria'!$B$3,2),1,IF(O1177&lt;=-1*LOG('[1]statistical criteria'!$B$3,2),2,"-")),"-")</f>
        <v>2</v>
      </c>
      <c r="R1177" t="s">
        <v>3987</v>
      </c>
      <c r="S1177" t="s">
        <v>4353</v>
      </c>
      <c r="T1177">
        <v>0</v>
      </c>
      <c r="U1177" t="s">
        <v>3989</v>
      </c>
    </row>
    <row r="1178" spans="1:21" x14ac:dyDescent="0.35">
      <c r="A1178" t="s">
        <v>4354</v>
      </c>
      <c r="B1178" t="s">
        <v>2927</v>
      </c>
      <c r="C1178">
        <v>807</v>
      </c>
      <c r="D1178" s="5">
        <v>5.3072549999999996</v>
      </c>
      <c r="E1178" s="5">
        <v>9.9498940000000005</v>
      </c>
      <c r="F1178" s="5">
        <v>8.9069249999999993</v>
      </c>
      <c r="G1178" s="5">
        <v>5.4949579999999996</v>
      </c>
      <c r="H1178" s="11">
        <v>0</v>
      </c>
      <c r="I1178" s="11">
        <v>0</v>
      </c>
      <c r="J1178" s="11">
        <v>0</v>
      </c>
      <c r="K1178" s="7">
        <f t="shared" si="36"/>
        <v>7.414758</v>
      </c>
      <c r="L1178" s="8">
        <f t="shared" si="37"/>
        <v>0</v>
      </c>
      <c r="M1178" s="9">
        <v>6.6917417136763601E-8</v>
      </c>
      <c r="N1178" s="9">
        <v>1.00786580776621E-6</v>
      </c>
      <c r="O1178" s="2">
        <v>-5.1273176170773098</v>
      </c>
      <c r="P1178" t="s">
        <v>4354</v>
      </c>
      <c r="Q1178" s="10">
        <f>IF(N1178&lt;='[1]statistical criteria'!$B$2,IF(O1178&gt;=LOG('[1]statistical criteria'!$B$3,2),1,IF(O1178&lt;=-1*LOG('[1]statistical criteria'!$B$3,2),2,"-")),"-")</f>
        <v>2</v>
      </c>
      <c r="S1178" t="s">
        <v>4355</v>
      </c>
      <c r="T1178">
        <v>1.6</v>
      </c>
      <c r="U1178" t="s">
        <v>3397</v>
      </c>
    </row>
    <row r="1179" spans="1:21" x14ac:dyDescent="0.35">
      <c r="A1179" t="s">
        <v>4356</v>
      </c>
      <c r="B1179" t="s">
        <v>4357</v>
      </c>
      <c r="C1179">
        <v>897</v>
      </c>
      <c r="D1179" s="5">
        <v>0.46238000000000001</v>
      </c>
      <c r="E1179" s="5">
        <v>12.186532</v>
      </c>
      <c r="F1179" s="5">
        <v>15.847882999999999</v>
      </c>
      <c r="G1179" s="5">
        <v>9.3727079999999994</v>
      </c>
      <c r="H1179" s="11">
        <v>0</v>
      </c>
      <c r="I1179" s="11">
        <v>0</v>
      </c>
      <c r="J1179" s="11">
        <v>0</v>
      </c>
      <c r="K1179" s="7">
        <f t="shared" si="36"/>
        <v>9.4673757499999986</v>
      </c>
      <c r="L1179" s="8">
        <f t="shared" si="37"/>
        <v>0</v>
      </c>
      <c r="M1179" s="9">
        <v>7.6677031626450897E-14</v>
      </c>
      <c r="N1179" s="9">
        <v>3.1346163519900299E-12</v>
      </c>
      <c r="O1179" s="2">
        <v>-5.1283516019748197</v>
      </c>
      <c r="P1179" t="s">
        <v>4356</v>
      </c>
      <c r="Q1179" s="10">
        <f>IF(N1179&lt;='[1]statistical criteria'!$B$2,IF(O1179&gt;=LOG('[1]statistical criteria'!$B$3,2),1,IF(O1179&lt;=-1*LOG('[1]statistical criteria'!$B$3,2),2,"-")),"-")</f>
        <v>2</v>
      </c>
    </row>
    <row r="1180" spans="1:21" x14ac:dyDescent="0.35">
      <c r="A1180" t="s">
        <v>4358</v>
      </c>
      <c r="B1180" t="s">
        <v>4359</v>
      </c>
      <c r="C1180">
        <v>954</v>
      </c>
      <c r="D1180" s="5">
        <v>44.956766000000002</v>
      </c>
      <c r="E1180" s="5">
        <v>40.672373999999998</v>
      </c>
      <c r="F1180" s="5">
        <v>31.567530000000001</v>
      </c>
      <c r="G1180" s="5">
        <v>33.764544000000001</v>
      </c>
      <c r="H1180" s="11">
        <v>0</v>
      </c>
      <c r="I1180" s="6">
        <v>2.6808109999999998</v>
      </c>
      <c r="J1180" s="6">
        <v>0.12715000000000001</v>
      </c>
      <c r="K1180" s="7">
        <f t="shared" si="36"/>
        <v>37.740303500000003</v>
      </c>
      <c r="L1180" s="8">
        <f t="shared" si="37"/>
        <v>0.9359869999999999</v>
      </c>
      <c r="M1180" s="9">
        <v>1.1132735926497399E-12</v>
      </c>
      <c r="N1180" s="9">
        <v>3.8035182168984898E-11</v>
      </c>
      <c r="O1180" s="2">
        <v>-5.1291214276012802</v>
      </c>
      <c r="P1180" t="s">
        <v>4358</v>
      </c>
      <c r="Q1180" s="10">
        <f>IF(N1180&lt;='[1]statistical criteria'!$B$2,IF(O1180&gt;=LOG('[1]statistical criteria'!$B$3,2),1,IF(O1180&lt;=-1*LOG('[1]statistical criteria'!$B$3,2),2,"-")),"-")</f>
        <v>2</v>
      </c>
      <c r="R1180" t="s">
        <v>4360</v>
      </c>
      <c r="S1180" t="s">
        <v>4361</v>
      </c>
      <c r="T1180" s="9">
        <v>2.9999999999999999E-144</v>
      </c>
      <c r="U1180" t="s">
        <v>4362</v>
      </c>
    </row>
    <row r="1181" spans="1:21" x14ac:dyDescent="0.35">
      <c r="A1181" t="s">
        <v>4363</v>
      </c>
      <c r="B1181" t="s">
        <v>4364</v>
      </c>
      <c r="C1181">
        <v>867</v>
      </c>
      <c r="D1181" s="5">
        <v>2.2973620000000001</v>
      </c>
      <c r="E1181" s="5">
        <v>6.6561000000000003</v>
      </c>
      <c r="F1181" s="5">
        <v>8.8186359999999997</v>
      </c>
      <c r="G1181" s="5">
        <v>3.7295859999999998</v>
      </c>
      <c r="H1181" s="11">
        <v>0</v>
      </c>
      <c r="I1181" s="11">
        <v>0</v>
      </c>
      <c r="J1181" s="11">
        <v>0</v>
      </c>
      <c r="K1181" s="7">
        <f t="shared" si="36"/>
        <v>5.3754210000000002</v>
      </c>
      <c r="L1181" s="8">
        <f t="shared" si="37"/>
        <v>0</v>
      </c>
      <c r="M1181" s="9">
        <v>1.7201932449459298E-8</v>
      </c>
      <c r="N1181" s="9">
        <v>2.9385347801903999E-7</v>
      </c>
      <c r="O1181" s="2">
        <v>-5.1300024446489196</v>
      </c>
      <c r="P1181" t="s">
        <v>4363</v>
      </c>
      <c r="Q1181" s="10">
        <f>IF(N1181&lt;='[1]statistical criteria'!$B$2,IF(O1181&gt;=LOG('[1]statistical criteria'!$B$3,2),1,IF(O1181&lt;=-1*LOG('[1]statistical criteria'!$B$3,2),2,"-")),"-")</f>
        <v>2</v>
      </c>
      <c r="R1181" t="s">
        <v>4365</v>
      </c>
      <c r="S1181" t="s">
        <v>4366</v>
      </c>
      <c r="T1181" s="9">
        <v>9.0000000000000004E-49</v>
      </c>
      <c r="U1181" t="s">
        <v>61</v>
      </c>
    </row>
    <row r="1182" spans="1:21" x14ac:dyDescent="0.35">
      <c r="A1182" t="s">
        <v>4367</v>
      </c>
      <c r="B1182" t="s">
        <v>4368</v>
      </c>
      <c r="C1182">
        <v>1581</v>
      </c>
      <c r="D1182" s="5">
        <v>7.939616</v>
      </c>
      <c r="E1182" s="5">
        <v>5.6167809999999996</v>
      </c>
      <c r="F1182" s="5">
        <v>4.5428660000000001</v>
      </c>
      <c r="G1182" s="5">
        <v>6.3724780000000001</v>
      </c>
      <c r="H1182" s="11">
        <v>0</v>
      </c>
      <c r="I1182" s="11">
        <v>0</v>
      </c>
      <c r="J1182" s="11">
        <v>0</v>
      </c>
      <c r="K1182" s="7">
        <f t="shared" si="36"/>
        <v>6.1179352500000004</v>
      </c>
      <c r="L1182" s="8">
        <f t="shared" si="37"/>
        <v>0</v>
      </c>
      <c r="M1182" s="9">
        <v>6.91781350298647E-11</v>
      </c>
      <c r="N1182" s="9">
        <v>1.7898843094742701E-9</v>
      </c>
      <c r="O1182" s="2">
        <v>-5.1416648946694696</v>
      </c>
      <c r="P1182" t="s">
        <v>4367</v>
      </c>
      <c r="Q1182" s="10">
        <f>IF(N1182&lt;='[1]statistical criteria'!$B$2,IF(O1182&gt;=LOG('[1]statistical criteria'!$B$3,2),1,IF(O1182&lt;=-1*LOG('[1]statistical criteria'!$B$3,2),2,"-")),"-")</f>
        <v>2</v>
      </c>
      <c r="R1182" t="s">
        <v>4369</v>
      </c>
      <c r="S1182" t="s">
        <v>4370</v>
      </c>
      <c r="T1182" s="9">
        <v>1.9999999999999999E-74</v>
      </c>
      <c r="U1182" t="s">
        <v>4371</v>
      </c>
    </row>
    <row r="1183" spans="1:21" x14ac:dyDescent="0.35">
      <c r="A1183" t="s">
        <v>4372</v>
      </c>
      <c r="B1183" t="s">
        <v>2768</v>
      </c>
      <c r="C1183">
        <v>432</v>
      </c>
      <c r="D1183" s="5">
        <v>16.808406999999999</v>
      </c>
      <c r="E1183" s="5">
        <v>17.886838000000001</v>
      </c>
      <c r="F1183" s="5">
        <v>14.13724</v>
      </c>
      <c r="G1183" s="5">
        <v>11.556637</v>
      </c>
      <c r="H1183" s="11">
        <v>0</v>
      </c>
      <c r="I1183" s="11">
        <v>0</v>
      </c>
      <c r="J1183" s="11">
        <v>0</v>
      </c>
      <c r="K1183" s="7">
        <f t="shared" si="36"/>
        <v>15.0972805</v>
      </c>
      <c r="L1183" s="8">
        <f t="shared" si="37"/>
        <v>0</v>
      </c>
      <c r="M1183" s="9">
        <v>4.2424832347837298E-10</v>
      </c>
      <c r="N1183" s="9">
        <v>9.6745902885481698E-9</v>
      </c>
      <c r="O1183" s="2">
        <v>-5.1428856152650599</v>
      </c>
      <c r="P1183" t="s">
        <v>4372</v>
      </c>
      <c r="Q1183" s="10">
        <f>IF(N1183&lt;='[1]statistical criteria'!$B$2,IF(O1183&gt;=LOG('[1]statistical criteria'!$B$3,2),1,IF(O1183&lt;=-1*LOG('[1]statistical criteria'!$B$3,2),2,"-")),"-")</f>
        <v>2</v>
      </c>
      <c r="S1183" t="s">
        <v>2770</v>
      </c>
      <c r="T1183" s="9">
        <v>3.9999999999999998E-29</v>
      </c>
      <c r="U1183" t="s">
        <v>2771</v>
      </c>
    </row>
    <row r="1184" spans="1:21" x14ac:dyDescent="0.35">
      <c r="A1184" t="s">
        <v>4373</v>
      </c>
      <c r="B1184" t="s">
        <v>4374</v>
      </c>
      <c r="C1184">
        <v>375</v>
      </c>
      <c r="D1184" s="5">
        <v>4.4550780000000003</v>
      </c>
      <c r="E1184" s="5">
        <v>16.428878999999998</v>
      </c>
      <c r="F1184" s="5">
        <v>15.082317</v>
      </c>
      <c r="G1184" s="5">
        <v>21.465118</v>
      </c>
      <c r="H1184" s="11">
        <v>0</v>
      </c>
      <c r="I1184" s="11">
        <v>0</v>
      </c>
      <c r="J1184" s="11">
        <v>0</v>
      </c>
      <c r="K1184" s="7">
        <f t="shared" si="36"/>
        <v>14.357848000000001</v>
      </c>
      <c r="L1184" s="8">
        <f t="shared" si="37"/>
        <v>0</v>
      </c>
      <c r="M1184" s="9">
        <v>1.9463984996846801E-8</v>
      </c>
      <c r="N1184" s="9">
        <v>3.2968369781040898E-7</v>
      </c>
      <c r="O1184" s="2">
        <v>-5.14303318050698</v>
      </c>
      <c r="P1184" t="s">
        <v>4373</v>
      </c>
      <c r="Q1184" s="10">
        <f>IF(N1184&lt;='[1]statistical criteria'!$B$2,IF(O1184&gt;=LOG('[1]statistical criteria'!$B$3,2),1,IF(O1184&lt;=-1*LOG('[1]statistical criteria'!$B$3,2),2,"-")),"-")</f>
        <v>2</v>
      </c>
      <c r="R1184" t="s">
        <v>4375</v>
      </c>
      <c r="S1184" t="s">
        <v>4376</v>
      </c>
      <c r="T1184" s="9">
        <v>2.9999999999999999E-22</v>
      </c>
      <c r="U1184" t="s">
        <v>4377</v>
      </c>
    </row>
    <row r="1185" spans="1:21" x14ac:dyDescent="0.35">
      <c r="A1185" t="s">
        <v>4378</v>
      </c>
      <c r="B1185" t="s">
        <v>4379</v>
      </c>
      <c r="C1185">
        <v>1020</v>
      </c>
      <c r="D1185" s="5">
        <v>2.1685880000000002</v>
      </c>
      <c r="E1185" s="5">
        <v>10.899298</v>
      </c>
      <c r="F1185" s="5">
        <v>5.091939</v>
      </c>
      <c r="G1185" s="5">
        <v>6.264132</v>
      </c>
      <c r="H1185" s="11">
        <v>0</v>
      </c>
      <c r="I1185" s="11">
        <v>0</v>
      </c>
      <c r="J1185" s="11">
        <v>0</v>
      </c>
      <c r="K1185" s="7">
        <f t="shared" si="36"/>
        <v>6.1059892499999995</v>
      </c>
      <c r="L1185" s="8">
        <f t="shared" si="37"/>
        <v>0</v>
      </c>
      <c r="M1185" s="9">
        <v>7.6106432791294297E-14</v>
      </c>
      <c r="N1185" s="9">
        <v>3.11798797851094E-12</v>
      </c>
      <c r="O1185" s="2">
        <v>-5.1498243667575299</v>
      </c>
      <c r="P1185" t="s">
        <v>4378</v>
      </c>
      <c r="Q1185" s="10">
        <f>IF(N1185&lt;='[1]statistical criteria'!$B$2,IF(O1185&gt;=LOG('[1]statistical criteria'!$B$3,2),1,IF(O1185&lt;=-1*LOG('[1]statistical criteria'!$B$3,2),2,"-")),"-")</f>
        <v>2</v>
      </c>
      <c r="R1185" t="s">
        <v>4380</v>
      </c>
    </row>
    <row r="1186" spans="1:21" x14ac:dyDescent="0.35">
      <c r="A1186" t="s">
        <v>4381</v>
      </c>
      <c r="B1186" t="s">
        <v>4382</v>
      </c>
      <c r="C1186">
        <v>1596</v>
      </c>
      <c r="D1186" s="5">
        <v>4.7365760000000003</v>
      </c>
      <c r="E1186" s="5">
        <v>4.5712710000000003</v>
      </c>
      <c r="F1186" s="5">
        <v>7.1605639999999999</v>
      </c>
      <c r="G1186" s="5">
        <v>4.0372440000000003</v>
      </c>
      <c r="H1186" s="11">
        <v>0</v>
      </c>
      <c r="I1186" s="11">
        <v>0</v>
      </c>
      <c r="J1186" s="11">
        <v>0</v>
      </c>
      <c r="K1186" s="7">
        <f t="shared" si="36"/>
        <v>5.1264137500000002</v>
      </c>
      <c r="L1186" s="8">
        <f t="shared" si="37"/>
        <v>0</v>
      </c>
      <c r="M1186" s="9">
        <v>7.0257902649474198E-11</v>
      </c>
      <c r="N1186" s="9">
        <v>1.8153535470733099E-9</v>
      </c>
      <c r="O1186" s="2">
        <v>-5.1558540401943302</v>
      </c>
      <c r="P1186" t="s">
        <v>4381</v>
      </c>
      <c r="Q1186" s="10">
        <f>IF(N1186&lt;='[1]statistical criteria'!$B$2,IF(O1186&gt;=LOG('[1]statistical criteria'!$B$3,2),1,IF(O1186&lt;=-1*LOG('[1]statistical criteria'!$B$3,2),2,"-")),"-")</f>
        <v>2</v>
      </c>
      <c r="R1186" t="s">
        <v>4383</v>
      </c>
      <c r="S1186" t="s">
        <v>4384</v>
      </c>
      <c r="T1186">
        <v>0</v>
      </c>
      <c r="U1186" t="s">
        <v>4385</v>
      </c>
    </row>
    <row r="1187" spans="1:21" x14ac:dyDescent="0.35">
      <c r="A1187" t="s">
        <v>4386</v>
      </c>
      <c r="B1187" t="s">
        <v>4387</v>
      </c>
      <c r="C1187">
        <v>1128</v>
      </c>
      <c r="D1187" s="5">
        <v>19.187508999999999</v>
      </c>
      <c r="E1187" s="5">
        <v>5.7639519999999997</v>
      </c>
      <c r="F1187" s="5">
        <v>6.4969409999999996</v>
      </c>
      <c r="G1187" s="5">
        <v>5.6227809999999998</v>
      </c>
      <c r="H1187" s="11">
        <v>0</v>
      </c>
      <c r="I1187" s="11">
        <v>0</v>
      </c>
      <c r="J1187" s="11">
        <v>0</v>
      </c>
      <c r="K1187" s="7">
        <f t="shared" si="36"/>
        <v>9.2677957499999994</v>
      </c>
      <c r="L1187" s="8">
        <f t="shared" si="37"/>
        <v>0</v>
      </c>
      <c r="M1187" s="9">
        <v>1.6533511891461999E-9</v>
      </c>
      <c r="N1187" s="9">
        <v>3.4329812470760699E-8</v>
      </c>
      <c r="O1187" s="2">
        <v>-5.1597638592608703</v>
      </c>
      <c r="P1187" t="s">
        <v>4386</v>
      </c>
      <c r="Q1187" s="10">
        <f>IF(N1187&lt;='[1]statistical criteria'!$B$2,IF(O1187&gt;=LOG('[1]statistical criteria'!$B$3,2),1,IF(O1187&lt;=-1*LOG('[1]statistical criteria'!$B$3,2),2,"-")),"-")</f>
        <v>2</v>
      </c>
      <c r="R1187" t="s">
        <v>4388</v>
      </c>
      <c r="S1187" t="s">
        <v>4389</v>
      </c>
      <c r="T1187" s="9">
        <v>5.0000000000000002E-169</v>
      </c>
      <c r="U1187" t="s">
        <v>4390</v>
      </c>
    </row>
    <row r="1188" spans="1:21" x14ac:dyDescent="0.35">
      <c r="A1188" t="s">
        <v>4391</v>
      </c>
      <c r="B1188" t="s">
        <v>4392</v>
      </c>
      <c r="C1188">
        <v>1146</v>
      </c>
      <c r="D1188" s="5">
        <v>6.5845820000000002</v>
      </c>
      <c r="E1188" s="5">
        <v>33.571697</v>
      </c>
      <c r="F1188" s="5">
        <v>5.0362970000000002</v>
      </c>
      <c r="G1188" s="5">
        <v>11.359779</v>
      </c>
      <c r="H1188" s="11">
        <v>0</v>
      </c>
      <c r="I1188" s="11">
        <v>0</v>
      </c>
      <c r="J1188" s="11">
        <v>0</v>
      </c>
      <c r="K1188" s="7">
        <f t="shared" si="36"/>
        <v>14.138088749999998</v>
      </c>
      <c r="L1188" s="8">
        <f t="shared" si="37"/>
        <v>0</v>
      </c>
      <c r="M1188" s="9">
        <v>9.8237793879423205E-9</v>
      </c>
      <c r="N1188" s="9">
        <v>1.76115423224251E-7</v>
      </c>
      <c r="O1188" s="2">
        <v>-5.1624055181773398</v>
      </c>
      <c r="P1188" t="s">
        <v>4391</v>
      </c>
      <c r="Q1188" s="10">
        <f>IF(N1188&lt;='[1]statistical criteria'!$B$2,IF(O1188&gt;=LOG('[1]statistical criteria'!$B$3,2),1,IF(O1188&lt;=-1*LOG('[1]statistical criteria'!$B$3,2),2,"-")),"-")</f>
        <v>2</v>
      </c>
      <c r="R1188" t="s">
        <v>3370</v>
      </c>
    </row>
    <row r="1189" spans="1:21" x14ac:dyDescent="0.35">
      <c r="A1189" t="s">
        <v>4393</v>
      </c>
      <c r="B1189" t="s">
        <v>4394</v>
      </c>
      <c r="C1189">
        <v>1185</v>
      </c>
      <c r="D1189" s="5">
        <v>5.1817460000000004</v>
      </c>
      <c r="E1189" s="5">
        <v>10.090047</v>
      </c>
      <c r="F1189" s="5">
        <v>5.9097359999999997</v>
      </c>
      <c r="G1189" s="5">
        <v>4.9797940000000001</v>
      </c>
      <c r="H1189" s="11">
        <v>0</v>
      </c>
      <c r="I1189" s="11">
        <v>0</v>
      </c>
      <c r="J1189" s="11">
        <v>0</v>
      </c>
      <c r="K1189" s="7">
        <f t="shared" si="36"/>
        <v>6.5403307500000007</v>
      </c>
      <c r="L1189" s="8">
        <f t="shared" si="37"/>
        <v>0</v>
      </c>
      <c r="M1189" s="9">
        <v>1.46122353249114E-11</v>
      </c>
      <c r="N1189" s="9">
        <v>4.21000512086396E-10</v>
      </c>
      <c r="O1189" s="2">
        <v>-5.1779865238619696</v>
      </c>
      <c r="P1189" t="s">
        <v>4393</v>
      </c>
      <c r="Q1189" s="10">
        <f>IF(N1189&lt;='[1]statistical criteria'!$B$2,IF(O1189&gt;=LOG('[1]statistical criteria'!$B$3,2),1,IF(O1189&lt;=-1*LOG('[1]statistical criteria'!$B$3,2),2,"-")),"-")</f>
        <v>2</v>
      </c>
      <c r="R1189" t="s">
        <v>94</v>
      </c>
      <c r="S1189" t="s">
        <v>4395</v>
      </c>
      <c r="T1189">
        <v>0</v>
      </c>
      <c r="U1189" t="s">
        <v>95</v>
      </c>
    </row>
    <row r="1190" spans="1:21" x14ac:dyDescent="0.35">
      <c r="A1190" t="s">
        <v>4396</v>
      </c>
      <c r="B1190" t="s">
        <v>4397</v>
      </c>
      <c r="C1190">
        <v>2319</v>
      </c>
      <c r="D1190" s="5">
        <v>5.2489150000000002</v>
      </c>
      <c r="E1190" s="5">
        <v>2.5512280000000001</v>
      </c>
      <c r="F1190" s="5">
        <v>6.3514429999999997</v>
      </c>
      <c r="G1190" s="5">
        <v>6.8266090000000004</v>
      </c>
      <c r="H1190" s="11">
        <v>0</v>
      </c>
      <c r="I1190" s="11">
        <v>0</v>
      </c>
      <c r="J1190" s="11">
        <v>0</v>
      </c>
      <c r="K1190" s="7">
        <f t="shared" si="36"/>
        <v>5.2445487499999999</v>
      </c>
      <c r="L1190" s="8">
        <f t="shared" si="37"/>
        <v>0</v>
      </c>
      <c r="M1190" s="9">
        <v>1.93679826973299E-10</v>
      </c>
      <c r="N1190" s="9">
        <v>4.6684320548472102E-9</v>
      </c>
      <c r="O1190" s="2">
        <v>-5.17842430806013</v>
      </c>
      <c r="P1190" t="s">
        <v>4396</v>
      </c>
      <c r="Q1190" s="10">
        <f>IF(N1190&lt;='[1]statistical criteria'!$B$2,IF(O1190&gt;=LOG('[1]statistical criteria'!$B$3,2),1,IF(O1190&lt;=-1*LOG('[1]statistical criteria'!$B$3,2),2,"-")),"-")</f>
        <v>2</v>
      </c>
      <c r="R1190" t="s">
        <v>4398</v>
      </c>
      <c r="S1190" t="s">
        <v>4399</v>
      </c>
      <c r="T1190">
        <v>0</v>
      </c>
      <c r="U1190" t="s">
        <v>3627</v>
      </c>
    </row>
    <row r="1191" spans="1:21" x14ac:dyDescent="0.35">
      <c r="A1191" t="s">
        <v>4400</v>
      </c>
      <c r="B1191" t="s">
        <v>4401</v>
      </c>
      <c r="C1191">
        <v>4224</v>
      </c>
      <c r="D1191" s="5">
        <v>2.281053</v>
      </c>
      <c r="E1191" s="5">
        <v>2.3100900000000002</v>
      </c>
      <c r="F1191" s="5">
        <v>1.9544999999999999</v>
      </c>
      <c r="G1191" s="5">
        <v>1.233935</v>
      </c>
      <c r="H1191" s="11">
        <v>0</v>
      </c>
      <c r="I1191" s="11">
        <v>0</v>
      </c>
      <c r="J1191" s="11">
        <v>0</v>
      </c>
      <c r="K1191" s="7">
        <f t="shared" ref="K1191:K1254" si="38">AVERAGE(D1191:G1191)</f>
        <v>1.9448945</v>
      </c>
      <c r="L1191" s="8">
        <f t="shared" ref="L1191:L1254" si="39">AVERAGE(H1191:J1191)</f>
        <v>0</v>
      </c>
      <c r="M1191" s="9">
        <v>1.12131270348906E-10</v>
      </c>
      <c r="N1191" s="9">
        <v>2.8300504970022399E-9</v>
      </c>
      <c r="O1191" s="2">
        <v>-5.1949418983193896</v>
      </c>
      <c r="P1191" t="s">
        <v>4400</v>
      </c>
      <c r="Q1191" s="10">
        <f>IF(N1191&lt;='[1]statistical criteria'!$B$2,IF(O1191&gt;=LOG('[1]statistical criteria'!$B$3,2),1,IF(O1191&lt;=-1*LOG('[1]statistical criteria'!$B$3,2),2,"-")),"-")</f>
        <v>2</v>
      </c>
      <c r="S1191" t="s">
        <v>4402</v>
      </c>
      <c r="T1191" s="9">
        <v>2.9999999999999997E-4</v>
      </c>
      <c r="U1191" t="s">
        <v>61</v>
      </c>
    </row>
    <row r="1192" spans="1:21" x14ac:dyDescent="0.35">
      <c r="A1192" t="s">
        <v>4403</v>
      </c>
      <c r="B1192" t="s">
        <v>4404</v>
      </c>
      <c r="C1192">
        <v>1092</v>
      </c>
      <c r="D1192" s="5">
        <v>18.704834000000002</v>
      </c>
      <c r="E1192" s="5">
        <v>6.9989059999999998</v>
      </c>
      <c r="F1192" s="5">
        <v>4.8637189999999997</v>
      </c>
      <c r="G1192" s="5">
        <v>7.9092200000000004</v>
      </c>
      <c r="H1192" s="11">
        <v>0</v>
      </c>
      <c r="I1192" s="11">
        <v>0</v>
      </c>
      <c r="J1192" s="11">
        <v>0</v>
      </c>
      <c r="K1192" s="7">
        <f t="shared" si="38"/>
        <v>9.6191697500000011</v>
      </c>
      <c r="L1192" s="8">
        <f t="shared" si="39"/>
        <v>0</v>
      </c>
      <c r="M1192" s="9">
        <v>1.35031458465327E-12</v>
      </c>
      <c r="N1192" s="9">
        <v>4.5541199111432298E-11</v>
      </c>
      <c r="O1192" s="2">
        <v>-5.1991952701660002</v>
      </c>
      <c r="P1192" t="s">
        <v>4403</v>
      </c>
      <c r="Q1192" s="10">
        <f>IF(N1192&lt;='[1]statistical criteria'!$B$2,IF(O1192&gt;=LOG('[1]statistical criteria'!$B$3,2),1,IF(O1192&lt;=-1*LOG('[1]statistical criteria'!$B$3,2),2,"-")),"-")</f>
        <v>2</v>
      </c>
      <c r="R1192" t="s">
        <v>4405</v>
      </c>
      <c r="S1192" t="s">
        <v>4406</v>
      </c>
      <c r="T1192" s="9">
        <v>5.0000000000000003E-129</v>
      </c>
      <c r="U1192" t="s">
        <v>4407</v>
      </c>
    </row>
    <row r="1193" spans="1:21" x14ac:dyDescent="0.35">
      <c r="A1193" t="s">
        <v>4408</v>
      </c>
      <c r="B1193" t="s">
        <v>4409</v>
      </c>
      <c r="C1193">
        <v>1545</v>
      </c>
      <c r="D1193" s="5">
        <v>13.839852</v>
      </c>
      <c r="E1193" s="5">
        <v>24.945233000000002</v>
      </c>
      <c r="F1193" s="5">
        <v>15.072562</v>
      </c>
      <c r="G1193" s="5">
        <v>10.708373999999999</v>
      </c>
      <c r="H1193" s="11">
        <v>0</v>
      </c>
      <c r="I1193" s="6">
        <v>0.61638099999999996</v>
      </c>
      <c r="J1193" s="11">
        <v>0</v>
      </c>
      <c r="K1193" s="7">
        <f t="shared" si="38"/>
        <v>16.141505250000002</v>
      </c>
      <c r="L1193" s="8">
        <f t="shared" si="39"/>
        <v>0.20546033333333333</v>
      </c>
      <c r="M1193" s="9">
        <v>7.0136193833922197E-12</v>
      </c>
      <c r="N1193" s="9">
        <v>2.1118540643347099E-10</v>
      </c>
      <c r="O1193" s="2">
        <v>-5.2034128370327002</v>
      </c>
      <c r="P1193" t="s">
        <v>4408</v>
      </c>
      <c r="Q1193" s="10">
        <f>IF(N1193&lt;='[1]statistical criteria'!$B$2,IF(O1193&gt;=LOG('[1]statistical criteria'!$B$3,2),1,IF(O1193&lt;=-1*LOG('[1]statistical criteria'!$B$3,2),2,"-")),"-")</f>
        <v>2</v>
      </c>
      <c r="R1193" t="s">
        <v>4410</v>
      </c>
      <c r="S1193" t="s">
        <v>4411</v>
      </c>
      <c r="T1193" s="9">
        <v>3.0000000000000001E-62</v>
      </c>
      <c r="U1193" t="s">
        <v>4412</v>
      </c>
    </row>
    <row r="1194" spans="1:21" x14ac:dyDescent="0.35">
      <c r="A1194" t="s">
        <v>4413</v>
      </c>
      <c r="B1194" t="s">
        <v>4414</v>
      </c>
      <c r="C1194">
        <v>3207</v>
      </c>
      <c r="D1194" s="5">
        <v>5.5264030000000002</v>
      </c>
      <c r="E1194" s="5">
        <v>8.2434840000000005</v>
      </c>
      <c r="F1194" s="5">
        <v>7.7449320000000004</v>
      </c>
      <c r="G1194" s="5">
        <v>13.301273999999999</v>
      </c>
      <c r="H1194" s="6">
        <v>0.39805600000000002</v>
      </c>
      <c r="I1194" s="11">
        <v>0</v>
      </c>
      <c r="J1194" s="11">
        <v>0</v>
      </c>
      <c r="K1194" s="7">
        <f t="shared" si="38"/>
        <v>8.7040232500000005</v>
      </c>
      <c r="L1194" s="8">
        <f t="shared" si="39"/>
        <v>0.13268533333333335</v>
      </c>
      <c r="M1194" s="9">
        <v>2.7793896172288798E-9</v>
      </c>
      <c r="N1194" s="9">
        <v>5.5384067451168201E-8</v>
      </c>
      <c r="O1194" s="2">
        <v>-5.20555051121283</v>
      </c>
      <c r="P1194" t="s">
        <v>4413</v>
      </c>
      <c r="Q1194" s="10">
        <f>IF(N1194&lt;='[1]statistical criteria'!$B$2,IF(O1194&gt;=LOG('[1]statistical criteria'!$B$3,2),1,IF(O1194&lt;=-1*LOG('[1]statistical criteria'!$B$3,2),2,"-")),"-")</f>
        <v>2</v>
      </c>
      <c r="R1194" t="s">
        <v>4398</v>
      </c>
      <c r="S1194" t="s">
        <v>4415</v>
      </c>
      <c r="T1194">
        <v>0</v>
      </c>
      <c r="U1194" t="s">
        <v>3627</v>
      </c>
    </row>
    <row r="1195" spans="1:21" x14ac:dyDescent="0.35">
      <c r="A1195" t="s">
        <v>4416</v>
      </c>
      <c r="B1195" t="s">
        <v>4417</v>
      </c>
      <c r="C1195">
        <v>1877</v>
      </c>
      <c r="D1195" s="5">
        <v>8.2621330000000004</v>
      </c>
      <c r="E1195" s="5">
        <v>8.3560780000000001</v>
      </c>
      <c r="F1195" s="5">
        <v>5.4982030000000002</v>
      </c>
      <c r="G1195" s="5">
        <v>5.0340610000000003</v>
      </c>
      <c r="H1195" s="11">
        <v>0</v>
      </c>
      <c r="I1195" s="11">
        <v>0</v>
      </c>
      <c r="J1195" s="11">
        <v>0</v>
      </c>
      <c r="K1195" s="7">
        <f t="shared" si="38"/>
        <v>6.7876187500000009</v>
      </c>
      <c r="L1195" s="8">
        <f t="shared" si="39"/>
        <v>0</v>
      </c>
      <c r="M1195" s="9">
        <v>1.29394701945908E-16</v>
      </c>
      <c r="N1195" s="9">
        <v>8.0207855961909795E-15</v>
      </c>
      <c r="O1195" s="2">
        <v>-5.2144296743828296</v>
      </c>
      <c r="P1195" t="s">
        <v>4416</v>
      </c>
      <c r="Q1195" s="10">
        <f>IF(N1195&lt;='[1]statistical criteria'!$B$2,IF(O1195&gt;=LOG('[1]statistical criteria'!$B$3,2),1,IF(O1195&lt;=-1*LOG('[1]statistical criteria'!$B$3,2),2,"-")),"-")</f>
        <v>2</v>
      </c>
      <c r="R1195" t="s">
        <v>4418</v>
      </c>
      <c r="S1195" t="s">
        <v>3396</v>
      </c>
      <c r="T1195">
        <v>0</v>
      </c>
      <c r="U1195" t="s">
        <v>3397</v>
      </c>
    </row>
    <row r="1196" spans="1:21" x14ac:dyDescent="0.35">
      <c r="A1196" t="s">
        <v>4419</v>
      </c>
      <c r="B1196" t="s">
        <v>4420</v>
      </c>
      <c r="C1196">
        <v>1374</v>
      </c>
      <c r="D1196" s="5">
        <v>5.2903380000000002</v>
      </c>
      <c r="E1196" s="5">
        <v>10.972243000000001</v>
      </c>
      <c r="F1196" s="5">
        <v>5.045045</v>
      </c>
      <c r="G1196" s="5">
        <v>7.3708260000000001</v>
      </c>
      <c r="H1196" s="11">
        <v>0</v>
      </c>
      <c r="I1196" s="11">
        <v>0</v>
      </c>
      <c r="J1196" s="11">
        <v>0</v>
      </c>
      <c r="K1196" s="7">
        <f t="shared" si="38"/>
        <v>7.169613</v>
      </c>
      <c r="L1196" s="8">
        <f t="shared" si="39"/>
        <v>0</v>
      </c>
      <c r="M1196" s="9">
        <v>1.25610186037763E-12</v>
      </c>
      <c r="N1196" s="9">
        <v>4.2533128830936397E-11</v>
      </c>
      <c r="O1196" s="2">
        <v>-5.21593873631703</v>
      </c>
      <c r="P1196" t="s">
        <v>4419</v>
      </c>
      <c r="Q1196" s="10">
        <f>IF(N1196&lt;='[1]statistical criteria'!$B$2,IF(O1196&gt;=LOG('[1]statistical criteria'!$B$3,2),1,IF(O1196&lt;=-1*LOG('[1]statistical criteria'!$B$3,2),2,"-")),"-")</f>
        <v>2</v>
      </c>
      <c r="R1196" t="s">
        <v>4383</v>
      </c>
      <c r="S1196" t="s">
        <v>4384</v>
      </c>
      <c r="T1196">
        <v>0</v>
      </c>
      <c r="U1196" t="s">
        <v>4385</v>
      </c>
    </row>
    <row r="1197" spans="1:21" x14ac:dyDescent="0.35">
      <c r="A1197" t="s">
        <v>4421</v>
      </c>
      <c r="B1197" t="s">
        <v>4422</v>
      </c>
      <c r="C1197">
        <v>1317</v>
      </c>
      <c r="D1197" s="5">
        <v>4.1304759999999998</v>
      </c>
      <c r="E1197" s="5">
        <v>19.443303</v>
      </c>
      <c r="F1197" s="5">
        <v>9.9352560000000008</v>
      </c>
      <c r="G1197" s="5">
        <v>2.1314820000000001</v>
      </c>
      <c r="H1197" s="11">
        <v>0</v>
      </c>
      <c r="I1197" s="11">
        <v>0</v>
      </c>
      <c r="J1197" s="11">
        <v>0</v>
      </c>
      <c r="K1197" s="7">
        <f t="shared" si="38"/>
        <v>8.9101292500000007</v>
      </c>
      <c r="L1197" s="8">
        <f t="shared" si="39"/>
        <v>0</v>
      </c>
      <c r="M1197" s="9">
        <v>3.1172629899609701E-14</v>
      </c>
      <c r="N1197" s="9">
        <v>1.34211571717098E-12</v>
      </c>
      <c r="O1197" s="2">
        <v>-5.2214420935527599</v>
      </c>
      <c r="P1197" t="s">
        <v>4421</v>
      </c>
      <c r="Q1197" s="10">
        <f>IF(N1197&lt;='[1]statistical criteria'!$B$2,IF(O1197&gt;=LOG('[1]statistical criteria'!$B$3,2),1,IF(O1197&lt;=-1*LOG('[1]statistical criteria'!$B$3,2),2,"-")),"-")</f>
        <v>2</v>
      </c>
    </row>
    <row r="1198" spans="1:21" x14ac:dyDescent="0.35">
      <c r="A1198" t="s">
        <v>4423</v>
      </c>
      <c r="B1198" t="s">
        <v>3012</v>
      </c>
      <c r="C1198">
        <v>1791</v>
      </c>
      <c r="D1198" s="5">
        <v>5.9147369999999997</v>
      </c>
      <c r="E1198" s="5">
        <v>7.4490889999999998</v>
      </c>
      <c r="F1198" s="5">
        <v>6.8685710000000002</v>
      </c>
      <c r="G1198" s="5">
        <v>5.0866239999999996</v>
      </c>
      <c r="H1198" s="11">
        <v>0</v>
      </c>
      <c r="I1198" s="11">
        <v>0</v>
      </c>
      <c r="J1198" s="11">
        <v>0</v>
      </c>
      <c r="K1198" s="7">
        <f t="shared" si="38"/>
        <v>6.3297552499999998</v>
      </c>
      <c r="L1198" s="8">
        <f t="shared" si="39"/>
        <v>0</v>
      </c>
      <c r="M1198" s="9">
        <v>3.9340509961710102E-10</v>
      </c>
      <c r="N1198" s="9">
        <v>9.0307588006193407E-9</v>
      </c>
      <c r="O1198" s="2">
        <v>-5.2231780562389902</v>
      </c>
      <c r="P1198" t="s">
        <v>4423</v>
      </c>
      <c r="Q1198" s="10">
        <f>IF(N1198&lt;='[1]statistical criteria'!$B$2,IF(O1198&gt;=LOG('[1]statistical criteria'!$B$3,2),1,IF(O1198&lt;=-1*LOG('[1]statistical criteria'!$B$3,2),2,"-")),"-")</f>
        <v>2</v>
      </c>
      <c r="R1198" t="s">
        <v>3013</v>
      </c>
      <c r="S1198" t="s">
        <v>3014</v>
      </c>
      <c r="T1198">
        <v>0</v>
      </c>
      <c r="U1198" t="s">
        <v>3015</v>
      </c>
    </row>
    <row r="1199" spans="1:21" x14ac:dyDescent="0.35">
      <c r="A1199" t="s">
        <v>4424</v>
      </c>
      <c r="B1199" t="s">
        <v>4425</v>
      </c>
      <c r="C1199">
        <v>1431</v>
      </c>
      <c r="D1199" s="5">
        <v>9.2920420000000004</v>
      </c>
      <c r="E1199" s="5">
        <v>3.897761</v>
      </c>
      <c r="F1199" s="5">
        <v>4.7900210000000003</v>
      </c>
      <c r="G1199" s="5">
        <v>5.923654</v>
      </c>
      <c r="H1199" s="11">
        <v>0</v>
      </c>
      <c r="I1199" s="11">
        <v>0</v>
      </c>
      <c r="J1199" s="11">
        <v>0</v>
      </c>
      <c r="K1199" s="7">
        <f t="shared" si="38"/>
        <v>5.9758694999999999</v>
      </c>
      <c r="L1199" s="8">
        <f t="shared" si="39"/>
        <v>0</v>
      </c>
      <c r="M1199" s="9">
        <v>1.2733678615646401E-13</v>
      </c>
      <c r="N1199" s="9">
        <v>5.0536372065850102E-12</v>
      </c>
      <c r="O1199" s="2">
        <v>-5.2260838753834404</v>
      </c>
      <c r="P1199" t="s">
        <v>4424</v>
      </c>
      <c r="Q1199" s="10">
        <f>IF(N1199&lt;='[1]statistical criteria'!$B$2,IF(O1199&gt;=LOG('[1]statistical criteria'!$B$3,2),1,IF(O1199&lt;=-1*LOG('[1]statistical criteria'!$B$3,2),2,"-")),"-")</f>
        <v>2</v>
      </c>
      <c r="R1199" t="s">
        <v>4426</v>
      </c>
      <c r="S1199" t="s">
        <v>4427</v>
      </c>
      <c r="T1199">
        <v>0</v>
      </c>
      <c r="U1199" t="s">
        <v>4428</v>
      </c>
    </row>
    <row r="1200" spans="1:21" x14ac:dyDescent="0.35">
      <c r="A1200" t="s">
        <v>4429</v>
      </c>
      <c r="B1200" t="s">
        <v>4430</v>
      </c>
      <c r="C1200">
        <v>312</v>
      </c>
      <c r="D1200" s="5">
        <v>402.98883000000001</v>
      </c>
      <c r="E1200" s="5">
        <v>652.24264500000004</v>
      </c>
      <c r="F1200" s="5">
        <v>761.74105199999997</v>
      </c>
      <c r="G1200" s="5">
        <v>585.817452</v>
      </c>
      <c r="H1200" s="6">
        <v>31.034984000000001</v>
      </c>
      <c r="I1200" s="6">
        <v>8.0483469999999997</v>
      </c>
      <c r="J1200" s="11">
        <v>0</v>
      </c>
      <c r="K1200" s="7">
        <f t="shared" si="38"/>
        <v>600.69749475000003</v>
      </c>
      <c r="L1200" s="8">
        <f t="shared" si="39"/>
        <v>13.027777</v>
      </c>
      <c r="M1200" s="9">
        <v>1.2927624148659199E-11</v>
      </c>
      <c r="N1200" s="9">
        <v>3.7674224739507598E-10</v>
      </c>
      <c r="O1200" s="2">
        <v>-5.2280093228830697</v>
      </c>
      <c r="P1200" t="s">
        <v>4429</v>
      </c>
      <c r="Q1200" s="10">
        <f>IF(N1200&lt;='[1]statistical criteria'!$B$2,IF(O1200&gt;=LOG('[1]statistical criteria'!$B$3,2),1,IF(O1200&lt;=-1*LOG('[1]statistical criteria'!$B$3,2),2,"-")),"-")</f>
        <v>2</v>
      </c>
      <c r="R1200" t="s">
        <v>3030</v>
      </c>
    </row>
    <row r="1201" spans="1:21" x14ac:dyDescent="0.35">
      <c r="A1201" t="s">
        <v>4431</v>
      </c>
      <c r="B1201" t="s">
        <v>4432</v>
      </c>
      <c r="C1201">
        <v>1380</v>
      </c>
      <c r="D1201" s="5">
        <v>22.344477000000001</v>
      </c>
      <c r="E1201" s="5">
        <v>36.947011000000003</v>
      </c>
      <c r="F1201" s="5">
        <v>9.9764060000000008</v>
      </c>
      <c r="G1201" s="5">
        <v>28.878392999999999</v>
      </c>
      <c r="H1201" s="6">
        <v>0.84482199999999996</v>
      </c>
      <c r="I1201" s="11">
        <v>0</v>
      </c>
      <c r="J1201" s="11">
        <v>0</v>
      </c>
      <c r="K1201" s="7">
        <f t="shared" si="38"/>
        <v>24.53657175</v>
      </c>
      <c r="L1201" s="8">
        <f t="shared" si="39"/>
        <v>0.28160733333333332</v>
      </c>
      <c r="M1201" s="9">
        <v>2.4544484361490301E-17</v>
      </c>
      <c r="N1201" s="9">
        <v>1.68926414972572E-15</v>
      </c>
      <c r="O1201" s="2">
        <v>-5.2325754272159397</v>
      </c>
      <c r="P1201" t="s">
        <v>4431</v>
      </c>
      <c r="Q1201" s="10">
        <f>IF(N1201&lt;='[1]statistical criteria'!$B$2,IF(O1201&gt;=LOG('[1]statistical criteria'!$B$3,2),1,IF(O1201&lt;=-1*LOG('[1]statistical criteria'!$B$3,2),2,"-")),"-")</f>
        <v>2</v>
      </c>
      <c r="R1201" t="s">
        <v>4433</v>
      </c>
      <c r="S1201" t="s">
        <v>3052</v>
      </c>
      <c r="T1201" s="9">
        <v>1.9999999999999999E-72</v>
      </c>
      <c r="U1201" t="s">
        <v>61</v>
      </c>
    </row>
    <row r="1202" spans="1:21" x14ac:dyDescent="0.35">
      <c r="A1202" t="s">
        <v>4434</v>
      </c>
      <c r="B1202" t="s">
        <v>4435</v>
      </c>
      <c r="C1202">
        <v>1845</v>
      </c>
      <c r="D1202" s="5">
        <v>4.5603109999999996</v>
      </c>
      <c r="E1202" s="5">
        <v>9.2944600000000008</v>
      </c>
      <c r="F1202" s="5">
        <v>13.42793</v>
      </c>
      <c r="G1202" s="5">
        <v>7.3784080000000003</v>
      </c>
      <c r="H1202" s="11">
        <v>0</v>
      </c>
      <c r="I1202" s="11">
        <v>0</v>
      </c>
      <c r="J1202" s="11">
        <v>0</v>
      </c>
      <c r="K1202" s="7">
        <f t="shared" si="38"/>
        <v>8.665277249999999</v>
      </c>
      <c r="L1202" s="8">
        <f t="shared" si="39"/>
        <v>0</v>
      </c>
      <c r="M1202" s="9">
        <v>1.2850714480727299E-8</v>
      </c>
      <c r="N1202" s="9">
        <v>2.2549478706154E-7</v>
      </c>
      <c r="O1202" s="2">
        <v>-5.2413802590674399</v>
      </c>
      <c r="P1202" t="s">
        <v>4434</v>
      </c>
      <c r="Q1202" s="10">
        <f>IF(N1202&lt;='[1]statistical criteria'!$B$2,IF(O1202&gt;=LOG('[1]statistical criteria'!$B$3,2),1,IF(O1202&lt;=-1*LOG('[1]statistical criteria'!$B$3,2),2,"-")),"-")</f>
        <v>2</v>
      </c>
      <c r="R1202" t="s">
        <v>4436</v>
      </c>
      <c r="S1202" t="s">
        <v>4437</v>
      </c>
      <c r="T1202" s="9">
        <v>3E-153</v>
      </c>
      <c r="U1202" t="s">
        <v>4438</v>
      </c>
    </row>
    <row r="1203" spans="1:21" x14ac:dyDescent="0.35">
      <c r="A1203" t="s">
        <v>4439</v>
      </c>
      <c r="B1203" t="s">
        <v>3833</v>
      </c>
      <c r="C1203">
        <v>444</v>
      </c>
      <c r="D1203" s="5">
        <v>25.072883000000001</v>
      </c>
      <c r="E1203" s="5">
        <v>72.826853</v>
      </c>
      <c r="F1203" s="5">
        <v>39.293118</v>
      </c>
      <c r="G1203" s="5">
        <v>43.297569000000003</v>
      </c>
      <c r="H1203" s="6">
        <v>0.39383600000000002</v>
      </c>
      <c r="I1203" s="11">
        <v>0</v>
      </c>
      <c r="J1203" s="6">
        <v>1.1573230000000001</v>
      </c>
      <c r="K1203" s="7">
        <f t="shared" si="38"/>
        <v>45.122605750000005</v>
      </c>
      <c r="L1203" s="8">
        <f t="shared" si="39"/>
        <v>0.5170530000000001</v>
      </c>
      <c r="M1203" s="9">
        <v>9.0676107804262403E-18</v>
      </c>
      <c r="N1203" s="9">
        <v>6.5861310363172303E-16</v>
      </c>
      <c r="O1203" s="2">
        <v>-5.2430810599990796</v>
      </c>
      <c r="P1203" t="s">
        <v>4439</v>
      </c>
      <c r="Q1203" s="10">
        <f>IF(N1203&lt;='[1]statistical criteria'!$B$2,IF(O1203&gt;=LOG('[1]statistical criteria'!$B$3,2),1,IF(O1203&lt;=-1*LOG('[1]statistical criteria'!$B$3,2),2,"-")),"-")</f>
        <v>2</v>
      </c>
    </row>
    <row r="1204" spans="1:21" x14ac:dyDescent="0.35">
      <c r="A1204" t="s">
        <v>4440</v>
      </c>
      <c r="B1204" t="s">
        <v>4441</v>
      </c>
      <c r="C1204">
        <v>888</v>
      </c>
      <c r="D1204" s="5">
        <v>4.7647209999999998</v>
      </c>
      <c r="E1204" s="5">
        <v>12.853982999999999</v>
      </c>
      <c r="F1204" s="5">
        <v>3.9537969999999998</v>
      </c>
      <c r="G1204" s="5">
        <v>8.0690609999999996</v>
      </c>
      <c r="H1204" s="11">
        <v>0</v>
      </c>
      <c r="I1204" s="11">
        <v>0</v>
      </c>
      <c r="J1204" s="11">
        <v>0</v>
      </c>
      <c r="K1204" s="7">
        <f t="shared" si="38"/>
        <v>7.4103905000000001</v>
      </c>
      <c r="L1204" s="8">
        <f t="shared" si="39"/>
        <v>0</v>
      </c>
      <c r="M1204" s="9">
        <v>8.7229785898015194E-11</v>
      </c>
      <c r="N1204" s="9">
        <v>2.2296612835987E-9</v>
      </c>
      <c r="O1204" s="2">
        <v>-5.2430860595333302</v>
      </c>
      <c r="P1204" t="s">
        <v>4440</v>
      </c>
      <c r="Q1204" s="10">
        <f>IF(N1204&lt;='[1]statistical criteria'!$B$2,IF(O1204&gt;=LOG('[1]statistical criteria'!$B$3,2),1,IF(O1204&lt;=-1*LOG('[1]statistical criteria'!$B$3,2),2,"-")),"-")</f>
        <v>2</v>
      </c>
      <c r="R1204" t="s">
        <v>611</v>
      </c>
    </row>
    <row r="1205" spans="1:21" x14ac:dyDescent="0.35">
      <c r="A1205" t="s">
        <v>4442</v>
      </c>
      <c r="B1205" t="s">
        <v>4443</v>
      </c>
      <c r="C1205">
        <v>675</v>
      </c>
      <c r="D1205" s="5">
        <v>8.0217960000000001</v>
      </c>
      <c r="E1205" s="5">
        <v>11.653738000000001</v>
      </c>
      <c r="F1205" s="5">
        <v>13.926843999999999</v>
      </c>
      <c r="G1205" s="5">
        <v>7.0240150000000003</v>
      </c>
      <c r="H1205" s="11">
        <v>0</v>
      </c>
      <c r="I1205" s="11">
        <v>0</v>
      </c>
      <c r="J1205" s="11">
        <v>0</v>
      </c>
      <c r="K1205" s="7">
        <f t="shared" si="38"/>
        <v>10.15659825</v>
      </c>
      <c r="L1205" s="8">
        <f t="shared" si="39"/>
        <v>0</v>
      </c>
      <c r="M1205" s="9">
        <v>6.0286742199049799E-9</v>
      </c>
      <c r="N1205" s="9">
        <v>1.12531309862474E-7</v>
      </c>
      <c r="O1205" s="2">
        <v>-5.2474227786446397</v>
      </c>
      <c r="P1205" t="s">
        <v>4442</v>
      </c>
      <c r="Q1205" s="10">
        <f>IF(N1205&lt;='[1]statistical criteria'!$B$2,IF(O1205&gt;=LOG('[1]statistical criteria'!$B$3,2),1,IF(O1205&lt;=-1*LOG('[1]statistical criteria'!$B$3,2),2,"-")),"-")</f>
        <v>2</v>
      </c>
      <c r="R1205" t="s">
        <v>4022</v>
      </c>
      <c r="S1205" t="s">
        <v>4023</v>
      </c>
      <c r="T1205" s="9">
        <v>2.9999999999999997E-4</v>
      </c>
      <c r="U1205" t="s">
        <v>4024</v>
      </c>
    </row>
    <row r="1206" spans="1:21" x14ac:dyDescent="0.35">
      <c r="A1206" t="s">
        <v>4444</v>
      </c>
      <c r="B1206" t="s">
        <v>4445</v>
      </c>
      <c r="C1206">
        <v>546</v>
      </c>
      <c r="D1206" s="5">
        <v>21.027211000000001</v>
      </c>
      <c r="E1206" s="5">
        <v>8.0965349999999994</v>
      </c>
      <c r="F1206" s="5">
        <v>14.123195000000001</v>
      </c>
      <c r="G1206" s="5">
        <v>25.818549999999998</v>
      </c>
      <c r="H1206" s="11">
        <v>0</v>
      </c>
      <c r="I1206" s="11">
        <v>0</v>
      </c>
      <c r="J1206" s="11">
        <v>0</v>
      </c>
      <c r="K1206" s="7">
        <f t="shared" si="38"/>
        <v>17.266372749999999</v>
      </c>
      <c r="L1206" s="8">
        <f t="shared" si="39"/>
        <v>0</v>
      </c>
      <c r="M1206" s="9">
        <v>3.21675898079306E-16</v>
      </c>
      <c r="N1206" s="9">
        <v>1.8549976789239999E-14</v>
      </c>
      <c r="O1206" s="2">
        <v>-5.2514412133511001</v>
      </c>
      <c r="P1206" t="s">
        <v>4444</v>
      </c>
      <c r="Q1206" s="10">
        <f>IF(N1206&lt;='[1]statistical criteria'!$B$2,IF(O1206&gt;=LOG('[1]statistical criteria'!$B$3,2),1,IF(O1206&lt;=-1*LOG('[1]statistical criteria'!$B$3,2),2,"-")),"-")</f>
        <v>2</v>
      </c>
      <c r="R1206" t="s">
        <v>4446</v>
      </c>
      <c r="S1206" t="s">
        <v>4447</v>
      </c>
      <c r="T1206" s="9">
        <v>4.0000000000000001E-53</v>
      </c>
      <c r="U1206" t="s">
        <v>4448</v>
      </c>
    </row>
    <row r="1207" spans="1:21" x14ac:dyDescent="0.35">
      <c r="A1207" t="s">
        <v>4449</v>
      </c>
      <c r="B1207" t="s">
        <v>4450</v>
      </c>
      <c r="C1207">
        <v>8668</v>
      </c>
      <c r="D1207" s="5">
        <v>3.29312</v>
      </c>
      <c r="E1207" s="5">
        <v>2.2652299999999999</v>
      </c>
      <c r="F1207" s="5">
        <v>2.3459590000000001</v>
      </c>
      <c r="G1207" s="5">
        <v>1.873694</v>
      </c>
      <c r="H1207" s="11">
        <v>0</v>
      </c>
      <c r="I1207" s="6">
        <v>0.14696999999999999</v>
      </c>
      <c r="J1207" s="11">
        <v>0</v>
      </c>
      <c r="K1207" s="7">
        <f t="shared" si="38"/>
        <v>2.44450075</v>
      </c>
      <c r="L1207" s="8">
        <f t="shared" si="39"/>
        <v>4.8989999999999999E-2</v>
      </c>
      <c r="M1207" s="9">
        <v>2.75736866373345E-16</v>
      </c>
      <c r="N1207" s="9">
        <v>1.6145454052568499E-14</v>
      </c>
      <c r="O1207" s="2">
        <v>-5.26144172915438</v>
      </c>
      <c r="P1207" t="s">
        <v>4449</v>
      </c>
      <c r="Q1207" s="10">
        <f>IF(N1207&lt;='[1]statistical criteria'!$B$2,IF(O1207&gt;=LOG('[1]statistical criteria'!$B$3,2),1,IF(O1207&lt;=-1*LOG('[1]statistical criteria'!$B$3,2),2,"-")),"-")</f>
        <v>2</v>
      </c>
      <c r="R1207" t="s">
        <v>3255</v>
      </c>
      <c r="S1207" t="s">
        <v>3256</v>
      </c>
      <c r="T1207">
        <v>0</v>
      </c>
      <c r="U1207" t="s">
        <v>3257</v>
      </c>
    </row>
    <row r="1208" spans="1:21" x14ac:dyDescent="0.35">
      <c r="A1208" t="s">
        <v>4451</v>
      </c>
      <c r="B1208" t="s">
        <v>4191</v>
      </c>
      <c r="C1208">
        <v>249</v>
      </c>
      <c r="D1208" s="5">
        <v>369.74724900000001</v>
      </c>
      <c r="E1208" s="5">
        <v>566.07863799999996</v>
      </c>
      <c r="F1208" s="5">
        <v>403.828307</v>
      </c>
      <c r="G1208" s="5">
        <v>247.86691300000001</v>
      </c>
      <c r="H1208" s="11">
        <v>0</v>
      </c>
      <c r="I1208" s="11">
        <v>0</v>
      </c>
      <c r="J1208" s="6">
        <v>40.402388999999999</v>
      </c>
      <c r="K1208" s="7">
        <f t="shared" si="38"/>
        <v>396.88027675000001</v>
      </c>
      <c r="L1208" s="8">
        <f t="shared" si="39"/>
        <v>13.467463</v>
      </c>
      <c r="M1208" s="9">
        <v>1.05366367132187E-10</v>
      </c>
      <c r="N1208" s="9">
        <v>2.6646139090039999E-9</v>
      </c>
      <c r="O1208" s="2">
        <v>-5.2678243923182801</v>
      </c>
      <c r="P1208" t="s">
        <v>4451</v>
      </c>
      <c r="Q1208" s="10">
        <f>IF(N1208&lt;='[1]statistical criteria'!$B$2,IF(O1208&gt;=LOG('[1]statistical criteria'!$B$3,2),1,IF(O1208&lt;=-1*LOG('[1]statistical criteria'!$B$3,2),2,"-")),"-")</f>
        <v>2</v>
      </c>
    </row>
    <row r="1209" spans="1:21" x14ac:dyDescent="0.35">
      <c r="A1209" t="s">
        <v>4452</v>
      </c>
      <c r="B1209" t="s">
        <v>4453</v>
      </c>
      <c r="C1209">
        <v>670</v>
      </c>
      <c r="D1209" s="5">
        <v>346.69948399999998</v>
      </c>
      <c r="E1209" s="5">
        <v>306.92046900000003</v>
      </c>
      <c r="F1209" s="5">
        <v>250.63086899999999</v>
      </c>
      <c r="G1209" s="5">
        <v>340.46125799999999</v>
      </c>
      <c r="H1209" s="6">
        <v>5.073258</v>
      </c>
      <c r="I1209" s="6">
        <v>15.755978000000001</v>
      </c>
      <c r="J1209" s="11">
        <v>0</v>
      </c>
      <c r="K1209" s="7">
        <f t="shared" si="38"/>
        <v>311.17802</v>
      </c>
      <c r="L1209" s="8">
        <f t="shared" si="39"/>
        <v>6.9430786666666675</v>
      </c>
      <c r="M1209" s="9">
        <v>6.3179122926014799E-12</v>
      </c>
      <c r="N1209" s="9">
        <v>1.92060496690425E-10</v>
      </c>
      <c r="O1209" s="2">
        <v>-5.2709111175480299</v>
      </c>
      <c r="P1209" t="s">
        <v>4452</v>
      </c>
      <c r="Q1209" s="10">
        <f>IF(N1209&lt;='[1]statistical criteria'!$B$2,IF(O1209&gt;=LOG('[1]statistical criteria'!$B$3,2),1,IF(O1209&lt;=-1*LOG('[1]statistical criteria'!$B$3,2),2,"-")),"-")</f>
        <v>2</v>
      </c>
      <c r="R1209" t="s">
        <v>49</v>
      </c>
      <c r="S1209" t="s">
        <v>4454</v>
      </c>
      <c r="T1209" s="9">
        <v>1E-42</v>
      </c>
      <c r="U1209" t="s">
        <v>53</v>
      </c>
    </row>
    <row r="1210" spans="1:21" x14ac:dyDescent="0.35">
      <c r="A1210" t="s">
        <v>4455</v>
      </c>
      <c r="B1210" t="s">
        <v>4456</v>
      </c>
      <c r="C1210">
        <v>1914</v>
      </c>
      <c r="D1210" s="5">
        <v>13.563374</v>
      </c>
      <c r="E1210" s="5">
        <v>9.363702</v>
      </c>
      <c r="F1210" s="5">
        <v>15.745234</v>
      </c>
      <c r="G1210" s="5">
        <v>8.2824729999999995</v>
      </c>
      <c r="H1210" s="6">
        <v>0.20674000000000001</v>
      </c>
      <c r="I1210" s="11">
        <v>0</v>
      </c>
      <c r="J1210" s="11">
        <v>0</v>
      </c>
      <c r="K1210" s="7">
        <f t="shared" si="38"/>
        <v>11.738695749999998</v>
      </c>
      <c r="L1210" s="8">
        <f t="shared" si="39"/>
        <v>6.891333333333334E-2</v>
      </c>
      <c r="M1210" s="9">
        <v>3.9146822379137104E-12</v>
      </c>
      <c r="N1210" s="9">
        <v>1.22830013169823E-10</v>
      </c>
      <c r="O1210" s="2">
        <v>-5.2756687166613396</v>
      </c>
      <c r="P1210" t="s">
        <v>4455</v>
      </c>
      <c r="Q1210" s="10">
        <f>IF(N1210&lt;='[1]statistical criteria'!$B$2,IF(O1210&gt;=LOG('[1]statistical criteria'!$B$3,2),1,IF(O1210&lt;=-1*LOG('[1]statistical criteria'!$B$3,2),2,"-")),"-")</f>
        <v>2</v>
      </c>
      <c r="R1210" t="s">
        <v>1792</v>
      </c>
      <c r="S1210" t="s">
        <v>4457</v>
      </c>
      <c r="T1210">
        <v>0</v>
      </c>
      <c r="U1210" t="s">
        <v>3397</v>
      </c>
    </row>
    <row r="1211" spans="1:21" x14ac:dyDescent="0.35">
      <c r="A1211" t="s">
        <v>4458</v>
      </c>
      <c r="B1211" t="s">
        <v>4459</v>
      </c>
      <c r="C1211">
        <v>429</v>
      </c>
      <c r="D1211" s="5">
        <v>49.759335999999998</v>
      </c>
      <c r="E1211" s="5">
        <v>175.18291300000001</v>
      </c>
      <c r="F1211" s="5">
        <v>142.83531600000001</v>
      </c>
      <c r="G1211" s="5">
        <v>168.167316</v>
      </c>
      <c r="H1211" s="11">
        <v>0</v>
      </c>
      <c r="I1211" s="11">
        <v>0</v>
      </c>
      <c r="J1211" s="6">
        <v>14.87562</v>
      </c>
      <c r="K1211" s="7">
        <f t="shared" si="38"/>
        <v>133.98622025</v>
      </c>
      <c r="L1211" s="8">
        <f t="shared" si="39"/>
        <v>4.9585400000000002</v>
      </c>
      <c r="M1211" s="9">
        <v>5.2577601577792304E-7</v>
      </c>
      <c r="N1211" s="9">
        <v>6.4656010211656701E-6</v>
      </c>
      <c r="O1211" s="2">
        <v>-5.2774488703918596</v>
      </c>
      <c r="P1211" t="s">
        <v>4458</v>
      </c>
      <c r="Q1211" s="10">
        <f>IF(N1211&lt;='[1]statistical criteria'!$B$2,IF(O1211&gt;=LOG('[1]statistical criteria'!$B$3,2),1,IF(O1211&lt;=-1*LOG('[1]statistical criteria'!$B$3,2),2,"-")),"-")</f>
        <v>2</v>
      </c>
    </row>
    <row r="1212" spans="1:21" x14ac:dyDescent="0.35">
      <c r="A1212" t="s">
        <v>4460</v>
      </c>
      <c r="B1212" t="s">
        <v>4461</v>
      </c>
      <c r="C1212">
        <v>570</v>
      </c>
      <c r="D1212" s="5">
        <v>79.297811999999993</v>
      </c>
      <c r="E1212" s="5">
        <v>55.273316000000001</v>
      </c>
      <c r="F1212" s="5">
        <v>65.215618000000006</v>
      </c>
      <c r="G1212" s="5">
        <v>82.061347999999995</v>
      </c>
      <c r="H1212" s="11">
        <v>0</v>
      </c>
      <c r="I1212" s="6">
        <v>10.680673000000001</v>
      </c>
      <c r="J1212" s="11">
        <v>0</v>
      </c>
      <c r="K1212" s="7">
        <f t="shared" si="38"/>
        <v>70.462023500000001</v>
      </c>
      <c r="L1212" s="8">
        <f t="shared" si="39"/>
        <v>3.5602243333333337</v>
      </c>
      <c r="M1212" s="9">
        <v>4.5777976305641899E-12</v>
      </c>
      <c r="N1212" s="9">
        <v>1.4188190376162301E-10</v>
      </c>
      <c r="O1212" s="2">
        <v>-5.2804153645071699</v>
      </c>
      <c r="P1212" t="s">
        <v>4460</v>
      </c>
      <c r="Q1212" s="10">
        <f>IF(N1212&lt;='[1]statistical criteria'!$B$2,IF(O1212&gt;=LOG('[1]statistical criteria'!$B$3,2),1,IF(O1212&lt;=-1*LOG('[1]statistical criteria'!$B$3,2),2,"-")),"-")</f>
        <v>2</v>
      </c>
      <c r="R1212" t="s">
        <v>4271</v>
      </c>
    </row>
    <row r="1213" spans="1:21" x14ac:dyDescent="0.35">
      <c r="A1213" t="s">
        <v>4462</v>
      </c>
      <c r="B1213" t="s">
        <v>4463</v>
      </c>
      <c r="C1213">
        <v>1035</v>
      </c>
      <c r="D1213" s="5">
        <v>5.8574669999999998</v>
      </c>
      <c r="E1213" s="5">
        <v>5.5850379999999999</v>
      </c>
      <c r="F1213" s="5">
        <v>5.548451</v>
      </c>
      <c r="G1213" s="5">
        <v>7.097016</v>
      </c>
      <c r="H1213" s="11">
        <v>0</v>
      </c>
      <c r="I1213" s="11">
        <v>0</v>
      </c>
      <c r="J1213" s="11">
        <v>0</v>
      </c>
      <c r="K1213" s="7">
        <f t="shared" si="38"/>
        <v>6.0219930000000002</v>
      </c>
      <c r="L1213" s="8">
        <f t="shared" si="39"/>
        <v>0</v>
      </c>
      <c r="M1213" s="9">
        <v>3.9986146652541697E-14</v>
      </c>
      <c r="N1213" s="9">
        <v>1.7023185029035101E-12</v>
      </c>
      <c r="O1213" s="2">
        <v>-5.2830237753929898</v>
      </c>
      <c r="P1213" t="s">
        <v>4462</v>
      </c>
      <c r="Q1213" s="10">
        <f>IF(N1213&lt;='[1]statistical criteria'!$B$2,IF(O1213&gt;=LOG('[1]statistical criteria'!$B$3,2),1,IF(O1213&lt;=-1*LOG('[1]statistical criteria'!$B$3,2),2,"-")),"-")</f>
        <v>2</v>
      </c>
      <c r="R1213" t="s">
        <v>4464</v>
      </c>
      <c r="S1213" t="s">
        <v>4465</v>
      </c>
      <c r="T1213" s="9">
        <v>2.9999999999999998E-137</v>
      </c>
      <c r="U1213" t="s">
        <v>4466</v>
      </c>
    </row>
    <row r="1214" spans="1:21" x14ac:dyDescent="0.35">
      <c r="A1214" t="s">
        <v>4467</v>
      </c>
      <c r="B1214" t="s">
        <v>4468</v>
      </c>
      <c r="C1214">
        <v>2043</v>
      </c>
      <c r="D1214" s="5">
        <v>13.016002</v>
      </c>
      <c r="E1214" s="5">
        <v>10.181654999999999</v>
      </c>
      <c r="F1214" s="5">
        <v>4.1069050000000002</v>
      </c>
      <c r="G1214" s="5">
        <v>3.5242960000000001</v>
      </c>
      <c r="H1214" s="11">
        <v>0</v>
      </c>
      <c r="I1214" s="11">
        <v>0</v>
      </c>
      <c r="J1214" s="11">
        <v>0</v>
      </c>
      <c r="K1214" s="7">
        <f t="shared" si="38"/>
        <v>7.7072145000000001</v>
      </c>
      <c r="L1214" s="8">
        <f t="shared" si="39"/>
        <v>0</v>
      </c>
      <c r="M1214" s="9">
        <v>7.6863925977460099E-10</v>
      </c>
      <c r="N1214" s="9">
        <v>1.68516187943671E-8</v>
      </c>
      <c r="O1214" s="2">
        <v>-5.28582454125951</v>
      </c>
      <c r="P1214" t="s">
        <v>4467</v>
      </c>
      <c r="Q1214" s="10">
        <f>IF(N1214&lt;='[1]statistical criteria'!$B$2,IF(O1214&gt;=LOG('[1]statistical criteria'!$B$3,2),1,IF(O1214&lt;=-1*LOG('[1]statistical criteria'!$B$3,2),2,"-")),"-")</f>
        <v>2</v>
      </c>
      <c r="R1214" t="s">
        <v>4183</v>
      </c>
      <c r="S1214" t="s">
        <v>4184</v>
      </c>
      <c r="T1214">
        <v>0</v>
      </c>
      <c r="U1214" t="s">
        <v>4185</v>
      </c>
    </row>
    <row r="1215" spans="1:21" x14ac:dyDescent="0.35">
      <c r="A1215" t="s">
        <v>4469</v>
      </c>
      <c r="B1215" t="s">
        <v>4470</v>
      </c>
      <c r="C1215">
        <v>2823</v>
      </c>
      <c r="D1215" s="5">
        <v>4.1816589999999998</v>
      </c>
      <c r="E1215" s="5">
        <v>4.345707</v>
      </c>
      <c r="F1215" s="5">
        <v>2.7665959999999998</v>
      </c>
      <c r="G1215" s="5">
        <v>4.5444500000000003</v>
      </c>
      <c r="H1215" s="11">
        <v>0</v>
      </c>
      <c r="I1215" s="11">
        <v>0</v>
      </c>
      <c r="J1215" s="11">
        <v>0</v>
      </c>
      <c r="K1215" s="7">
        <f t="shared" si="38"/>
        <v>3.9596030000000004</v>
      </c>
      <c r="L1215" s="8">
        <f t="shared" si="39"/>
        <v>0</v>
      </c>
      <c r="M1215" s="9">
        <v>3.16947091962691E-18</v>
      </c>
      <c r="N1215" s="9">
        <v>2.4975168364596301E-16</v>
      </c>
      <c r="O1215" s="2">
        <v>-5.29657572430329</v>
      </c>
      <c r="P1215" t="s">
        <v>4469</v>
      </c>
      <c r="Q1215" s="10">
        <f>IF(N1215&lt;='[1]statistical criteria'!$B$2,IF(O1215&gt;=LOG('[1]statistical criteria'!$B$3,2),1,IF(O1215&lt;=-1*LOG('[1]statistical criteria'!$B$3,2),2,"-")),"-")</f>
        <v>2</v>
      </c>
      <c r="R1215" t="s">
        <v>4471</v>
      </c>
      <c r="S1215" t="s">
        <v>4472</v>
      </c>
      <c r="T1215">
        <v>0</v>
      </c>
      <c r="U1215" t="s">
        <v>4473</v>
      </c>
    </row>
    <row r="1216" spans="1:21" x14ac:dyDescent="0.35">
      <c r="A1216" t="s">
        <v>4474</v>
      </c>
      <c r="B1216" t="s">
        <v>4475</v>
      </c>
      <c r="C1216">
        <v>2628</v>
      </c>
      <c r="D1216" s="5">
        <v>4.6911560000000003</v>
      </c>
      <c r="E1216" s="5">
        <v>7.2044009999999998</v>
      </c>
      <c r="F1216" s="5">
        <v>3.2363900000000001</v>
      </c>
      <c r="G1216" s="5">
        <v>3.3013880000000002</v>
      </c>
      <c r="H1216" s="11">
        <v>0</v>
      </c>
      <c r="I1216" s="11">
        <v>0</v>
      </c>
      <c r="J1216" s="11">
        <v>0</v>
      </c>
      <c r="K1216" s="7">
        <f t="shared" si="38"/>
        <v>4.6083337499999999</v>
      </c>
      <c r="L1216" s="8">
        <f t="shared" si="39"/>
        <v>0</v>
      </c>
      <c r="M1216" s="9">
        <v>3.03148813500616E-14</v>
      </c>
      <c r="N1216" s="9">
        <v>1.3066640817478401E-12</v>
      </c>
      <c r="O1216" s="2">
        <v>-5.2986871666966797</v>
      </c>
      <c r="P1216" t="s">
        <v>4474</v>
      </c>
      <c r="Q1216" s="10">
        <f>IF(N1216&lt;='[1]statistical criteria'!$B$2,IF(O1216&gt;=LOG('[1]statistical criteria'!$B$3,2),1,IF(O1216&lt;=-1*LOG('[1]statistical criteria'!$B$3,2),2,"-")),"-")</f>
        <v>2</v>
      </c>
      <c r="R1216" t="s">
        <v>4262</v>
      </c>
      <c r="S1216" t="s">
        <v>4263</v>
      </c>
      <c r="T1216">
        <v>0</v>
      </c>
      <c r="U1216" t="s">
        <v>3627</v>
      </c>
    </row>
    <row r="1217" spans="1:21" x14ac:dyDescent="0.35">
      <c r="A1217" t="s">
        <v>4476</v>
      </c>
      <c r="B1217" t="s">
        <v>4477</v>
      </c>
      <c r="C1217">
        <v>1143</v>
      </c>
      <c r="D1217" s="5">
        <v>13.565203</v>
      </c>
      <c r="E1217" s="5">
        <v>4.9375710000000002</v>
      </c>
      <c r="F1217" s="5">
        <v>10.020534</v>
      </c>
      <c r="G1217" s="5">
        <v>12.840285</v>
      </c>
      <c r="H1217" s="11">
        <v>0</v>
      </c>
      <c r="I1217" s="11">
        <v>0</v>
      </c>
      <c r="J1217" s="11">
        <v>0</v>
      </c>
      <c r="K1217" s="7">
        <f t="shared" si="38"/>
        <v>10.34089825</v>
      </c>
      <c r="L1217" s="8">
        <f t="shared" si="39"/>
        <v>0</v>
      </c>
      <c r="M1217" s="9">
        <v>1.2901432569606299E-13</v>
      </c>
      <c r="N1217" s="9">
        <v>5.1148804541585103E-12</v>
      </c>
      <c r="O1217" s="2">
        <v>-5.3067940734013801</v>
      </c>
      <c r="P1217" t="s">
        <v>4476</v>
      </c>
      <c r="Q1217" s="10">
        <f>IF(N1217&lt;='[1]statistical criteria'!$B$2,IF(O1217&gt;=LOG('[1]statistical criteria'!$B$3,2),1,IF(O1217&lt;=-1*LOG('[1]statistical criteria'!$B$3,2),2,"-")),"-")</f>
        <v>2</v>
      </c>
      <c r="R1217" t="s">
        <v>4038</v>
      </c>
      <c r="S1217" t="s">
        <v>4478</v>
      </c>
      <c r="T1217" s="9">
        <v>6.9999999999999999E-23</v>
      </c>
      <c r="U1217" t="s">
        <v>4479</v>
      </c>
    </row>
    <row r="1218" spans="1:21" x14ac:dyDescent="0.35">
      <c r="A1218" t="s">
        <v>4480</v>
      </c>
      <c r="B1218" t="s">
        <v>4481</v>
      </c>
      <c r="C1218">
        <v>1185</v>
      </c>
      <c r="D1218" s="5">
        <v>6.209104</v>
      </c>
      <c r="E1218" s="5">
        <v>9.4919539999999998</v>
      </c>
      <c r="F1218" s="5">
        <v>5.3979710000000001</v>
      </c>
      <c r="G1218" s="5">
        <v>6.5979380000000001</v>
      </c>
      <c r="H1218" s="11">
        <v>0</v>
      </c>
      <c r="I1218" s="11">
        <v>0</v>
      </c>
      <c r="J1218" s="11">
        <v>0</v>
      </c>
      <c r="K1218" s="7">
        <f t="shared" si="38"/>
        <v>6.9242417500000002</v>
      </c>
      <c r="L1218" s="8">
        <f t="shared" si="39"/>
        <v>0</v>
      </c>
      <c r="M1218" s="9">
        <v>9.7596715947579996E-12</v>
      </c>
      <c r="N1218" s="9">
        <v>2.8839526467118698E-10</v>
      </c>
      <c r="O1218" s="2">
        <v>-5.3079876821162797</v>
      </c>
      <c r="P1218" t="s">
        <v>4480</v>
      </c>
      <c r="Q1218" s="10">
        <f>IF(N1218&lt;='[1]statistical criteria'!$B$2,IF(O1218&gt;=LOG('[1]statistical criteria'!$B$3,2),1,IF(O1218&lt;=-1*LOG('[1]statistical criteria'!$B$3,2),2,"-")),"-")</f>
        <v>2</v>
      </c>
      <c r="R1218" t="s">
        <v>1898</v>
      </c>
      <c r="S1218" t="s">
        <v>1899</v>
      </c>
      <c r="T1218" s="9">
        <v>1.9999999999999999E-151</v>
      </c>
      <c r="U1218" t="s">
        <v>1900</v>
      </c>
    </row>
    <row r="1219" spans="1:21" x14ac:dyDescent="0.35">
      <c r="A1219" t="s">
        <v>4482</v>
      </c>
      <c r="B1219" t="s">
        <v>4483</v>
      </c>
      <c r="C1219">
        <v>387</v>
      </c>
      <c r="D1219" s="5">
        <v>53.391280000000002</v>
      </c>
      <c r="E1219" s="5">
        <v>23.651774</v>
      </c>
      <c r="F1219" s="5">
        <v>15.389068</v>
      </c>
      <c r="G1219" s="5">
        <v>45.915089999999999</v>
      </c>
      <c r="H1219" s="11">
        <v>0</v>
      </c>
      <c r="I1219" s="11">
        <v>0</v>
      </c>
      <c r="J1219" s="11">
        <v>0</v>
      </c>
      <c r="K1219" s="7">
        <f t="shared" si="38"/>
        <v>34.586802999999996</v>
      </c>
      <c r="L1219" s="8">
        <f t="shared" si="39"/>
        <v>0</v>
      </c>
      <c r="M1219" s="9">
        <v>1.8603311264992899E-15</v>
      </c>
      <c r="N1219" s="9">
        <v>9.5810829058948502E-14</v>
      </c>
      <c r="O1219" s="2">
        <v>-5.31133371370401</v>
      </c>
      <c r="P1219" t="s">
        <v>4482</v>
      </c>
      <c r="Q1219" s="10">
        <f>IF(N1219&lt;='[1]statistical criteria'!$B$2,IF(O1219&gt;=LOG('[1]statistical criteria'!$B$3,2),1,IF(O1219&lt;=-1*LOG('[1]statistical criteria'!$B$3,2),2,"-")),"-")</f>
        <v>2</v>
      </c>
    </row>
    <row r="1220" spans="1:21" x14ac:dyDescent="0.35">
      <c r="A1220" t="s">
        <v>4484</v>
      </c>
      <c r="B1220" t="s">
        <v>4485</v>
      </c>
      <c r="C1220">
        <v>246</v>
      </c>
      <c r="D1220" s="5">
        <v>49.318159999999999</v>
      </c>
      <c r="E1220" s="5">
        <v>187.82756000000001</v>
      </c>
      <c r="F1220" s="5">
        <v>106.240442</v>
      </c>
      <c r="G1220" s="5">
        <v>86.698582000000002</v>
      </c>
      <c r="H1220" s="11">
        <v>0</v>
      </c>
      <c r="I1220" s="11">
        <v>0</v>
      </c>
      <c r="J1220" s="11">
        <v>0</v>
      </c>
      <c r="K1220" s="7">
        <f t="shared" si="38"/>
        <v>107.521186</v>
      </c>
      <c r="L1220" s="8">
        <f t="shared" si="39"/>
        <v>0</v>
      </c>
      <c r="M1220" s="9">
        <v>1.0872862997247801E-15</v>
      </c>
      <c r="N1220" s="9">
        <v>5.7794169120808998E-14</v>
      </c>
      <c r="O1220" s="2">
        <v>-5.3157182498022104</v>
      </c>
      <c r="P1220" t="s">
        <v>4484</v>
      </c>
      <c r="Q1220" s="10">
        <f>IF(N1220&lt;='[1]statistical criteria'!$B$2,IF(O1220&gt;=LOG('[1]statistical criteria'!$B$3,2),1,IF(O1220&lt;=-1*LOG('[1]statistical criteria'!$B$3,2),2,"-")),"-")</f>
        <v>2</v>
      </c>
      <c r="R1220" t="s">
        <v>3030</v>
      </c>
    </row>
    <row r="1221" spans="1:21" x14ac:dyDescent="0.35">
      <c r="A1221" t="s">
        <v>4486</v>
      </c>
      <c r="B1221" t="s">
        <v>4487</v>
      </c>
      <c r="C1221">
        <v>387</v>
      </c>
      <c r="D1221" s="5">
        <v>11.352841</v>
      </c>
      <c r="E1221" s="5">
        <v>43.529162999999997</v>
      </c>
      <c r="F1221" s="5">
        <v>16.964732000000001</v>
      </c>
      <c r="G1221" s="5">
        <v>23.727633000000001</v>
      </c>
      <c r="H1221" s="11">
        <v>0</v>
      </c>
      <c r="I1221" s="11">
        <v>0</v>
      </c>
      <c r="J1221" s="11">
        <v>0</v>
      </c>
      <c r="K1221" s="7">
        <f t="shared" si="38"/>
        <v>23.893592249999998</v>
      </c>
      <c r="L1221" s="8">
        <f t="shared" si="39"/>
        <v>0</v>
      </c>
      <c r="M1221" s="9">
        <v>7.8667669981830006E-11</v>
      </c>
      <c r="N1221" s="9">
        <v>2.0230348104786798E-9</v>
      </c>
      <c r="O1221" s="2">
        <v>-5.3164140611662001</v>
      </c>
      <c r="P1221" t="s">
        <v>4486</v>
      </c>
      <c r="Q1221" s="10">
        <f>IF(N1221&lt;='[1]statistical criteria'!$B$2,IF(O1221&gt;=LOG('[1]statistical criteria'!$B$3,2),1,IF(O1221&lt;=-1*LOG('[1]statistical criteria'!$B$3,2),2,"-")),"-")</f>
        <v>2</v>
      </c>
      <c r="R1221" t="s">
        <v>3905</v>
      </c>
      <c r="S1221" t="s">
        <v>3906</v>
      </c>
      <c r="T1221" s="9">
        <v>5E-42</v>
      </c>
      <c r="U1221" t="s">
        <v>3907</v>
      </c>
    </row>
    <row r="1222" spans="1:21" x14ac:dyDescent="0.35">
      <c r="A1222" t="s">
        <v>4488</v>
      </c>
      <c r="B1222" t="s">
        <v>4489</v>
      </c>
      <c r="C1222">
        <v>2259</v>
      </c>
      <c r="D1222" s="5">
        <v>8.2074459999999991</v>
      </c>
      <c r="E1222" s="5">
        <v>3.4802659999999999</v>
      </c>
      <c r="F1222" s="5">
        <v>6.9415430000000002</v>
      </c>
      <c r="G1222" s="5">
        <v>4.49892</v>
      </c>
      <c r="H1222" s="11">
        <v>0</v>
      </c>
      <c r="I1222" s="11">
        <v>0</v>
      </c>
      <c r="J1222" s="11">
        <v>0</v>
      </c>
      <c r="K1222" s="7">
        <f t="shared" si="38"/>
        <v>5.7820437499999997</v>
      </c>
      <c r="L1222" s="8">
        <f t="shared" si="39"/>
        <v>0</v>
      </c>
      <c r="M1222" s="9">
        <v>1.6050455555807301E-12</v>
      </c>
      <c r="N1222" s="9">
        <v>5.3398630983743499E-11</v>
      </c>
      <c r="O1222" s="2">
        <v>-5.3182613393990996</v>
      </c>
      <c r="P1222" t="s">
        <v>4488</v>
      </c>
      <c r="Q1222" s="10">
        <f>IF(N1222&lt;='[1]statistical criteria'!$B$2,IF(O1222&gt;=LOG('[1]statistical criteria'!$B$3,2),1,IF(O1222&lt;=-1*LOG('[1]statistical criteria'!$B$3,2),2,"-")),"-")</f>
        <v>2</v>
      </c>
      <c r="R1222" t="s">
        <v>4490</v>
      </c>
      <c r="S1222" t="s">
        <v>4491</v>
      </c>
      <c r="T1222">
        <v>0</v>
      </c>
      <c r="U1222" t="s">
        <v>880</v>
      </c>
    </row>
    <row r="1223" spans="1:21" x14ac:dyDescent="0.35">
      <c r="A1223" t="s">
        <v>4492</v>
      </c>
      <c r="B1223" t="s">
        <v>4493</v>
      </c>
      <c r="C1223">
        <v>786</v>
      </c>
      <c r="D1223" s="5">
        <v>3.4448880000000002</v>
      </c>
      <c r="E1223" s="5">
        <v>20.231952</v>
      </c>
      <c r="F1223" s="5">
        <v>16.497741999999999</v>
      </c>
      <c r="G1223" s="5">
        <v>7.0929669999999998</v>
      </c>
      <c r="H1223" s="11">
        <v>0</v>
      </c>
      <c r="I1223" s="11">
        <v>0</v>
      </c>
      <c r="J1223" s="11">
        <v>0</v>
      </c>
      <c r="K1223" s="7">
        <f t="shared" si="38"/>
        <v>11.816887250000001</v>
      </c>
      <c r="L1223" s="8">
        <f t="shared" si="39"/>
        <v>0</v>
      </c>
      <c r="M1223" s="9">
        <v>1.04496174191526E-11</v>
      </c>
      <c r="N1223" s="9">
        <v>3.0735118931448798E-10</v>
      </c>
      <c r="O1223" s="2">
        <v>-5.3193728025934304</v>
      </c>
      <c r="P1223" t="s">
        <v>4492</v>
      </c>
      <c r="Q1223" s="10">
        <f>IF(N1223&lt;='[1]statistical criteria'!$B$2,IF(O1223&gt;=LOG('[1]statistical criteria'!$B$3,2),1,IF(O1223&lt;=-1*LOG('[1]statistical criteria'!$B$3,2),2,"-")),"-")</f>
        <v>2</v>
      </c>
    </row>
    <row r="1224" spans="1:21" x14ac:dyDescent="0.35">
      <c r="A1224" t="s">
        <v>4494</v>
      </c>
      <c r="B1224" t="s">
        <v>4495</v>
      </c>
      <c r="C1224">
        <v>2877</v>
      </c>
      <c r="D1224" s="5">
        <v>5.4186880000000004</v>
      </c>
      <c r="E1224" s="5">
        <v>2.6512519999999999</v>
      </c>
      <c r="F1224" s="5">
        <v>5.74465</v>
      </c>
      <c r="G1224" s="5">
        <v>5.1300549999999996</v>
      </c>
      <c r="H1224" s="11">
        <v>0</v>
      </c>
      <c r="I1224" s="11">
        <v>0</v>
      </c>
      <c r="J1224" s="11">
        <v>0</v>
      </c>
      <c r="K1224" s="7">
        <f t="shared" si="38"/>
        <v>4.7361612500000003</v>
      </c>
      <c r="L1224" s="8">
        <f t="shared" si="39"/>
        <v>0</v>
      </c>
      <c r="M1224" s="9">
        <v>1.5300364643737101E-12</v>
      </c>
      <c r="N1224" s="9">
        <v>5.1216524040513001E-11</v>
      </c>
      <c r="O1224" s="2">
        <v>-5.3211437770446404</v>
      </c>
      <c r="P1224" t="s">
        <v>4494</v>
      </c>
      <c r="Q1224" s="10">
        <f>IF(N1224&lt;='[1]statistical criteria'!$B$2,IF(O1224&gt;=LOG('[1]statistical criteria'!$B$3,2),1,IF(O1224&lt;=-1*LOG('[1]statistical criteria'!$B$3,2),2,"-")),"-")</f>
        <v>2</v>
      </c>
      <c r="S1224" t="s">
        <v>2834</v>
      </c>
      <c r="T1224" s="9">
        <v>8.9999999999999996E-122</v>
      </c>
      <c r="U1224" t="s">
        <v>61</v>
      </c>
    </row>
    <row r="1225" spans="1:21" x14ac:dyDescent="0.35">
      <c r="A1225" t="s">
        <v>4496</v>
      </c>
      <c r="B1225" t="s">
        <v>4497</v>
      </c>
      <c r="C1225">
        <v>1230</v>
      </c>
      <c r="D1225" s="5">
        <v>9.4202639999999995</v>
      </c>
      <c r="E1225" s="5">
        <v>3.2422469999999999</v>
      </c>
      <c r="F1225" s="5">
        <v>10.160207</v>
      </c>
      <c r="G1225" s="5">
        <v>12.571626</v>
      </c>
      <c r="H1225" s="11">
        <v>0</v>
      </c>
      <c r="I1225" s="11">
        <v>0</v>
      </c>
      <c r="J1225" s="11">
        <v>0</v>
      </c>
      <c r="K1225" s="7">
        <f t="shared" si="38"/>
        <v>8.8485859999999992</v>
      </c>
      <c r="L1225" s="8">
        <f t="shared" si="39"/>
        <v>0</v>
      </c>
      <c r="M1225" s="9">
        <v>3.3811010043596198E-11</v>
      </c>
      <c r="N1225" s="9">
        <v>9.2846106945113498E-10</v>
      </c>
      <c r="O1225" s="2">
        <v>-5.3224973218432297</v>
      </c>
      <c r="P1225" t="s">
        <v>4496</v>
      </c>
      <c r="Q1225" s="10">
        <f>IF(N1225&lt;='[1]statistical criteria'!$B$2,IF(O1225&gt;=LOG('[1]statistical criteria'!$B$3,2),1,IF(O1225&lt;=-1*LOG('[1]statistical criteria'!$B$3,2),2,"-")),"-")</f>
        <v>2</v>
      </c>
      <c r="R1225" t="s">
        <v>2546</v>
      </c>
      <c r="S1225" t="s">
        <v>4498</v>
      </c>
      <c r="T1225" s="9">
        <v>8.0000000000000001E-150</v>
      </c>
      <c r="U1225" t="s">
        <v>4499</v>
      </c>
    </row>
    <row r="1226" spans="1:21" x14ac:dyDescent="0.35">
      <c r="A1226" t="s">
        <v>4500</v>
      </c>
      <c r="B1226" t="s">
        <v>4501</v>
      </c>
      <c r="C1226">
        <v>1842</v>
      </c>
      <c r="D1226" s="5">
        <v>6.7274479999999999</v>
      </c>
      <c r="E1226" s="5">
        <v>4.5473819999999998</v>
      </c>
      <c r="F1226" s="5">
        <v>9.1350510000000007</v>
      </c>
      <c r="G1226" s="5">
        <v>8.2114949999999993</v>
      </c>
      <c r="H1226" s="11">
        <v>0</v>
      </c>
      <c r="I1226" s="11">
        <v>0</v>
      </c>
      <c r="J1226" s="11">
        <v>0</v>
      </c>
      <c r="K1226" s="7">
        <f t="shared" si="38"/>
        <v>7.1553439999999995</v>
      </c>
      <c r="L1226" s="8">
        <f t="shared" si="39"/>
        <v>0</v>
      </c>
      <c r="M1226" s="9">
        <v>1.06445454197455E-8</v>
      </c>
      <c r="N1226" s="9">
        <v>1.89757095398367E-7</v>
      </c>
      <c r="O1226" s="2">
        <v>-5.3313339044161401</v>
      </c>
      <c r="P1226" t="s">
        <v>4500</v>
      </c>
      <c r="Q1226" s="10">
        <f>IF(N1226&lt;='[1]statistical criteria'!$B$2,IF(O1226&gt;=LOG('[1]statistical criteria'!$B$3,2),1,IF(O1226&lt;=-1*LOG('[1]statistical criteria'!$B$3,2),2,"-")),"-")</f>
        <v>2</v>
      </c>
      <c r="S1226" t="s">
        <v>4502</v>
      </c>
      <c r="T1226" s="9">
        <v>3E-10</v>
      </c>
      <c r="U1226" t="s">
        <v>4503</v>
      </c>
    </row>
    <row r="1227" spans="1:21" x14ac:dyDescent="0.35">
      <c r="A1227" t="s">
        <v>4504</v>
      </c>
      <c r="B1227" t="s">
        <v>4505</v>
      </c>
      <c r="C1227">
        <v>1401</v>
      </c>
      <c r="D1227" s="5">
        <v>8.9734189999999998</v>
      </c>
      <c r="E1227" s="5">
        <v>10.105428</v>
      </c>
      <c r="F1227" s="5">
        <v>10.550845000000001</v>
      </c>
      <c r="G1227" s="5">
        <v>8.2762779999999996</v>
      </c>
      <c r="H1227" s="11">
        <v>0</v>
      </c>
      <c r="I1227" s="11">
        <v>0</v>
      </c>
      <c r="J1227" s="11">
        <v>0</v>
      </c>
      <c r="K1227" s="7">
        <f t="shared" si="38"/>
        <v>9.4764924999999991</v>
      </c>
      <c r="L1227" s="8">
        <f t="shared" si="39"/>
        <v>0</v>
      </c>
      <c r="M1227" s="9">
        <v>6.4429951345638396E-11</v>
      </c>
      <c r="N1227" s="9">
        <v>1.6761476064353999E-9</v>
      </c>
      <c r="O1227" s="2">
        <v>-5.3352652895016801</v>
      </c>
      <c r="P1227" t="s">
        <v>4504</v>
      </c>
      <c r="Q1227" s="10">
        <f>IF(N1227&lt;='[1]statistical criteria'!$B$2,IF(O1227&gt;=LOG('[1]statistical criteria'!$B$3,2),1,IF(O1227&lt;=-1*LOG('[1]statistical criteria'!$B$3,2),2,"-")),"-")</f>
        <v>2</v>
      </c>
      <c r="R1227" t="s">
        <v>4506</v>
      </c>
      <c r="S1227" t="s">
        <v>4507</v>
      </c>
      <c r="T1227" s="9">
        <v>7.9999999999999993E-145</v>
      </c>
      <c r="U1227" t="s">
        <v>4508</v>
      </c>
    </row>
    <row r="1228" spans="1:21" x14ac:dyDescent="0.35">
      <c r="A1228" t="s">
        <v>4509</v>
      </c>
      <c r="B1228" t="s">
        <v>4510</v>
      </c>
      <c r="C1228">
        <v>2427</v>
      </c>
      <c r="D1228" s="5">
        <v>19.015056999999999</v>
      </c>
      <c r="E1228" s="5">
        <v>15.827291000000001</v>
      </c>
      <c r="F1228" s="5">
        <v>17.358181999999999</v>
      </c>
      <c r="G1228" s="5">
        <v>26.129467000000002</v>
      </c>
      <c r="H1228" s="6">
        <v>0.83849300000000004</v>
      </c>
      <c r="I1228" s="11">
        <v>0</v>
      </c>
      <c r="J1228" s="11">
        <v>0</v>
      </c>
      <c r="K1228" s="7">
        <f t="shared" si="38"/>
        <v>19.582499250000001</v>
      </c>
      <c r="L1228" s="8">
        <f t="shared" si="39"/>
        <v>0.2794976666666667</v>
      </c>
      <c r="M1228" s="9">
        <v>1.53692910474712E-16</v>
      </c>
      <c r="N1228" s="9">
        <v>9.4044247148995707E-15</v>
      </c>
      <c r="O1228" s="2">
        <v>-5.35255417074774</v>
      </c>
      <c r="P1228" t="s">
        <v>4509</v>
      </c>
      <c r="Q1228" s="10">
        <f>IF(N1228&lt;='[1]statistical criteria'!$B$2,IF(O1228&gt;=LOG('[1]statistical criteria'!$B$3,2),1,IF(O1228&lt;=-1*LOG('[1]statistical criteria'!$B$3,2),2,"-")),"-")</f>
        <v>2</v>
      </c>
      <c r="R1228" t="s">
        <v>4511</v>
      </c>
      <c r="S1228" t="s">
        <v>4512</v>
      </c>
      <c r="T1228">
        <v>0</v>
      </c>
      <c r="U1228" t="s">
        <v>4513</v>
      </c>
    </row>
    <row r="1229" spans="1:21" x14ac:dyDescent="0.35">
      <c r="A1229" t="s">
        <v>4514</v>
      </c>
      <c r="B1229" t="s">
        <v>4515</v>
      </c>
      <c r="C1229">
        <v>2505</v>
      </c>
      <c r="D1229" s="5">
        <v>5.5307000000000004</v>
      </c>
      <c r="E1229" s="5">
        <v>1.664247</v>
      </c>
      <c r="F1229" s="5">
        <v>6.9512320000000001</v>
      </c>
      <c r="G1229" s="5">
        <v>5.9923669999999998</v>
      </c>
      <c r="H1229" s="11">
        <v>0</v>
      </c>
      <c r="I1229" s="11">
        <v>0</v>
      </c>
      <c r="J1229" s="11">
        <v>0</v>
      </c>
      <c r="K1229" s="7">
        <f t="shared" si="38"/>
        <v>5.0346364999999995</v>
      </c>
      <c r="L1229" s="8">
        <f t="shared" si="39"/>
        <v>0</v>
      </c>
      <c r="M1229" s="9">
        <v>2.0412798755910401E-8</v>
      </c>
      <c r="N1229" s="9">
        <v>3.43326474845168E-7</v>
      </c>
      <c r="O1229" s="2">
        <v>-5.3541945088730003</v>
      </c>
      <c r="P1229" t="s">
        <v>4514</v>
      </c>
      <c r="Q1229" s="10">
        <f>IF(N1229&lt;='[1]statistical criteria'!$B$2,IF(O1229&gt;=LOG('[1]statistical criteria'!$B$3,2),1,IF(O1229&lt;=-1*LOG('[1]statistical criteria'!$B$3,2),2,"-")),"-")</f>
        <v>2</v>
      </c>
      <c r="R1229" t="s">
        <v>878</v>
      </c>
      <c r="S1229" t="s">
        <v>3465</v>
      </c>
      <c r="T1229" s="9">
        <v>3.0000000000000001E-93</v>
      </c>
      <c r="U1229" t="s">
        <v>880</v>
      </c>
    </row>
    <row r="1230" spans="1:21" x14ac:dyDescent="0.35">
      <c r="A1230" t="s">
        <v>4516</v>
      </c>
      <c r="B1230" t="s">
        <v>4517</v>
      </c>
      <c r="C1230">
        <v>339</v>
      </c>
      <c r="D1230" s="5">
        <v>36.704163000000001</v>
      </c>
      <c r="E1230" s="5">
        <v>72.919756000000007</v>
      </c>
      <c r="F1230" s="5">
        <v>33.919113000000003</v>
      </c>
      <c r="G1230" s="5">
        <v>37.589595000000003</v>
      </c>
      <c r="H1230" s="11">
        <v>0</v>
      </c>
      <c r="I1230" s="11">
        <v>0</v>
      </c>
      <c r="J1230" s="11">
        <v>0</v>
      </c>
      <c r="K1230" s="7">
        <f t="shared" si="38"/>
        <v>45.283156750000003</v>
      </c>
      <c r="L1230" s="8">
        <f t="shared" si="39"/>
        <v>0</v>
      </c>
      <c r="M1230" s="9">
        <v>2.35509496814566E-9</v>
      </c>
      <c r="N1230" s="9">
        <v>4.7728921452408901E-8</v>
      </c>
      <c r="O1230" s="2">
        <v>-5.3561813153097502</v>
      </c>
      <c r="P1230" t="s">
        <v>4516</v>
      </c>
      <c r="Q1230" s="10">
        <f>IF(N1230&lt;='[1]statistical criteria'!$B$2,IF(O1230&gt;=LOG('[1]statistical criteria'!$B$3,2),1,IF(O1230&lt;=-1*LOG('[1]statistical criteria'!$B$3,2),2,"-")),"-")</f>
        <v>2</v>
      </c>
      <c r="S1230" t="s">
        <v>3594</v>
      </c>
      <c r="T1230">
        <v>3.2</v>
      </c>
      <c r="U1230" t="s">
        <v>3595</v>
      </c>
    </row>
    <row r="1231" spans="1:21" x14ac:dyDescent="0.35">
      <c r="A1231" t="s">
        <v>4518</v>
      </c>
      <c r="B1231" t="s">
        <v>4519</v>
      </c>
      <c r="C1231">
        <v>1065</v>
      </c>
      <c r="D1231" s="5">
        <v>9.5947809999999993</v>
      </c>
      <c r="E1231" s="5">
        <v>10.451733000000001</v>
      </c>
      <c r="F1231" s="5">
        <v>7.0599819999999998</v>
      </c>
      <c r="G1231" s="5">
        <v>3.423495</v>
      </c>
      <c r="H1231" s="11">
        <v>0</v>
      </c>
      <c r="I1231" s="11">
        <v>0</v>
      </c>
      <c r="J1231" s="11">
        <v>0</v>
      </c>
      <c r="K1231" s="7">
        <f t="shared" si="38"/>
        <v>7.6324977499999997</v>
      </c>
      <c r="L1231" s="8">
        <f t="shared" si="39"/>
        <v>0</v>
      </c>
      <c r="M1231" s="9">
        <v>8.8844032164700297E-13</v>
      </c>
      <c r="N1231" s="9">
        <v>3.08804005861963E-11</v>
      </c>
      <c r="O1231" s="2">
        <v>-5.3643279075379704</v>
      </c>
      <c r="P1231" t="s">
        <v>4518</v>
      </c>
      <c r="Q1231" s="10">
        <f>IF(N1231&lt;='[1]statistical criteria'!$B$2,IF(O1231&gt;=LOG('[1]statistical criteria'!$B$3,2),1,IF(O1231&lt;=-1*LOG('[1]statistical criteria'!$B$3,2),2,"-")),"-")</f>
        <v>2</v>
      </c>
      <c r="R1231" t="s">
        <v>94</v>
      </c>
      <c r="S1231" t="s">
        <v>4520</v>
      </c>
      <c r="T1231" s="9">
        <v>5.9999999999999997E-178</v>
      </c>
      <c r="U1231" t="s">
        <v>95</v>
      </c>
    </row>
    <row r="1232" spans="1:21" x14ac:dyDescent="0.35">
      <c r="A1232" t="s">
        <v>4521</v>
      </c>
      <c r="B1232" t="s">
        <v>4522</v>
      </c>
      <c r="C1232">
        <v>825</v>
      </c>
      <c r="D1232" s="5">
        <v>4.272805</v>
      </c>
      <c r="E1232" s="5">
        <v>9.3242200000000004</v>
      </c>
      <c r="F1232" s="5">
        <v>9.9173860000000005</v>
      </c>
      <c r="G1232" s="5">
        <v>15.362633000000001</v>
      </c>
      <c r="H1232" s="11">
        <v>0</v>
      </c>
      <c r="I1232" s="11">
        <v>0</v>
      </c>
      <c r="J1232" s="11">
        <v>0</v>
      </c>
      <c r="K1232" s="7">
        <f t="shared" si="38"/>
        <v>9.7192610000000013</v>
      </c>
      <c r="L1232" s="8">
        <f t="shared" si="39"/>
        <v>0</v>
      </c>
      <c r="M1232" s="9">
        <v>3.0523822381483601E-10</v>
      </c>
      <c r="N1232" s="9">
        <v>7.1054231182829702E-9</v>
      </c>
      <c r="O1232" s="2">
        <v>-5.3663223439416301</v>
      </c>
      <c r="P1232" t="s">
        <v>4521</v>
      </c>
      <c r="Q1232" s="10">
        <f>IF(N1232&lt;='[1]statistical criteria'!$B$2,IF(O1232&gt;=LOG('[1]statistical criteria'!$B$3,2),1,IF(O1232&lt;=-1*LOG('[1]statistical criteria'!$B$3,2),2,"-")),"-")</f>
        <v>2</v>
      </c>
      <c r="R1232" t="s">
        <v>4523</v>
      </c>
      <c r="S1232" t="s">
        <v>4524</v>
      </c>
      <c r="T1232" s="9">
        <v>8.0000000000000003E-97</v>
      </c>
      <c r="U1232" t="s">
        <v>1352</v>
      </c>
    </row>
    <row r="1233" spans="1:21" x14ac:dyDescent="0.35">
      <c r="A1233" t="s">
        <v>4525</v>
      </c>
      <c r="B1233" t="s">
        <v>4526</v>
      </c>
      <c r="C1233">
        <v>1521</v>
      </c>
      <c r="D1233" s="5">
        <v>29.488762000000001</v>
      </c>
      <c r="E1233" s="5">
        <v>39.248840999999999</v>
      </c>
      <c r="F1233" s="5">
        <v>33.152977</v>
      </c>
      <c r="G1233" s="5">
        <v>16.484794000000001</v>
      </c>
      <c r="H1233" s="11">
        <v>0</v>
      </c>
      <c r="I1233" s="6">
        <v>2.6426460000000001</v>
      </c>
      <c r="J1233" s="11">
        <v>0</v>
      </c>
      <c r="K1233" s="7">
        <f t="shared" si="38"/>
        <v>29.593843499999998</v>
      </c>
      <c r="L1233" s="8">
        <f t="shared" si="39"/>
        <v>0.88088200000000005</v>
      </c>
      <c r="M1233" s="9">
        <v>6.2714797746092098E-12</v>
      </c>
      <c r="N1233" s="9">
        <v>1.9095401617730101E-10</v>
      </c>
      <c r="O1233" s="2">
        <v>-5.37331292104244</v>
      </c>
      <c r="P1233" t="s">
        <v>4525</v>
      </c>
      <c r="Q1233" s="10">
        <f>IF(N1233&lt;='[1]statistical criteria'!$B$2,IF(O1233&gt;=LOG('[1]statistical criteria'!$B$3,2),1,IF(O1233&lt;=-1*LOG('[1]statistical criteria'!$B$3,2),2,"-")),"-")</f>
        <v>2</v>
      </c>
      <c r="R1233" t="s">
        <v>4527</v>
      </c>
      <c r="S1233" t="s">
        <v>4528</v>
      </c>
      <c r="T1233" s="9">
        <v>9.0000000000000005E-151</v>
      </c>
      <c r="U1233" t="s">
        <v>4529</v>
      </c>
    </row>
    <row r="1234" spans="1:21" x14ac:dyDescent="0.35">
      <c r="A1234" t="s">
        <v>4530</v>
      </c>
      <c r="B1234" t="s">
        <v>4531</v>
      </c>
      <c r="C1234">
        <v>4326</v>
      </c>
      <c r="D1234" s="5">
        <v>4.6317399999999997</v>
      </c>
      <c r="E1234" s="5">
        <v>1.270186</v>
      </c>
      <c r="F1234" s="5">
        <v>2.2137410000000002</v>
      </c>
      <c r="G1234" s="5">
        <v>2.8892679999999999</v>
      </c>
      <c r="H1234" s="11">
        <v>0</v>
      </c>
      <c r="I1234" s="11">
        <v>0</v>
      </c>
      <c r="J1234" s="11">
        <v>0</v>
      </c>
      <c r="K1234" s="7">
        <f t="shared" si="38"/>
        <v>2.7512337499999999</v>
      </c>
      <c r="L1234" s="8">
        <f t="shared" si="39"/>
        <v>0</v>
      </c>
      <c r="M1234" s="9">
        <v>5.5149334450886303E-14</v>
      </c>
      <c r="N1234" s="9">
        <v>2.3091129474155498E-12</v>
      </c>
      <c r="O1234" s="2">
        <v>-5.3765753232844498</v>
      </c>
      <c r="P1234" t="s">
        <v>4530</v>
      </c>
      <c r="Q1234" s="10">
        <f>IF(N1234&lt;='[1]statistical criteria'!$B$2,IF(O1234&gt;=LOG('[1]statistical criteria'!$B$3,2),1,IF(O1234&lt;=-1*LOG('[1]statistical criteria'!$B$3,2),2,"-")),"-")</f>
        <v>2</v>
      </c>
      <c r="R1234" t="s">
        <v>2902</v>
      </c>
      <c r="S1234" t="s">
        <v>2903</v>
      </c>
      <c r="T1234">
        <v>0</v>
      </c>
      <c r="U1234" t="s">
        <v>2904</v>
      </c>
    </row>
    <row r="1235" spans="1:21" x14ac:dyDescent="0.35">
      <c r="A1235" t="s">
        <v>4532</v>
      </c>
      <c r="B1235" t="s">
        <v>4533</v>
      </c>
      <c r="C1235">
        <v>1614</v>
      </c>
      <c r="D1235" s="5">
        <v>30.002821999999998</v>
      </c>
      <c r="E1235" s="5">
        <v>33.229396999999999</v>
      </c>
      <c r="F1235" s="5">
        <v>20.662507000000002</v>
      </c>
      <c r="G1235" s="5">
        <v>47.771417</v>
      </c>
      <c r="H1235" s="6">
        <v>2.3699020000000002</v>
      </c>
      <c r="I1235" s="11">
        <v>0</v>
      </c>
      <c r="J1235" s="11">
        <v>0</v>
      </c>
      <c r="K1235" s="7">
        <f t="shared" si="38"/>
        <v>32.916535750000001</v>
      </c>
      <c r="L1235" s="8">
        <f t="shared" si="39"/>
        <v>0.78996733333333335</v>
      </c>
      <c r="M1235" s="9">
        <v>9.2548072263988006E-13</v>
      </c>
      <c r="N1235" s="9">
        <v>3.2109203558499397E-11</v>
      </c>
      <c r="O1235" s="2">
        <v>-5.3784565860261004</v>
      </c>
      <c r="P1235" t="s">
        <v>4532</v>
      </c>
      <c r="Q1235" s="10">
        <f>IF(N1235&lt;='[1]statistical criteria'!$B$2,IF(O1235&gt;=LOG('[1]statistical criteria'!$B$3,2),1,IF(O1235&lt;=-1*LOG('[1]statistical criteria'!$B$3,2),2,"-")),"-")</f>
        <v>2</v>
      </c>
      <c r="S1235" t="s">
        <v>4534</v>
      </c>
      <c r="T1235">
        <v>1.7</v>
      </c>
      <c r="U1235" t="s">
        <v>4535</v>
      </c>
    </row>
    <row r="1236" spans="1:21" x14ac:dyDescent="0.35">
      <c r="A1236" t="s">
        <v>4536</v>
      </c>
      <c r="B1236" t="s">
        <v>4537</v>
      </c>
      <c r="C1236">
        <v>888</v>
      </c>
      <c r="D1236" s="5">
        <v>12.309278000000001</v>
      </c>
      <c r="E1236" s="5">
        <v>50.172198000000002</v>
      </c>
      <c r="F1236" s="5">
        <v>26.418185000000001</v>
      </c>
      <c r="G1236" s="5">
        <v>17.939644000000001</v>
      </c>
      <c r="H1236" s="11">
        <v>0</v>
      </c>
      <c r="I1236" s="6">
        <v>2.1066950000000002</v>
      </c>
      <c r="J1236" s="11">
        <v>0</v>
      </c>
      <c r="K1236" s="7">
        <f t="shared" si="38"/>
        <v>26.709826250000003</v>
      </c>
      <c r="L1236" s="8">
        <f t="shared" si="39"/>
        <v>0.7022316666666667</v>
      </c>
      <c r="M1236" s="9">
        <v>3.6493965587102798E-15</v>
      </c>
      <c r="N1236" s="9">
        <v>1.79186897163372E-13</v>
      </c>
      <c r="O1236" s="2">
        <v>-5.3785582576562998</v>
      </c>
      <c r="P1236" t="s">
        <v>4536</v>
      </c>
      <c r="Q1236" s="10">
        <f>IF(N1236&lt;='[1]statistical criteria'!$B$2,IF(O1236&gt;=LOG('[1]statistical criteria'!$B$3,2),1,IF(O1236&lt;=-1*LOG('[1]statistical criteria'!$B$3,2),2,"-")),"-")</f>
        <v>2</v>
      </c>
      <c r="R1236" t="s">
        <v>4538</v>
      </c>
      <c r="S1236" t="s">
        <v>4539</v>
      </c>
      <c r="T1236" s="9">
        <v>4.0000000000000001E-146</v>
      </c>
      <c r="U1236" t="s">
        <v>4540</v>
      </c>
    </row>
    <row r="1237" spans="1:21" x14ac:dyDescent="0.35">
      <c r="A1237" t="s">
        <v>4541</v>
      </c>
      <c r="B1237" t="s">
        <v>4542</v>
      </c>
      <c r="C1237">
        <v>1055</v>
      </c>
      <c r="D1237" s="5">
        <v>6.1486070000000002</v>
      </c>
      <c r="E1237" s="5">
        <v>12.315806</v>
      </c>
      <c r="F1237" s="5">
        <v>5.9888599999999999</v>
      </c>
      <c r="G1237" s="5">
        <v>4.4087779999999999</v>
      </c>
      <c r="H1237" s="11">
        <v>0</v>
      </c>
      <c r="I1237" s="11">
        <v>0</v>
      </c>
      <c r="J1237" s="11">
        <v>0</v>
      </c>
      <c r="K1237" s="7">
        <f t="shared" si="38"/>
        <v>7.2155127500000003</v>
      </c>
      <c r="L1237" s="8">
        <f t="shared" si="39"/>
        <v>0</v>
      </c>
      <c r="M1237" s="9">
        <v>7.2465326772775901E-28</v>
      </c>
      <c r="N1237" s="9">
        <v>1.4290312626797201E-25</v>
      </c>
      <c r="O1237" s="2">
        <v>-5.38255126275339</v>
      </c>
      <c r="P1237" t="s">
        <v>4541</v>
      </c>
      <c r="Q1237" s="10">
        <f>IF(N1237&lt;='[1]statistical criteria'!$B$2,IF(O1237&gt;=LOG('[1]statistical criteria'!$B$3,2),1,IF(O1237&lt;=-1*LOG('[1]statistical criteria'!$B$3,2),2,"-")),"-")</f>
        <v>2</v>
      </c>
      <c r="R1237" t="s">
        <v>4543</v>
      </c>
      <c r="S1237" t="s">
        <v>4544</v>
      </c>
      <c r="T1237" s="9">
        <v>3.0000000000000001E-74</v>
      </c>
      <c r="U1237" t="s">
        <v>4545</v>
      </c>
    </row>
    <row r="1238" spans="1:21" x14ac:dyDescent="0.35">
      <c r="A1238" t="s">
        <v>367</v>
      </c>
      <c r="B1238" t="s">
        <v>368</v>
      </c>
      <c r="C1238">
        <v>1116</v>
      </c>
      <c r="D1238" s="5">
        <v>8.7869170000000008</v>
      </c>
      <c r="E1238" s="5">
        <v>5.730931</v>
      </c>
      <c r="F1238" s="5">
        <v>12.252656</v>
      </c>
      <c r="G1238" s="5">
        <v>17.729534000000001</v>
      </c>
      <c r="H1238" s="11">
        <v>0</v>
      </c>
      <c r="I1238" s="11">
        <v>0</v>
      </c>
      <c r="J1238" s="11">
        <v>0</v>
      </c>
      <c r="K1238" s="7">
        <f t="shared" si="38"/>
        <v>11.125009500000001</v>
      </c>
      <c r="L1238" s="8">
        <f t="shared" si="39"/>
        <v>0</v>
      </c>
      <c r="M1238" s="9">
        <v>5.9566048842427898E-9</v>
      </c>
      <c r="N1238" s="9">
        <v>1.11349892875383E-7</v>
      </c>
      <c r="O1238" s="2">
        <v>-5.3882989936739598</v>
      </c>
      <c r="P1238" t="s">
        <v>367</v>
      </c>
      <c r="Q1238" s="10">
        <f>IF(N1238&lt;='[1]statistical criteria'!$B$2,IF(O1238&gt;=LOG('[1]statistical criteria'!$B$3,2),1,IF(O1238&lt;=-1*LOG('[1]statistical criteria'!$B$3,2),2,"-")),"-")</f>
        <v>2</v>
      </c>
      <c r="R1238" t="s">
        <v>411</v>
      </c>
      <c r="S1238" t="s">
        <v>412</v>
      </c>
      <c r="T1238" s="9">
        <v>6.9999999999999996E-168</v>
      </c>
      <c r="U1238" t="s">
        <v>413</v>
      </c>
    </row>
    <row r="1239" spans="1:21" x14ac:dyDescent="0.35">
      <c r="A1239" t="s">
        <v>4546</v>
      </c>
      <c r="B1239" t="s">
        <v>4547</v>
      </c>
      <c r="C1239">
        <v>1890</v>
      </c>
      <c r="D1239" s="5">
        <v>7.5873860000000004</v>
      </c>
      <c r="E1239" s="5">
        <v>7.2460589999999998</v>
      </c>
      <c r="F1239" s="5">
        <v>8.4177660000000003</v>
      </c>
      <c r="G1239" s="5">
        <v>3.0650119999999998</v>
      </c>
      <c r="H1239" s="11">
        <v>0</v>
      </c>
      <c r="I1239" s="11">
        <v>0</v>
      </c>
      <c r="J1239" s="11">
        <v>0</v>
      </c>
      <c r="K1239" s="7">
        <f t="shared" si="38"/>
        <v>6.5790557500000002</v>
      </c>
      <c r="L1239" s="8">
        <f t="shared" si="39"/>
        <v>0</v>
      </c>
      <c r="M1239" s="9">
        <v>6.4714531164779103E-9</v>
      </c>
      <c r="N1239" s="9">
        <v>1.19972482032708E-7</v>
      </c>
      <c r="O1239" s="2">
        <v>-5.38855752475133</v>
      </c>
      <c r="P1239" t="s">
        <v>4546</v>
      </c>
      <c r="Q1239" s="10">
        <f>IF(N1239&lt;='[1]statistical criteria'!$B$2,IF(O1239&gt;=LOG('[1]statistical criteria'!$B$3,2),1,IF(O1239&lt;=-1*LOG('[1]statistical criteria'!$B$3,2),2,"-")),"-")</f>
        <v>2</v>
      </c>
      <c r="R1239" t="s">
        <v>4548</v>
      </c>
      <c r="S1239" t="s">
        <v>4549</v>
      </c>
      <c r="T1239" s="9">
        <v>2.0000000000000001E-114</v>
      </c>
      <c r="U1239" t="s">
        <v>4550</v>
      </c>
    </row>
    <row r="1240" spans="1:21" x14ac:dyDescent="0.35">
      <c r="A1240" t="s">
        <v>4551</v>
      </c>
      <c r="B1240" t="s">
        <v>4552</v>
      </c>
      <c r="C1240">
        <v>2049</v>
      </c>
      <c r="D1240" s="5">
        <v>15.667327</v>
      </c>
      <c r="E1240" s="5">
        <v>18.845179999999999</v>
      </c>
      <c r="F1240" s="5">
        <v>26.092932999999999</v>
      </c>
      <c r="G1240" s="5">
        <v>17.982296999999999</v>
      </c>
      <c r="H1240" s="6">
        <v>0.287024</v>
      </c>
      <c r="I1240" s="11">
        <v>0</v>
      </c>
      <c r="J1240" s="6">
        <v>6.8917000000000006E-2</v>
      </c>
      <c r="K1240" s="7">
        <f t="shared" si="38"/>
        <v>19.646934250000001</v>
      </c>
      <c r="L1240" s="8">
        <f t="shared" si="39"/>
        <v>0.118647</v>
      </c>
      <c r="M1240" s="9">
        <v>3.0318713697709899E-16</v>
      </c>
      <c r="N1240" s="9">
        <v>1.7590400050835899E-14</v>
      </c>
      <c r="O1240" s="2">
        <v>-5.3928640550725104</v>
      </c>
      <c r="P1240" t="s">
        <v>4551</v>
      </c>
      <c r="Q1240" s="10">
        <f>IF(N1240&lt;='[1]statistical criteria'!$B$2,IF(O1240&gt;=LOG('[1]statistical criteria'!$B$3,2),1,IF(O1240&lt;=-1*LOG('[1]statistical criteria'!$B$3,2),2,"-")),"-")</f>
        <v>2</v>
      </c>
      <c r="R1240" t="s">
        <v>4553</v>
      </c>
    </row>
    <row r="1241" spans="1:21" x14ac:dyDescent="0.35">
      <c r="A1241" t="s">
        <v>4554</v>
      </c>
      <c r="B1241" t="s">
        <v>4191</v>
      </c>
      <c r="C1241">
        <v>774</v>
      </c>
      <c r="D1241" s="5">
        <v>5.4230239999999998</v>
      </c>
      <c r="E1241" s="5">
        <v>19.898019000000001</v>
      </c>
      <c r="F1241" s="5">
        <v>8.095682</v>
      </c>
      <c r="G1241" s="5">
        <v>5.0915319999999999</v>
      </c>
      <c r="H1241" s="11">
        <v>0</v>
      </c>
      <c r="I1241" s="11">
        <v>0</v>
      </c>
      <c r="J1241" s="11">
        <v>0</v>
      </c>
      <c r="K1241" s="7">
        <f t="shared" si="38"/>
        <v>9.6270642500000001</v>
      </c>
      <c r="L1241" s="8">
        <f t="shared" si="39"/>
        <v>0</v>
      </c>
      <c r="M1241" s="9">
        <v>1.6241343267584599E-12</v>
      </c>
      <c r="N1241" s="9">
        <v>5.3892373562708999E-11</v>
      </c>
      <c r="O1241" s="2">
        <v>-5.4006885630859802</v>
      </c>
      <c r="P1241" t="s">
        <v>4554</v>
      </c>
      <c r="Q1241" s="10">
        <f>IF(N1241&lt;='[1]statistical criteria'!$B$2,IF(O1241&gt;=LOG('[1]statistical criteria'!$B$3,2),1,IF(O1241&lt;=-1*LOG('[1]statistical criteria'!$B$3,2),2,"-")),"-")</f>
        <v>2</v>
      </c>
    </row>
    <row r="1242" spans="1:21" x14ac:dyDescent="0.35">
      <c r="A1242" t="s">
        <v>4555</v>
      </c>
      <c r="B1242" t="s">
        <v>4556</v>
      </c>
      <c r="C1242">
        <v>2148</v>
      </c>
      <c r="D1242" s="5">
        <v>13.856127000000001</v>
      </c>
      <c r="E1242" s="5">
        <v>17.036241</v>
      </c>
      <c r="F1242" s="5">
        <v>18.714693</v>
      </c>
      <c r="G1242" s="5">
        <v>20.371217999999999</v>
      </c>
      <c r="H1242" s="6">
        <v>0.36042000000000002</v>
      </c>
      <c r="I1242" s="11">
        <v>0</v>
      </c>
      <c r="J1242" s="11">
        <v>0</v>
      </c>
      <c r="K1242" s="7">
        <f t="shared" si="38"/>
        <v>17.49456975</v>
      </c>
      <c r="L1242" s="8">
        <f t="shared" si="39"/>
        <v>0.12014000000000001</v>
      </c>
      <c r="M1242" s="9">
        <v>3.4777683416821599E-15</v>
      </c>
      <c r="N1242" s="9">
        <v>1.7212465940757199E-13</v>
      </c>
      <c r="O1242" s="2">
        <v>-5.4033651738715598</v>
      </c>
      <c r="P1242" t="s">
        <v>4555</v>
      </c>
      <c r="Q1242" s="10">
        <f>IF(N1242&lt;='[1]statistical criteria'!$B$2,IF(O1242&gt;=LOG('[1]statistical criteria'!$B$3,2),1,IF(O1242&lt;=-1*LOG('[1]statistical criteria'!$B$3,2),2,"-")),"-")</f>
        <v>2</v>
      </c>
      <c r="R1242" t="s">
        <v>4557</v>
      </c>
      <c r="S1242" t="s">
        <v>4558</v>
      </c>
      <c r="T1242">
        <v>0</v>
      </c>
      <c r="U1242" t="s">
        <v>4559</v>
      </c>
    </row>
    <row r="1243" spans="1:21" x14ac:dyDescent="0.35">
      <c r="A1243" t="s">
        <v>4560</v>
      </c>
      <c r="B1243" t="s">
        <v>4561</v>
      </c>
      <c r="C1243">
        <v>2085</v>
      </c>
      <c r="D1243" s="5">
        <v>8.8256949999999996</v>
      </c>
      <c r="E1243" s="5">
        <v>5.0887890000000002</v>
      </c>
      <c r="F1243" s="5">
        <v>10.06827</v>
      </c>
      <c r="G1243" s="5">
        <v>8.121105</v>
      </c>
      <c r="H1243" s="11">
        <v>0</v>
      </c>
      <c r="I1243" s="11">
        <v>0</v>
      </c>
      <c r="J1243" s="11">
        <v>0</v>
      </c>
      <c r="K1243" s="7">
        <f t="shared" si="38"/>
        <v>8.02596475</v>
      </c>
      <c r="L1243" s="8">
        <f t="shared" si="39"/>
        <v>0</v>
      </c>
      <c r="M1243" s="9">
        <v>9.2140578472441101E-13</v>
      </c>
      <c r="N1243" s="9">
        <v>3.1996992852747403E-11</v>
      </c>
      <c r="O1243" s="2">
        <v>-5.4067515134359603</v>
      </c>
      <c r="P1243" t="s">
        <v>4560</v>
      </c>
      <c r="Q1243" s="10">
        <f>IF(N1243&lt;='[1]statistical criteria'!$B$2,IF(O1243&gt;=LOG('[1]statistical criteria'!$B$3,2),1,IF(O1243&lt;=-1*LOG('[1]statistical criteria'!$B$3,2),2,"-")),"-")</f>
        <v>2</v>
      </c>
      <c r="R1243" t="s">
        <v>3013</v>
      </c>
      <c r="S1243" t="s">
        <v>3870</v>
      </c>
      <c r="T1243">
        <v>0</v>
      </c>
      <c r="U1243" t="s">
        <v>3015</v>
      </c>
    </row>
    <row r="1244" spans="1:21" x14ac:dyDescent="0.35">
      <c r="A1244" t="s">
        <v>4562</v>
      </c>
      <c r="B1244" t="s">
        <v>4563</v>
      </c>
      <c r="C1244">
        <v>1428</v>
      </c>
      <c r="D1244" s="5">
        <v>5.1465769999999997</v>
      </c>
      <c r="E1244" s="5">
        <v>8.4920380000000009</v>
      </c>
      <c r="F1244" s="5">
        <v>8.2780369999999994</v>
      </c>
      <c r="G1244" s="5">
        <v>6.9462159999999997</v>
      </c>
      <c r="H1244" s="11">
        <v>0</v>
      </c>
      <c r="I1244" s="11">
        <v>0</v>
      </c>
      <c r="J1244" s="11">
        <v>0</v>
      </c>
      <c r="K1244" s="7">
        <f t="shared" si="38"/>
        <v>7.2157169999999997</v>
      </c>
      <c r="L1244" s="8">
        <f t="shared" si="39"/>
        <v>0</v>
      </c>
      <c r="M1244" s="9">
        <v>1.5493974340674999E-14</v>
      </c>
      <c r="N1244" s="9">
        <v>6.9132551395790298E-13</v>
      </c>
      <c r="O1244" s="2">
        <v>-5.4092122733075803</v>
      </c>
      <c r="P1244" t="s">
        <v>4562</v>
      </c>
      <c r="Q1244" s="10">
        <f>IF(N1244&lt;='[1]statistical criteria'!$B$2,IF(O1244&gt;=LOG('[1]statistical criteria'!$B$3,2),1,IF(O1244&lt;=-1*LOG('[1]statistical criteria'!$B$3,2),2,"-")),"-")</f>
        <v>2</v>
      </c>
      <c r="S1244" t="s">
        <v>3333</v>
      </c>
      <c r="T1244" s="9">
        <v>8E-90</v>
      </c>
      <c r="U1244" t="s">
        <v>3334</v>
      </c>
    </row>
    <row r="1245" spans="1:21" x14ac:dyDescent="0.35">
      <c r="A1245" t="s">
        <v>4564</v>
      </c>
      <c r="B1245" t="s">
        <v>4565</v>
      </c>
      <c r="C1245">
        <v>1541</v>
      </c>
      <c r="D1245" s="5">
        <v>6.4219530000000002</v>
      </c>
      <c r="E1245" s="5">
        <v>10.490273999999999</v>
      </c>
      <c r="F1245" s="5">
        <v>3.848268</v>
      </c>
      <c r="G1245" s="5">
        <v>5.8838699999999999</v>
      </c>
      <c r="H1245" s="11">
        <v>0</v>
      </c>
      <c r="I1245" s="11">
        <v>0</v>
      </c>
      <c r="J1245" s="11">
        <v>0</v>
      </c>
      <c r="K1245" s="7">
        <f t="shared" si="38"/>
        <v>6.6610912500000001</v>
      </c>
      <c r="L1245" s="8">
        <f t="shared" si="39"/>
        <v>0</v>
      </c>
      <c r="M1245" s="9">
        <v>1.82064285935163E-14</v>
      </c>
      <c r="N1245" s="9">
        <v>8.0532607989725104E-13</v>
      </c>
      <c r="O1245" s="2">
        <v>-5.41928416413612</v>
      </c>
      <c r="P1245" t="s">
        <v>4564</v>
      </c>
      <c r="Q1245" s="10">
        <f>IF(N1245&lt;='[1]statistical criteria'!$B$2,IF(O1245&gt;=LOG('[1]statistical criteria'!$B$3,2),1,IF(O1245&lt;=-1*LOG('[1]statistical criteria'!$B$3,2),2,"-")),"-")</f>
        <v>2</v>
      </c>
      <c r="R1245" t="s">
        <v>3752</v>
      </c>
      <c r="S1245" t="s">
        <v>3753</v>
      </c>
      <c r="T1245">
        <v>0</v>
      </c>
      <c r="U1245" t="s">
        <v>3754</v>
      </c>
    </row>
    <row r="1246" spans="1:21" x14ac:dyDescent="0.35">
      <c r="A1246" t="s">
        <v>4566</v>
      </c>
      <c r="B1246" t="s">
        <v>4567</v>
      </c>
      <c r="C1246">
        <v>564</v>
      </c>
      <c r="D1246" s="5">
        <v>9.7981119999999997</v>
      </c>
      <c r="E1246" s="5">
        <v>24.428601</v>
      </c>
      <c r="F1246" s="5">
        <v>9.3103219999999993</v>
      </c>
      <c r="G1246" s="5">
        <v>16.968551000000001</v>
      </c>
      <c r="H1246" s="11">
        <v>0</v>
      </c>
      <c r="I1246" s="11">
        <v>0</v>
      </c>
      <c r="J1246" s="11">
        <v>0</v>
      </c>
      <c r="K1246" s="7">
        <f t="shared" si="38"/>
        <v>15.126396500000002</v>
      </c>
      <c r="L1246" s="8">
        <f t="shared" si="39"/>
        <v>0</v>
      </c>
      <c r="M1246" s="9">
        <v>1.9869359691820999E-14</v>
      </c>
      <c r="N1246" s="9">
        <v>8.7223509789008897E-13</v>
      </c>
      <c r="O1246" s="2">
        <v>-5.4250838639477204</v>
      </c>
      <c r="P1246" t="s">
        <v>4566</v>
      </c>
      <c r="Q1246" s="10">
        <f>IF(N1246&lt;='[1]statistical criteria'!$B$2,IF(O1246&gt;=LOG('[1]statistical criteria'!$B$3,2),1,IF(O1246&lt;=-1*LOG('[1]statistical criteria'!$B$3,2),2,"-")),"-")</f>
        <v>2</v>
      </c>
      <c r="R1246" t="s">
        <v>4568</v>
      </c>
    </row>
    <row r="1247" spans="1:21" x14ac:dyDescent="0.35">
      <c r="A1247" t="s">
        <v>4569</v>
      </c>
      <c r="B1247" t="s">
        <v>4570</v>
      </c>
      <c r="C1247">
        <v>519</v>
      </c>
      <c r="D1247" s="5">
        <v>14.804793</v>
      </c>
      <c r="E1247" s="5">
        <v>15.014127</v>
      </c>
      <c r="F1247" s="5">
        <v>19.127041999999999</v>
      </c>
      <c r="G1247" s="5">
        <v>12.830527</v>
      </c>
      <c r="H1247" s="11">
        <v>0</v>
      </c>
      <c r="I1247" s="11">
        <v>0</v>
      </c>
      <c r="J1247" s="11">
        <v>0</v>
      </c>
      <c r="K1247" s="7">
        <f t="shared" si="38"/>
        <v>15.444122249999999</v>
      </c>
      <c r="L1247" s="8">
        <f t="shared" si="39"/>
        <v>0</v>
      </c>
      <c r="M1247" s="9">
        <v>5.8268984126770298E-9</v>
      </c>
      <c r="N1247" s="9">
        <v>1.09193379412352E-7</v>
      </c>
      <c r="O1247" s="2">
        <v>-5.4254142872681097</v>
      </c>
      <c r="P1247" t="s">
        <v>4569</v>
      </c>
      <c r="Q1247" s="10">
        <f>IF(N1247&lt;='[1]statistical criteria'!$B$2,IF(O1247&gt;=LOG('[1]statistical criteria'!$B$3,2),1,IF(O1247&lt;=-1*LOG('[1]statistical criteria'!$B$3,2),2,"-")),"-")</f>
        <v>2</v>
      </c>
      <c r="S1247" t="s">
        <v>4571</v>
      </c>
      <c r="T1247">
        <v>1.1000000000000001</v>
      </c>
      <c r="U1247" t="s">
        <v>4572</v>
      </c>
    </row>
    <row r="1248" spans="1:21" x14ac:dyDescent="0.35">
      <c r="A1248" t="s">
        <v>4573</v>
      </c>
      <c r="B1248" t="s">
        <v>2678</v>
      </c>
      <c r="C1248">
        <v>546</v>
      </c>
      <c r="D1248" s="5">
        <v>16.16818</v>
      </c>
      <c r="E1248" s="5">
        <v>41.547196999999997</v>
      </c>
      <c r="F1248" s="5">
        <v>10.446498999999999</v>
      </c>
      <c r="G1248" s="5">
        <v>14.039650999999999</v>
      </c>
      <c r="H1248" s="11">
        <v>0</v>
      </c>
      <c r="I1248" s="11">
        <v>0</v>
      </c>
      <c r="J1248" s="11">
        <v>0</v>
      </c>
      <c r="K1248" s="7">
        <f t="shared" si="38"/>
        <v>20.55038175</v>
      </c>
      <c r="L1248" s="8">
        <f t="shared" si="39"/>
        <v>0</v>
      </c>
      <c r="M1248" s="9">
        <v>3.7415665519649698E-10</v>
      </c>
      <c r="N1248" s="9">
        <v>8.6148834221286602E-9</v>
      </c>
      <c r="O1248" s="2">
        <v>-5.43852654992273</v>
      </c>
      <c r="P1248" t="s">
        <v>4573</v>
      </c>
      <c r="Q1248" s="10">
        <f>IF(N1248&lt;='[1]statistical criteria'!$B$2,IF(O1248&gt;=LOG('[1]statistical criteria'!$B$3,2),1,IF(O1248&lt;=-1*LOG('[1]statistical criteria'!$B$3,2),2,"-")),"-")</f>
        <v>2</v>
      </c>
    </row>
    <row r="1249" spans="1:21" x14ac:dyDescent="0.35">
      <c r="A1249" t="s">
        <v>4574</v>
      </c>
      <c r="B1249" t="s">
        <v>4575</v>
      </c>
      <c r="C1249">
        <v>1536</v>
      </c>
      <c r="D1249" s="5">
        <v>4.4093119999999999</v>
      </c>
      <c r="E1249" s="5">
        <v>6.5468409999999997</v>
      </c>
      <c r="F1249" s="5">
        <v>7.9771710000000002</v>
      </c>
      <c r="G1249" s="5">
        <v>5.3849910000000003</v>
      </c>
      <c r="H1249" s="11">
        <v>0</v>
      </c>
      <c r="I1249" s="11">
        <v>0</v>
      </c>
      <c r="J1249" s="11">
        <v>0</v>
      </c>
      <c r="K1249" s="7">
        <f t="shared" si="38"/>
        <v>6.0795787499999996</v>
      </c>
      <c r="L1249" s="8">
        <f t="shared" si="39"/>
        <v>0</v>
      </c>
      <c r="M1249" s="9">
        <v>2.52511305279615E-13</v>
      </c>
      <c r="N1249" s="9">
        <v>9.5818347746183007E-12</v>
      </c>
      <c r="O1249" s="2">
        <v>-5.44542026013937</v>
      </c>
      <c r="P1249" t="s">
        <v>4574</v>
      </c>
      <c r="Q1249" s="10">
        <f>IF(N1249&lt;='[1]statistical criteria'!$B$2,IF(O1249&gt;=LOG('[1]statistical criteria'!$B$3,2),1,IF(O1249&lt;=-1*LOG('[1]statistical criteria'!$B$3,2),2,"-")),"-")</f>
        <v>2</v>
      </c>
      <c r="R1249" t="s">
        <v>4576</v>
      </c>
    </row>
    <row r="1250" spans="1:21" x14ac:dyDescent="0.35">
      <c r="A1250" t="s">
        <v>4577</v>
      </c>
      <c r="B1250" t="s">
        <v>4578</v>
      </c>
      <c r="C1250">
        <v>2220</v>
      </c>
      <c r="D1250" s="5">
        <v>50.871147999999998</v>
      </c>
      <c r="E1250" s="5">
        <v>33.173051000000001</v>
      </c>
      <c r="F1250" s="5">
        <v>45.616408</v>
      </c>
      <c r="G1250" s="5">
        <v>38.340851999999998</v>
      </c>
      <c r="H1250" s="11">
        <v>0</v>
      </c>
      <c r="I1250" s="6">
        <v>1.323018</v>
      </c>
      <c r="J1250" s="6">
        <v>7.4314000000000005E-2</v>
      </c>
      <c r="K1250" s="7">
        <f t="shared" si="38"/>
        <v>42.000364750000003</v>
      </c>
      <c r="L1250" s="8">
        <f t="shared" si="39"/>
        <v>0.46577733333333332</v>
      </c>
      <c r="M1250" s="9">
        <v>8.8851140480168E-18</v>
      </c>
      <c r="N1250" s="9">
        <v>6.4659166475625097E-16</v>
      </c>
      <c r="O1250" s="2">
        <v>-5.44636060356759</v>
      </c>
      <c r="P1250" t="s">
        <v>4577</v>
      </c>
      <c r="Q1250" s="10">
        <f>IF(N1250&lt;='[1]statistical criteria'!$B$2,IF(O1250&gt;=LOG('[1]statistical criteria'!$B$3,2),1,IF(O1250&lt;=-1*LOG('[1]statistical criteria'!$B$3,2),2,"-")),"-")</f>
        <v>2</v>
      </c>
      <c r="R1250" t="s">
        <v>3308</v>
      </c>
      <c r="S1250" t="s">
        <v>3309</v>
      </c>
      <c r="T1250">
        <v>0</v>
      </c>
      <c r="U1250" t="s">
        <v>3310</v>
      </c>
    </row>
    <row r="1251" spans="1:21" x14ac:dyDescent="0.35">
      <c r="A1251" t="s">
        <v>4579</v>
      </c>
      <c r="B1251" t="s">
        <v>4580</v>
      </c>
      <c r="C1251">
        <v>447</v>
      </c>
      <c r="D1251" s="5">
        <v>14.104305</v>
      </c>
      <c r="E1251" s="5">
        <v>31.537430000000001</v>
      </c>
      <c r="F1251" s="5">
        <v>13.265471</v>
      </c>
      <c r="G1251" s="5">
        <v>30.336327000000001</v>
      </c>
      <c r="H1251" s="11">
        <v>0</v>
      </c>
      <c r="I1251" s="11">
        <v>0</v>
      </c>
      <c r="J1251" s="11">
        <v>0</v>
      </c>
      <c r="K1251" s="7">
        <f t="shared" si="38"/>
        <v>22.31088325</v>
      </c>
      <c r="L1251" s="8">
        <f t="shared" si="39"/>
        <v>0</v>
      </c>
      <c r="M1251" s="9">
        <v>2.0746596287725502E-11</v>
      </c>
      <c r="N1251" s="9">
        <v>5.8317241854566799E-10</v>
      </c>
      <c r="O1251" s="2">
        <v>-5.4470293118872499</v>
      </c>
      <c r="P1251" t="s">
        <v>4579</v>
      </c>
      <c r="Q1251" s="10">
        <f>IF(N1251&lt;='[1]statistical criteria'!$B$2,IF(O1251&gt;=LOG('[1]statistical criteria'!$B$3,2),1,IF(O1251&lt;=-1*LOG('[1]statistical criteria'!$B$3,2),2,"-")),"-")</f>
        <v>2</v>
      </c>
      <c r="R1251" t="s">
        <v>773</v>
      </c>
    </row>
    <row r="1252" spans="1:21" x14ac:dyDescent="0.35">
      <c r="A1252" t="s">
        <v>4581</v>
      </c>
      <c r="B1252" t="s">
        <v>4582</v>
      </c>
      <c r="C1252">
        <v>1578</v>
      </c>
      <c r="D1252" s="5">
        <v>7.2449180000000002</v>
      </c>
      <c r="E1252" s="5">
        <v>8.3903569999999998</v>
      </c>
      <c r="F1252" s="5">
        <v>9.6946209999999997</v>
      </c>
      <c r="G1252" s="5">
        <v>4.6623000000000001</v>
      </c>
      <c r="H1252" s="11">
        <v>0</v>
      </c>
      <c r="I1252" s="11">
        <v>0</v>
      </c>
      <c r="J1252" s="11">
        <v>0</v>
      </c>
      <c r="K1252" s="7">
        <f t="shared" si="38"/>
        <v>7.498049</v>
      </c>
      <c r="L1252" s="8">
        <f t="shared" si="39"/>
        <v>0</v>
      </c>
      <c r="M1252" s="9">
        <v>9.0508612805487595E-29</v>
      </c>
      <c r="N1252" s="9">
        <v>1.96843303050106E-26</v>
      </c>
      <c r="O1252" s="2">
        <v>-5.4560060637776502</v>
      </c>
      <c r="P1252" t="s">
        <v>4581</v>
      </c>
      <c r="Q1252" s="10">
        <f>IF(N1252&lt;='[1]statistical criteria'!$B$2,IF(O1252&gt;=LOG('[1]statistical criteria'!$B$3,2),1,IF(O1252&lt;=-1*LOG('[1]statistical criteria'!$B$3,2),2,"-")),"-")</f>
        <v>2</v>
      </c>
      <c r="R1252" t="s">
        <v>4583</v>
      </c>
      <c r="S1252" t="s">
        <v>4584</v>
      </c>
      <c r="T1252">
        <v>0</v>
      </c>
      <c r="U1252" t="s">
        <v>4585</v>
      </c>
    </row>
    <row r="1253" spans="1:21" x14ac:dyDescent="0.35">
      <c r="A1253" t="s">
        <v>4586</v>
      </c>
      <c r="B1253" t="s">
        <v>4587</v>
      </c>
      <c r="C1253">
        <v>210</v>
      </c>
      <c r="D1253" s="5">
        <v>128.758511</v>
      </c>
      <c r="E1253" s="5">
        <v>131.98103800000001</v>
      </c>
      <c r="F1253" s="5">
        <v>195.23387600000001</v>
      </c>
      <c r="G1253" s="5">
        <v>303.78165799999999</v>
      </c>
      <c r="H1253" s="11">
        <v>0</v>
      </c>
      <c r="I1253" s="11">
        <v>0</v>
      </c>
      <c r="J1253" s="11">
        <v>0</v>
      </c>
      <c r="K1253" s="7">
        <f t="shared" si="38"/>
        <v>189.93877075</v>
      </c>
      <c r="L1253" s="8">
        <f t="shared" si="39"/>
        <v>0</v>
      </c>
      <c r="M1253" s="9">
        <v>4.7167477909560402E-12</v>
      </c>
      <c r="N1253" s="9">
        <v>1.4595074871852601E-10</v>
      </c>
      <c r="O1253" s="2">
        <v>-5.4610588594059903</v>
      </c>
      <c r="P1253" t="s">
        <v>4586</v>
      </c>
      <c r="Q1253" s="10">
        <f>IF(N1253&lt;='[1]statistical criteria'!$B$2,IF(O1253&gt;=LOG('[1]statistical criteria'!$B$3,2),1,IF(O1253&lt;=-1*LOG('[1]statistical criteria'!$B$3,2),2,"-")),"-")</f>
        <v>2</v>
      </c>
      <c r="R1253" t="s">
        <v>4588</v>
      </c>
    </row>
    <row r="1254" spans="1:21" x14ac:dyDescent="0.35">
      <c r="A1254" t="s">
        <v>4589</v>
      </c>
      <c r="B1254" t="s">
        <v>4590</v>
      </c>
      <c r="C1254">
        <v>612</v>
      </c>
      <c r="D1254" s="5">
        <v>111.048186</v>
      </c>
      <c r="E1254" s="5">
        <v>96.445785999999998</v>
      </c>
      <c r="F1254" s="5">
        <v>73.690141999999994</v>
      </c>
      <c r="G1254" s="5">
        <v>120.102816</v>
      </c>
      <c r="H1254" s="11">
        <v>0</v>
      </c>
      <c r="I1254" s="6">
        <v>8.5537100000000006</v>
      </c>
      <c r="J1254" s="11">
        <v>0</v>
      </c>
      <c r="K1254" s="7">
        <f t="shared" si="38"/>
        <v>100.3217325</v>
      </c>
      <c r="L1254" s="8">
        <f t="shared" si="39"/>
        <v>2.8512366666666669</v>
      </c>
      <c r="M1254" s="9">
        <v>2.49045108540618E-13</v>
      </c>
      <c r="N1254" s="9">
        <v>9.4786568310559105E-12</v>
      </c>
      <c r="O1254" s="2">
        <v>-5.4680880774662901</v>
      </c>
      <c r="P1254" t="s">
        <v>4589</v>
      </c>
      <c r="Q1254" s="10">
        <f>IF(N1254&lt;='[1]statistical criteria'!$B$2,IF(O1254&gt;=LOG('[1]statistical criteria'!$B$3,2),1,IF(O1254&lt;=-1*LOG('[1]statistical criteria'!$B$3,2),2,"-")),"-")</f>
        <v>2</v>
      </c>
    </row>
    <row r="1255" spans="1:21" x14ac:dyDescent="0.35">
      <c r="A1255" t="s">
        <v>4591</v>
      </c>
      <c r="B1255" t="s">
        <v>4592</v>
      </c>
      <c r="C1255">
        <v>444</v>
      </c>
      <c r="D1255" s="5">
        <v>173.09870000000001</v>
      </c>
      <c r="E1255" s="5">
        <v>322.38862899999998</v>
      </c>
      <c r="F1255" s="5">
        <v>274.23873099999997</v>
      </c>
      <c r="G1255" s="5">
        <v>239.634882</v>
      </c>
      <c r="H1255" s="6">
        <v>1.043453</v>
      </c>
      <c r="I1255" s="6">
        <v>29.585829</v>
      </c>
      <c r="J1255" s="11">
        <v>0</v>
      </c>
      <c r="K1255" s="7">
        <f t="shared" ref="K1255:K1318" si="40">AVERAGE(D1255:G1255)</f>
        <v>252.34023550000001</v>
      </c>
      <c r="L1255" s="8">
        <f t="shared" ref="L1255:L1318" si="41">AVERAGE(H1255:J1255)</f>
        <v>10.209760666666666</v>
      </c>
      <c r="M1255" s="9">
        <v>5.8741789567618304E-11</v>
      </c>
      <c r="N1255" s="9">
        <v>1.5429347901611801E-9</v>
      </c>
      <c r="O1255" s="2">
        <v>-5.4729537886157802</v>
      </c>
      <c r="P1255" t="s">
        <v>4591</v>
      </c>
      <c r="Q1255" s="10">
        <f>IF(N1255&lt;='[1]statistical criteria'!$B$2,IF(O1255&gt;=LOG('[1]statistical criteria'!$B$3,2),1,IF(O1255&lt;=-1*LOG('[1]statistical criteria'!$B$3,2),2,"-")),"-")</f>
        <v>2</v>
      </c>
      <c r="R1255" t="s">
        <v>3847</v>
      </c>
    </row>
    <row r="1256" spans="1:21" x14ac:dyDescent="0.35">
      <c r="A1256" t="s">
        <v>4593</v>
      </c>
      <c r="B1256" t="s">
        <v>4594</v>
      </c>
      <c r="C1256">
        <v>1472</v>
      </c>
      <c r="D1256" s="5">
        <v>27.079543000000001</v>
      </c>
      <c r="E1256" s="5">
        <v>31.520828999999999</v>
      </c>
      <c r="F1256" s="5">
        <v>26.686339</v>
      </c>
      <c r="G1256" s="5">
        <v>29.692453</v>
      </c>
      <c r="H1256" s="11">
        <v>0</v>
      </c>
      <c r="I1256" s="6">
        <v>1.1770499999999999</v>
      </c>
      <c r="J1256" s="11">
        <v>0</v>
      </c>
      <c r="K1256" s="7">
        <f t="shared" si="40"/>
        <v>28.744790999999999</v>
      </c>
      <c r="L1256" s="8">
        <f t="shared" si="41"/>
        <v>0.39234999999999998</v>
      </c>
      <c r="M1256" s="9">
        <v>5.8503338703017597E-15</v>
      </c>
      <c r="N1256" s="9">
        <v>2.7832963387960598E-13</v>
      </c>
      <c r="O1256" s="2">
        <v>-5.4745939460438198</v>
      </c>
      <c r="P1256" t="s">
        <v>4593</v>
      </c>
      <c r="Q1256" s="10">
        <f>IF(N1256&lt;='[1]statistical criteria'!$B$2,IF(O1256&gt;=LOG('[1]statistical criteria'!$B$3,2),1,IF(O1256&lt;=-1*LOG('[1]statistical criteria'!$B$3,2),2,"-")),"-")</f>
        <v>2</v>
      </c>
      <c r="R1256" t="s">
        <v>1873</v>
      </c>
      <c r="S1256" t="s">
        <v>2878</v>
      </c>
      <c r="T1256">
        <v>0</v>
      </c>
      <c r="U1256" t="s">
        <v>1875</v>
      </c>
    </row>
    <row r="1257" spans="1:21" x14ac:dyDescent="0.35">
      <c r="A1257" t="s">
        <v>4595</v>
      </c>
      <c r="B1257" t="s">
        <v>4596</v>
      </c>
      <c r="C1257">
        <v>1854</v>
      </c>
      <c r="D1257" s="5">
        <v>10.616001000000001</v>
      </c>
      <c r="E1257" s="5">
        <v>30.029786999999999</v>
      </c>
      <c r="F1257" s="5">
        <v>35.036160000000002</v>
      </c>
      <c r="G1257" s="5">
        <v>36.664285999999997</v>
      </c>
      <c r="H1257" s="6">
        <v>0.79583199999999998</v>
      </c>
      <c r="I1257" s="11">
        <v>0</v>
      </c>
      <c r="J1257" s="11">
        <v>0</v>
      </c>
      <c r="K1257" s="7">
        <f t="shared" si="40"/>
        <v>28.086558500000002</v>
      </c>
      <c r="L1257" s="8">
        <f t="shared" si="41"/>
        <v>0.26527733333333331</v>
      </c>
      <c r="M1257" s="9">
        <v>1.7017110943820899E-16</v>
      </c>
      <c r="N1257" s="9">
        <v>1.03296848887053E-14</v>
      </c>
      <c r="O1257" s="2">
        <v>-5.4850608702411803</v>
      </c>
      <c r="P1257" t="s">
        <v>4595</v>
      </c>
      <c r="Q1257" s="10">
        <f>IF(N1257&lt;='[1]statistical criteria'!$B$2,IF(O1257&gt;=LOG('[1]statistical criteria'!$B$3,2),1,IF(O1257&lt;=-1*LOG('[1]statistical criteria'!$B$3,2),2,"-")),"-")</f>
        <v>2</v>
      </c>
      <c r="R1257" t="s">
        <v>4597</v>
      </c>
      <c r="S1257" t="s">
        <v>4598</v>
      </c>
      <c r="T1257">
        <v>0</v>
      </c>
      <c r="U1257" t="s">
        <v>4599</v>
      </c>
    </row>
    <row r="1258" spans="1:21" x14ac:dyDescent="0.35">
      <c r="A1258" t="s">
        <v>4600</v>
      </c>
      <c r="B1258" t="s">
        <v>4601</v>
      </c>
      <c r="C1258">
        <v>1409</v>
      </c>
      <c r="D1258" s="5">
        <v>3.9909309999999998</v>
      </c>
      <c r="E1258" s="5">
        <v>15.618842000000001</v>
      </c>
      <c r="F1258" s="5">
        <v>12.839326</v>
      </c>
      <c r="G1258" s="5">
        <v>11.547292000000001</v>
      </c>
      <c r="H1258" s="11">
        <v>0</v>
      </c>
      <c r="I1258" s="11">
        <v>0</v>
      </c>
      <c r="J1258" s="11">
        <v>0</v>
      </c>
      <c r="K1258" s="7">
        <f t="shared" si="40"/>
        <v>10.999097750000001</v>
      </c>
      <c r="L1258" s="8">
        <f t="shared" si="41"/>
        <v>0</v>
      </c>
      <c r="M1258" s="9">
        <v>3.0954598673792201E-16</v>
      </c>
      <c r="N1258" s="9">
        <v>1.7925115097873501E-14</v>
      </c>
      <c r="O1258" s="2">
        <v>-5.4863552954493597</v>
      </c>
      <c r="P1258" t="s">
        <v>4600</v>
      </c>
      <c r="Q1258" s="10">
        <f>IF(N1258&lt;='[1]statistical criteria'!$B$2,IF(O1258&gt;=LOG('[1]statistical criteria'!$B$3,2),1,IF(O1258&lt;=-1*LOG('[1]statistical criteria'!$B$3,2),2,"-")),"-")</f>
        <v>2</v>
      </c>
      <c r="R1258" t="s">
        <v>94</v>
      </c>
      <c r="S1258" t="s">
        <v>4602</v>
      </c>
      <c r="T1258">
        <v>0</v>
      </c>
      <c r="U1258" t="s">
        <v>95</v>
      </c>
    </row>
    <row r="1259" spans="1:21" x14ac:dyDescent="0.35">
      <c r="A1259" t="s">
        <v>4603</v>
      </c>
      <c r="B1259" t="s">
        <v>4604</v>
      </c>
      <c r="C1259">
        <v>732</v>
      </c>
      <c r="D1259" s="5">
        <v>6.0051519999999998</v>
      </c>
      <c r="E1259" s="5">
        <v>6.5216839999999996</v>
      </c>
      <c r="F1259" s="5">
        <v>13.64392</v>
      </c>
      <c r="G1259" s="5">
        <v>11.048297</v>
      </c>
      <c r="H1259" s="11">
        <v>0</v>
      </c>
      <c r="I1259" s="11">
        <v>0</v>
      </c>
      <c r="J1259" s="11">
        <v>0</v>
      </c>
      <c r="K1259" s="7">
        <f t="shared" si="40"/>
        <v>9.3047632499999988</v>
      </c>
      <c r="L1259" s="8">
        <f t="shared" si="41"/>
        <v>0</v>
      </c>
      <c r="M1259" s="9">
        <v>6.5322202399735398E-11</v>
      </c>
      <c r="N1259" s="9">
        <v>1.6935715417806101E-9</v>
      </c>
      <c r="O1259" s="2">
        <v>-5.4872822122496903</v>
      </c>
      <c r="P1259" t="s">
        <v>4603</v>
      </c>
      <c r="Q1259" s="10">
        <f>IF(N1259&lt;='[1]statistical criteria'!$B$2,IF(O1259&gt;=LOG('[1]statistical criteria'!$B$3,2),1,IF(O1259&lt;=-1*LOG('[1]statistical criteria'!$B$3,2),2,"-")),"-")</f>
        <v>2</v>
      </c>
      <c r="R1259" t="s">
        <v>1052</v>
      </c>
      <c r="S1259" t="s">
        <v>4605</v>
      </c>
      <c r="T1259" s="9">
        <v>9.0000000000000001E-52</v>
      </c>
      <c r="U1259" t="s">
        <v>1054</v>
      </c>
    </row>
    <row r="1260" spans="1:21" x14ac:dyDescent="0.35">
      <c r="A1260" t="s">
        <v>4606</v>
      </c>
      <c r="B1260" t="s">
        <v>4607</v>
      </c>
      <c r="C1260">
        <v>6465</v>
      </c>
      <c r="D1260" s="5">
        <v>1.304719</v>
      </c>
      <c r="E1260" s="5">
        <v>2.2984230000000001</v>
      </c>
      <c r="F1260" s="5">
        <v>1.687228</v>
      </c>
      <c r="G1260" s="5">
        <v>1.9438519999999999</v>
      </c>
      <c r="H1260" s="11">
        <v>0</v>
      </c>
      <c r="I1260" s="11">
        <v>0</v>
      </c>
      <c r="J1260" s="11">
        <v>0</v>
      </c>
      <c r="K1260" s="7">
        <f t="shared" si="40"/>
        <v>1.8085555</v>
      </c>
      <c r="L1260" s="8">
        <f t="shared" si="41"/>
        <v>0</v>
      </c>
      <c r="M1260" s="9">
        <v>1.2409848404579999E-11</v>
      </c>
      <c r="N1260" s="9">
        <v>3.6248567174083898E-10</v>
      </c>
      <c r="O1260" s="2">
        <v>-5.4899824927968099</v>
      </c>
      <c r="P1260" t="s">
        <v>4606</v>
      </c>
      <c r="Q1260" s="10">
        <f>IF(N1260&lt;='[1]statistical criteria'!$B$2,IF(O1260&gt;=LOG('[1]statistical criteria'!$B$3,2),1,IF(O1260&lt;=-1*LOG('[1]statistical criteria'!$B$3,2),2,"-")),"-")</f>
        <v>2</v>
      </c>
      <c r="S1260" t="s">
        <v>4608</v>
      </c>
      <c r="T1260">
        <v>0</v>
      </c>
      <c r="U1260" t="s">
        <v>4609</v>
      </c>
    </row>
    <row r="1261" spans="1:21" x14ac:dyDescent="0.35">
      <c r="A1261" t="s">
        <v>4610</v>
      </c>
      <c r="B1261" t="s">
        <v>4611</v>
      </c>
      <c r="C1261">
        <v>3750</v>
      </c>
      <c r="D1261" s="5">
        <v>2.8218299999999998</v>
      </c>
      <c r="E1261" s="5">
        <v>9.8985140000000005</v>
      </c>
      <c r="F1261" s="5">
        <v>3.7344339999999998</v>
      </c>
      <c r="G1261" s="5">
        <v>1.902091</v>
      </c>
      <c r="H1261" s="11">
        <v>0</v>
      </c>
      <c r="I1261" s="11">
        <v>0</v>
      </c>
      <c r="J1261" s="11">
        <v>0</v>
      </c>
      <c r="K1261" s="7">
        <f t="shared" si="40"/>
        <v>4.5892172499999999</v>
      </c>
      <c r="L1261" s="8">
        <f t="shared" si="41"/>
        <v>0</v>
      </c>
      <c r="M1261" s="9">
        <v>3.0978655600760599E-17</v>
      </c>
      <c r="N1261" s="9">
        <v>2.1092086443022301E-15</v>
      </c>
      <c r="O1261" s="2">
        <v>-5.5013329189984104</v>
      </c>
      <c r="P1261" t="s">
        <v>4610</v>
      </c>
      <c r="Q1261" s="10">
        <f>IF(N1261&lt;='[1]statistical criteria'!$B$2,IF(O1261&gt;=LOG('[1]statistical criteria'!$B$3,2),1,IF(O1261&lt;=-1*LOG('[1]statistical criteria'!$B$3,2),2,"-")),"-")</f>
        <v>2</v>
      </c>
      <c r="R1261" t="s">
        <v>4612</v>
      </c>
      <c r="S1261" t="s">
        <v>4613</v>
      </c>
      <c r="T1261">
        <v>0</v>
      </c>
      <c r="U1261" t="s">
        <v>4614</v>
      </c>
    </row>
    <row r="1262" spans="1:21" x14ac:dyDescent="0.35">
      <c r="A1262" t="s">
        <v>398</v>
      </c>
      <c r="B1262" t="s">
        <v>4615</v>
      </c>
      <c r="C1262">
        <v>1520</v>
      </c>
      <c r="D1262" s="5">
        <v>4.5398300000000003</v>
      </c>
      <c r="E1262" s="5">
        <v>44.636800999999998</v>
      </c>
      <c r="F1262" s="5">
        <v>106.14914899999999</v>
      </c>
      <c r="G1262" s="5">
        <v>83.565034999999995</v>
      </c>
      <c r="H1262" s="6">
        <v>3.1969150000000002</v>
      </c>
      <c r="I1262" s="11">
        <v>0</v>
      </c>
      <c r="J1262" s="11">
        <v>0</v>
      </c>
      <c r="K1262" s="7">
        <f t="shared" si="40"/>
        <v>59.722703750000001</v>
      </c>
      <c r="L1262" s="8">
        <f t="shared" si="41"/>
        <v>1.0656383333333335</v>
      </c>
      <c r="M1262" s="9">
        <v>1.61502782155509E-9</v>
      </c>
      <c r="N1262" s="9">
        <v>3.3589048572888801E-8</v>
      </c>
      <c r="O1262" s="2">
        <v>-5.50447732656</v>
      </c>
      <c r="P1262" t="s">
        <v>398</v>
      </c>
      <c r="Q1262" s="10">
        <f>IF(N1262&lt;='[1]statistical criteria'!$B$2,IF(O1262&gt;=LOG('[1]statistical criteria'!$B$3,2),1,IF(O1262&lt;=-1*LOG('[1]statistical criteria'!$B$3,2),2,"-")),"-")</f>
        <v>2</v>
      </c>
      <c r="S1262" t="s">
        <v>392</v>
      </c>
      <c r="T1262" s="9">
        <v>1E-79</v>
      </c>
      <c r="U1262" t="s">
        <v>393</v>
      </c>
    </row>
    <row r="1263" spans="1:21" x14ac:dyDescent="0.35">
      <c r="A1263" t="s">
        <v>4616</v>
      </c>
      <c r="B1263" t="s">
        <v>4617</v>
      </c>
      <c r="C1263">
        <v>2564</v>
      </c>
      <c r="D1263" s="5">
        <v>6.6615510000000002</v>
      </c>
      <c r="E1263" s="5">
        <v>8.417389</v>
      </c>
      <c r="F1263" s="5">
        <v>4.4966619999999997</v>
      </c>
      <c r="G1263" s="5">
        <v>5.5814820000000003</v>
      </c>
      <c r="H1263" s="11">
        <v>0</v>
      </c>
      <c r="I1263" s="11">
        <v>0</v>
      </c>
      <c r="J1263" s="11">
        <v>0</v>
      </c>
      <c r="K1263" s="7">
        <f t="shared" si="40"/>
        <v>6.2892710000000003</v>
      </c>
      <c r="L1263" s="8">
        <f t="shared" si="41"/>
        <v>0</v>
      </c>
      <c r="M1263" s="9">
        <v>2.1735280472826201E-17</v>
      </c>
      <c r="N1263" s="9">
        <v>1.50408140871957E-15</v>
      </c>
      <c r="O1263" s="2">
        <v>-5.5178707138474197</v>
      </c>
      <c r="P1263" t="s">
        <v>4616</v>
      </c>
      <c r="Q1263" s="10">
        <f>IF(N1263&lt;='[1]statistical criteria'!$B$2,IF(O1263&gt;=LOG('[1]statistical criteria'!$B$3,2),1,IF(O1263&lt;=-1*LOG('[1]statistical criteria'!$B$3,2),2,"-")),"-")</f>
        <v>2</v>
      </c>
      <c r="R1263" t="s">
        <v>4618</v>
      </c>
      <c r="S1263" t="s">
        <v>4619</v>
      </c>
      <c r="T1263" s="9">
        <v>8.0000000000000003E-108</v>
      </c>
      <c r="U1263" t="s">
        <v>4620</v>
      </c>
    </row>
    <row r="1264" spans="1:21" x14ac:dyDescent="0.35">
      <c r="A1264" t="s">
        <v>4621</v>
      </c>
      <c r="B1264" t="s">
        <v>4622</v>
      </c>
      <c r="C1264">
        <v>1956</v>
      </c>
      <c r="D1264" s="5">
        <v>11.487541999999999</v>
      </c>
      <c r="E1264" s="5">
        <v>8.1568480000000001</v>
      </c>
      <c r="F1264" s="5">
        <v>4.4611799999999997</v>
      </c>
      <c r="G1264" s="5">
        <v>6.3527230000000001</v>
      </c>
      <c r="H1264" s="11">
        <v>0</v>
      </c>
      <c r="I1264" s="11">
        <v>0</v>
      </c>
      <c r="J1264" s="11">
        <v>0</v>
      </c>
      <c r="K1264" s="7">
        <f t="shared" si="40"/>
        <v>7.6145732500000003</v>
      </c>
      <c r="L1264" s="8">
        <f t="shared" si="41"/>
        <v>0</v>
      </c>
      <c r="M1264" s="9">
        <v>4.4096517589319002E-26</v>
      </c>
      <c r="N1264" s="9">
        <v>7.5941785495451603E-24</v>
      </c>
      <c r="O1264" s="2">
        <v>-5.5251264107667604</v>
      </c>
      <c r="P1264" t="s">
        <v>4621</v>
      </c>
      <c r="Q1264" s="10">
        <f>IF(N1264&lt;='[1]statistical criteria'!$B$2,IF(O1264&gt;=LOG('[1]statistical criteria'!$B$3,2),1,IF(O1264&lt;=-1*LOG('[1]statistical criteria'!$B$3,2),2,"-")),"-")</f>
        <v>2</v>
      </c>
      <c r="R1264" t="s">
        <v>4623</v>
      </c>
      <c r="S1264" t="s">
        <v>4624</v>
      </c>
      <c r="T1264">
        <v>0</v>
      </c>
      <c r="U1264" t="s">
        <v>4625</v>
      </c>
    </row>
    <row r="1265" spans="1:21" x14ac:dyDescent="0.35">
      <c r="A1265" t="s">
        <v>4626</v>
      </c>
      <c r="B1265" t="s">
        <v>4627</v>
      </c>
      <c r="C1265">
        <v>1095</v>
      </c>
      <c r="D1265" s="5">
        <v>10.046101</v>
      </c>
      <c r="E1265" s="5">
        <v>8.8261769999999995</v>
      </c>
      <c r="F1265" s="5">
        <v>9.4423809999999992</v>
      </c>
      <c r="G1265" s="5">
        <v>14.798795999999999</v>
      </c>
      <c r="H1265" s="11">
        <v>0</v>
      </c>
      <c r="I1265" s="11">
        <v>0</v>
      </c>
      <c r="J1265" s="11">
        <v>0</v>
      </c>
      <c r="K1265" s="7">
        <f t="shared" si="40"/>
        <v>10.77836375</v>
      </c>
      <c r="L1265" s="8">
        <f t="shared" si="41"/>
        <v>0</v>
      </c>
      <c r="M1265" s="9">
        <v>5.8625040282150599E-21</v>
      </c>
      <c r="N1265" s="9">
        <v>6.09636347852091E-19</v>
      </c>
      <c r="O1265" s="2">
        <v>-5.5270774291995401</v>
      </c>
      <c r="P1265" t="s">
        <v>4626</v>
      </c>
      <c r="Q1265" s="10">
        <f>IF(N1265&lt;='[1]statistical criteria'!$B$2,IF(O1265&gt;=LOG('[1]statistical criteria'!$B$3,2),1,IF(O1265&lt;=-1*LOG('[1]statistical criteria'!$B$3,2),2,"-")),"-")</f>
        <v>2</v>
      </c>
      <c r="S1265" t="s">
        <v>4628</v>
      </c>
      <c r="T1265" s="9">
        <v>8.9999999999999999E-111</v>
      </c>
      <c r="U1265" t="s">
        <v>4629</v>
      </c>
    </row>
    <row r="1266" spans="1:21" x14ac:dyDescent="0.35">
      <c r="A1266" t="s">
        <v>4630</v>
      </c>
      <c r="B1266" t="s">
        <v>4631</v>
      </c>
      <c r="C1266">
        <v>1491</v>
      </c>
      <c r="D1266" s="5">
        <v>9.2489319999999999</v>
      </c>
      <c r="E1266" s="5">
        <v>5.6606249999999996</v>
      </c>
      <c r="F1266" s="5">
        <v>14.17022</v>
      </c>
      <c r="G1266" s="5">
        <v>11.752806</v>
      </c>
      <c r="H1266" s="11">
        <v>0</v>
      </c>
      <c r="I1266" s="11">
        <v>0</v>
      </c>
      <c r="J1266" s="11">
        <v>0</v>
      </c>
      <c r="K1266" s="7">
        <f t="shared" si="40"/>
        <v>10.20814575</v>
      </c>
      <c r="L1266" s="8">
        <f t="shared" si="41"/>
        <v>0</v>
      </c>
      <c r="M1266" s="9">
        <v>9.2668507646522205E-10</v>
      </c>
      <c r="N1266" s="9">
        <v>2.0028185127919599E-8</v>
      </c>
      <c r="O1266" s="2">
        <v>-5.5382985926236099</v>
      </c>
      <c r="P1266" t="s">
        <v>4630</v>
      </c>
      <c r="Q1266" s="10">
        <f>IF(N1266&lt;='[1]statistical criteria'!$B$2,IF(O1266&gt;=LOG('[1]statistical criteria'!$B$3,2),1,IF(O1266&lt;=-1*LOG('[1]statistical criteria'!$B$3,2),2,"-")),"-")</f>
        <v>2</v>
      </c>
      <c r="R1266" t="s">
        <v>4632</v>
      </c>
      <c r="S1266" t="s">
        <v>4633</v>
      </c>
      <c r="T1266">
        <v>0</v>
      </c>
      <c r="U1266" t="s">
        <v>4634</v>
      </c>
    </row>
    <row r="1267" spans="1:21" x14ac:dyDescent="0.35">
      <c r="A1267" t="s">
        <v>4635</v>
      </c>
      <c r="B1267" t="s">
        <v>4636</v>
      </c>
      <c r="C1267">
        <v>1221</v>
      </c>
      <c r="D1267" s="5">
        <v>7.9633039999999999</v>
      </c>
      <c r="E1267" s="5">
        <v>6.2465799999999998</v>
      </c>
      <c r="F1267" s="5">
        <v>15.759088</v>
      </c>
      <c r="G1267" s="5">
        <v>12.508668999999999</v>
      </c>
      <c r="H1267" s="11">
        <v>0</v>
      </c>
      <c r="I1267" s="11">
        <v>0</v>
      </c>
      <c r="J1267" s="11">
        <v>0</v>
      </c>
      <c r="K1267" s="7">
        <f t="shared" si="40"/>
        <v>10.61941025</v>
      </c>
      <c r="L1267" s="8">
        <f t="shared" si="41"/>
        <v>0</v>
      </c>
      <c r="M1267" s="9">
        <v>8.4049400348207392E-9</v>
      </c>
      <c r="N1267" s="9">
        <v>1.5211222906575201E-7</v>
      </c>
      <c r="O1267" s="2">
        <v>-5.5433976324181797</v>
      </c>
      <c r="P1267" t="s">
        <v>4635</v>
      </c>
      <c r="Q1267" s="10">
        <f>IF(N1267&lt;='[1]statistical criteria'!$B$2,IF(O1267&gt;=LOG('[1]statistical criteria'!$B$3,2),1,IF(O1267&lt;=-1*LOG('[1]statistical criteria'!$B$3,2),2,"-")),"-")</f>
        <v>2</v>
      </c>
      <c r="R1267" t="s">
        <v>4637</v>
      </c>
    </row>
    <row r="1268" spans="1:21" x14ac:dyDescent="0.35">
      <c r="A1268" t="s">
        <v>4638</v>
      </c>
      <c r="B1268" t="s">
        <v>4639</v>
      </c>
      <c r="C1268">
        <v>1238</v>
      </c>
      <c r="D1268" s="5">
        <v>7.0305330000000001</v>
      </c>
      <c r="E1268" s="5">
        <v>12.392474999999999</v>
      </c>
      <c r="F1268" s="5">
        <v>15.285788999999999</v>
      </c>
      <c r="G1268" s="5">
        <v>11.742177</v>
      </c>
      <c r="H1268" s="11">
        <v>0</v>
      </c>
      <c r="I1268" s="11">
        <v>0</v>
      </c>
      <c r="J1268" s="11">
        <v>0</v>
      </c>
      <c r="K1268" s="7">
        <f t="shared" si="40"/>
        <v>11.612743499999999</v>
      </c>
      <c r="L1268" s="8">
        <f t="shared" si="41"/>
        <v>0</v>
      </c>
      <c r="M1268" s="9">
        <v>2.6505149901809399E-15</v>
      </c>
      <c r="N1268" s="9">
        <v>1.33614040432168E-13</v>
      </c>
      <c r="O1268" s="2">
        <v>-5.54404380608434</v>
      </c>
      <c r="P1268" t="s">
        <v>4638</v>
      </c>
      <c r="Q1268" s="10">
        <f>IF(N1268&lt;='[1]statistical criteria'!$B$2,IF(O1268&gt;=LOG('[1]statistical criteria'!$B$3,2),1,IF(O1268&lt;=-1*LOG('[1]statistical criteria'!$B$3,2),2,"-")),"-")</f>
        <v>2</v>
      </c>
      <c r="R1268" t="s">
        <v>4640</v>
      </c>
      <c r="S1268" t="s">
        <v>4641</v>
      </c>
      <c r="T1268" s="9">
        <v>1E-141</v>
      </c>
      <c r="U1268" t="s">
        <v>4642</v>
      </c>
    </row>
    <row r="1269" spans="1:21" x14ac:dyDescent="0.35">
      <c r="A1269" t="s">
        <v>4643</v>
      </c>
      <c r="B1269" t="s">
        <v>4644</v>
      </c>
      <c r="C1269">
        <v>919</v>
      </c>
      <c r="D1269" s="5">
        <v>6.4127210000000003</v>
      </c>
      <c r="E1269" s="5">
        <v>10.218197</v>
      </c>
      <c r="F1269" s="5">
        <v>10.327571000000001</v>
      </c>
      <c r="G1269" s="5">
        <v>5.353078</v>
      </c>
      <c r="H1269" s="11">
        <v>0</v>
      </c>
      <c r="I1269" s="11">
        <v>0</v>
      </c>
      <c r="J1269" s="11">
        <v>0</v>
      </c>
      <c r="K1269" s="7">
        <f t="shared" si="40"/>
        <v>8.0778917499999991</v>
      </c>
      <c r="L1269" s="8">
        <f t="shared" si="41"/>
        <v>0</v>
      </c>
      <c r="M1269" s="9">
        <v>4.2506963657620201E-16</v>
      </c>
      <c r="N1269" s="9">
        <v>2.4182586499387499E-14</v>
      </c>
      <c r="O1269" s="2">
        <v>-5.5440898648606796</v>
      </c>
      <c r="P1269" t="s">
        <v>4643</v>
      </c>
      <c r="Q1269" s="10">
        <f>IF(N1269&lt;='[1]statistical criteria'!$B$2,IF(O1269&gt;=LOG('[1]statistical criteria'!$B$3,2),1,IF(O1269&lt;=-1*LOG('[1]statistical criteria'!$B$3,2),2,"-")),"-")</f>
        <v>2</v>
      </c>
      <c r="R1269" t="s">
        <v>4645</v>
      </c>
      <c r="S1269" t="s">
        <v>4646</v>
      </c>
      <c r="T1269" s="9">
        <v>1.9999999999999999E-88</v>
      </c>
      <c r="U1269" t="s">
        <v>4647</v>
      </c>
    </row>
    <row r="1270" spans="1:21" x14ac:dyDescent="0.35">
      <c r="A1270" t="s">
        <v>4648</v>
      </c>
      <c r="B1270" t="s">
        <v>4649</v>
      </c>
      <c r="C1270">
        <v>1074</v>
      </c>
      <c r="D1270" s="5">
        <v>33.323410000000003</v>
      </c>
      <c r="E1270" s="5">
        <v>22.282927000000001</v>
      </c>
      <c r="F1270" s="5">
        <v>17.864212999999999</v>
      </c>
      <c r="G1270" s="5">
        <v>24.192481000000001</v>
      </c>
      <c r="H1270" s="11">
        <v>0</v>
      </c>
      <c r="I1270" s="11">
        <v>0</v>
      </c>
      <c r="J1270" s="6">
        <v>1.5707800000000001</v>
      </c>
      <c r="K1270" s="7">
        <f t="shared" si="40"/>
        <v>24.415757750000001</v>
      </c>
      <c r="L1270" s="8">
        <f t="shared" si="41"/>
        <v>0.52359333333333336</v>
      </c>
      <c r="M1270" s="9">
        <v>4.7156720162631199E-16</v>
      </c>
      <c r="N1270" s="9">
        <v>2.65894039909592E-14</v>
      </c>
      <c r="O1270" s="2">
        <v>-5.5672797183809202</v>
      </c>
      <c r="P1270" t="s">
        <v>4648</v>
      </c>
      <c r="Q1270" s="10">
        <f>IF(N1270&lt;='[1]statistical criteria'!$B$2,IF(O1270&gt;=LOG('[1]statistical criteria'!$B$3,2),1,IF(O1270&lt;=-1*LOG('[1]statistical criteria'!$B$3,2),2,"-")),"-")</f>
        <v>2</v>
      </c>
      <c r="R1270" t="s">
        <v>3090</v>
      </c>
      <c r="S1270" t="s">
        <v>4650</v>
      </c>
      <c r="T1270" s="9">
        <v>2.0000000000000001E-139</v>
      </c>
      <c r="U1270" t="s">
        <v>3092</v>
      </c>
    </row>
    <row r="1271" spans="1:21" x14ac:dyDescent="0.35">
      <c r="A1271" t="s">
        <v>4651</v>
      </c>
      <c r="B1271" t="s">
        <v>4652</v>
      </c>
      <c r="C1271">
        <v>2028</v>
      </c>
      <c r="D1271" s="5">
        <v>28.616555999999999</v>
      </c>
      <c r="E1271" s="5">
        <v>34.044949000000003</v>
      </c>
      <c r="F1271" s="5">
        <v>40.157550999999998</v>
      </c>
      <c r="G1271" s="5">
        <v>21.580392</v>
      </c>
      <c r="H1271" s="6">
        <v>1.0367850000000001</v>
      </c>
      <c r="I1271" s="11">
        <v>0</v>
      </c>
      <c r="J1271" s="11">
        <v>0</v>
      </c>
      <c r="K1271" s="7">
        <f t="shared" si="40"/>
        <v>31.099862000000002</v>
      </c>
      <c r="L1271" s="8">
        <f t="shared" si="41"/>
        <v>0.34559500000000004</v>
      </c>
      <c r="M1271" s="9">
        <v>1.28757712956254E-9</v>
      </c>
      <c r="N1271" s="9">
        <v>2.7300939025710498E-8</v>
      </c>
      <c r="O1271" s="2">
        <v>-5.5687226337876998</v>
      </c>
      <c r="P1271" t="s">
        <v>4651</v>
      </c>
      <c r="Q1271" s="10">
        <f>IF(N1271&lt;='[1]statistical criteria'!$B$2,IF(O1271&gt;=LOG('[1]statistical criteria'!$B$3,2),1,IF(O1271&lt;=-1*LOG('[1]statistical criteria'!$B$3,2),2,"-")),"-")</f>
        <v>2</v>
      </c>
      <c r="R1271" t="s">
        <v>2131</v>
      </c>
    </row>
    <row r="1272" spans="1:21" x14ac:dyDescent="0.35">
      <c r="A1272" t="s">
        <v>4653</v>
      </c>
      <c r="B1272" t="s">
        <v>4654</v>
      </c>
      <c r="C1272">
        <v>2403</v>
      </c>
      <c r="D1272" s="5">
        <v>4.4278199999999996</v>
      </c>
      <c r="E1272" s="5">
        <v>6.5958019999999999</v>
      </c>
      <c r="F1272" s="5">
        <v>5.0411780000000004</v>
      </c>
      <c r="G1272" s="5">
        <v>6.6024120000000002</v>
      </c>
      <c r="H1272" s="11">
        <v>0</v>
      </c>
      <c r="I1272" s="11">
        <v>0</v>
      </c>
      <c r="J1272" s="11">
        <v>0</v>
      </c>
      <c r="K1272" s="7">
        <f t="shared" si="40"/>
        <v>5.6668029999999998</v>
      </c>
      <c r="L1272" s="8">
        <f t="shared" si="41"/>
        <v>0</v>
      </c>
      <c r="M1272" s="9">
        <v>4.1059365902073498E-12</v>
      </c>
      <c r="N1272" s="9">
        <v>1.28091759527288E-10</v>
      </c>
      <c r="O1272" s="2">
        <v>-5.5700080804047198</v>
      </c>
      <c r="P1272" t="s">
        <v>4653</v>
      </c>
      <c r="Q1272" s="10">
        <f>IF(N1272&lt;='[1]statistical criteria'!$B$2,IF(O1272&gt;=LOG('[1]statistical criteria'!$B$3,2),1,IF(O1272&lt;=-1*LOG('[1]statistical criteria'!$B$3,2),2,"-")),"-")</f>
        <v>2</v>
      </c>
      <c r="R1272" t="s">
        <v>4655</v>
      </c>
      <c r="S1272" t="s">
        <v>4656</v>
      </c>
      <c r="T1272">
        <v>0</v>
      </c>
      <c r="U1272" t="s">
        <v>61</v>
      </c>
    </row>
    <row r="1273" spans="1:21" x14ac:dyDescent="0.35">
      <c r="A1273" t="s">
        <v>4657</v>
      </c>
      <c r="B1273" t="s">
        <v>4658</v>
      </c>
      <c r="C1273">
        <v>1158</v>
      </c>
      <c r="D1273" s="5">
        <v>65.714656000000005</v>
      </c>
      <c r="E1273" s="5">
        <v>84.576770999999994</v>
      </c>
      <c r="F1273" s="5">
        <v>101.02307</v>
      </c>
      <c r="G1273" s="5">
        <v>100.102783</v>
      </c>
      <c r="H1273" s="6">
        <v>1.329715</v>
      </c>
      <c r="I1273" s="6">
        <v>1.366077</v>
      </c>
      <c r="J1273" s="11">
        <v>0</v>
      </c>
      <c r="K1273" s="7">
        <f t="shared" si="40"/>
        <v>87.854320000000001</v>
      </c>
      <c r="L1273" s="8">
        <f t="shared" si="41"/>
        <v>0.89859733333333336</v>
      </c>
      <c r="M1273" s="9">
        <v>4.0143832881804801E-16</v>
      </c>
      <c r="N1273" s="9">
        <v>2.2906660861791499E-14</v>
      </c>
      <c r="O1273" s="2">
        <v>-5.5708691878555303</v>
      </c>
      <c r="P1273" t="s">
        <v>4657</v>
      </c>
      <c r="Q1273" s="10">
        <f>IF(N1273&lt;='[1]statistical criteria'!$B$2,IF(O1273&gt;=LOG('[1]statistical criteria'!$B$3,2),1,IF(O1273&lt;=-1*LOG('[1]statistical criteria'!$B$3,2),2,"-")),"-")</f>
        <v>2</v>
      </c>
      <c r="R1273" t="s">
        <v>151</v>
      </c>
      <c r="S1273" t="s">
        <v>2881</v>
      </c>
      <c r="T1273" s="9">
        <v>1E-84</v>
      </c>
      <c r="U1273" t="s">
        <v>153</v>
      </c>
    </row>
    <row r="1274" spans="1:21" x14ac:dyDescent="0.35">
      <c r="A1274" t="s">
        <v>4659</v>
      </c>
      <c r="B1274" t="s">
        <v>4660</v>
      </c>
      <c r="C1274">
        <v>984</v>
      </c>
      <c r="D1274" s="5">
        <v>14.537423</v>
      </c>
      <c r="E1274" s="5">
        <v>21.105941999999999</v>
      </c>
      <c r="F1274" s="5">
        <v>26.311817000000001</v>
      </c>
      <c r="G1274" s="5">
        <v>16.551936999999999</v>
      </c>
      <c r="H1274" s="11">
        <v>0</v>
      </c>
      <c r="I1274" s="11">
        <v>0</v>
      </c>
      <c r="J1274" s="6">
        <v>0.87976799999999999</v>
      </c>
      <c r="K1274" s="7">
        <f t="shared" si="40"/>
        <v>19.626779750000001</v>
      </c>
      <c r="L1274" s="8">
        <f t="shared" si="41"/>
        <v>0.29325600000000002</v>
      </c>
      <c r="M1274" s="9">
        <v>1.19791010914035E-21</v>
      </c>
      <c r="N1274" s="9">
        <v>1.3774156723227101E-19</v>
      </c>
      <c r="O1274" s="2">
        <v>-5.5832259722278899</v>
      </c>
      <c r="P1274" t="s">
        <v>4659</v>
      </c>
      <c r="Q1274" s="10">
        <f>IF(N1274&lt;='[1]statistical criteria'!$B$2,IF(O1274&gt;=LOG('[1]statistical criteria'!$B$3,2),1,IF(O1274&lt;=-1*LOG('[1]statistical criteria'!$B$3,2),2,"-")),"-")</f>
        <v>2</v>
      </c>
      <c r="R1274" t="s">
        <v>3760</v>
      </c>
      <c r="S1274" t="s">
        <v>3761</v>
      </c>
      <c r="T1274" s="9">
        <v>2.0000000000000001E-89</v>
      </c>
      <c r="U1274" t="s">
        <v>3762</v>
      </c>
    </row>
    <row r="1275" spans="1:21" x14ac:dyDescent="0.35">
      <c r="A1275" t="s">
        <v>4661</v>
      </c>
      <c r="B1275" t="s">
        <v>4662</v>
      </c>
      <c r="C1275">
        <v>849</v>
      </c>
      <c r="D1275" s="5">
        <v>6.3038689999999997</v>
      </c>
      <c r="E1275" s="5">
        <v>17.914560000000002</v>
      </c>
      <c r="F1275" s="5">
        <v>8.6316710000000008</v>
      </c>
      <c r="G1275" s="5">
        <v>7.9215239999999998</v>
      </c>
      <c r="H1275" s="11">
        <v>0</v>
      </c>
      <c r="I1275" s="11">
        <v>0</v>
      </c>
      <c r="J1275" s="11">
        <v>0</v>
      </c>
      <c r="K1275" s="7">
        <f t="shared" si="40"/>
        <v>10.192905999999999</v>
      </c>
      <c r="L1275" s="8">
        <f t="shared" si="41"/>
        <v>0</v>
      </c>
      <c r="M1275" s="9">
        <v>5.5811520173209602E-11</v>
      </c>
      <c r="N1275" s="9">
        <v>1.4730835352235501E-9</v>
      </c>
      <c r="O1275" s="2">
        <v>-5.5864807416144897</v>
      </c>
      <c r="P1275" t="s">
        <v>4661</v>
      </c>
      <c r="Q1275" s="10">
        <f>IF(N1275&lt;='[1]statistical criteria'!$B$2,IF(O1275&gt;=LOG('[1]statistical criteria'!$B$3,2),1,IF(O1275&lt;=-1*LOG('[1]statistical criteria'!$B$3,2),2,"-")),"-")</f>
        <v>2</v>
      </c>
      <c r="R1275" t="s">
        <v>4663</v>
      </c>
      <c r="S1275" t="s">
        <v>4664</v>
      </c>
      <c r="T1275" s="9">
        <v>8.9999999999999995E-14</v>
      </c>
      <c r="U1275" t="s">
        <v>61</v>
      </c>
    </row>
    <row r="1276" spans="1:21" x14ac:dyDescent="0.35">
      <c r="A1276" t="s">
        <v>4665</v>
      </c>
      <c r="B1276" t="s">
        <v>4666</v>
      </c>
      <c r="C1276">
        <v>2511</v>
      </c>
      <c r="D1276" s="5">
        <v>20.702517</v>
      </c>
      <c r="E1276" s="5">
        <v>22.273956999999999</v>
      </c>
      <c r="F1276" s="5">
        <v>16.141636999999999</v>
      </c>
      <c r="G1276" s="5">
        <v>15.038418999999999</v>
      </c>
      <c r="H1276" s="11">
        <v>0</v>
      </c>
      <c r="I1276" s="11">
        <v>0</v>
      </c>
      <c r="J1276" s="6">
        <v>0.46099899999999999</v>
      </c>
      <c r="K1276" s="7">
        <f t="shared" si="40"/>
        <v>18.539132500000001</v>
      </c>
      <c r="L1276" s="8">
        <f t="shared" si="41"/>
        <v>0.15366633333333332</v>
      </c>
      <c r="M1276" s="9">
        <v>2.22640417642598E-28</v>
      </c>
      <c r="N1276" s="9">
        <v>4.5803752948525898E-26</v>
      </c>
      <c r="O1276" s="2">
        <v>-5.5866893469274501</v>
      </c>
      <c r="P1276" t="s">
        <v>4665</v>
      </c>
      <c r="Q1276" s="10">
        <f>IF(N1276&lt;='[1]statistical criteria'!$B$2,IF(O1276&gt;=LOG('[1]statistical criteria'!$B$3,2),1,IF(O1276&lt;=-1*LOG('[1]statistical criteria'!$B$3,2),2,"-")),"-")</f>
        <v>2</v>
      </c>
      <c r="R1276" t="s">
        <v>4667</v>
      </c>
      <c r="S1276" t="s">
        <v>4668</v>
      </c>
      <c r="T1276">
        <v>0</v>
      </c>
      <c r="U1276" t="s">
        <v>4669</v>
      </c>
    </row>
    <row r="1277" spans="1:21" x14ac:dyDescent="0.35">
      <c r="A1277" t="s">
        <v>4670</v>
      </c>
      <c r="B1277" t="s">
        <v>4671</v>
      </c>
      <c r="C1277">
        <v>696</v>
      </c>
      <c r="D1277" s="5">
        <v>15.038347999999999</v>
      </c>
      <c r="E1277" s="5">
        <v>19.631342</v>
      </c>
      <c r="F1277" s="5">
        <v>10.447924</v>
      </c>
      <c r="G1277" s="5">
        <v>12.855162</v>
      </c>
      <c r="H1277" s="11">
        <v>0</v>
      </c>
      <c r="I1277" s="11">
        <v>0</v>
      </c>
      <c r="J1277" s="11">
        <v>0</v>
      </c>
      <c r="K1277" s="7">
        <f t="shared" si="40"/>
        <v>14.493194000000001</v>
      </c>
      <c r="L1277" s="8">
        <f t="shared" si="41"/>
        <v>0</v>
      </c>
      <c r="M1277" s="9">
        <v>4.0259264798652498E-12</v>
      </c>
      <c r="N1277" s="9">
        <v>1.2580193909989499E-10</v>
      </c>
      <c r="O1277" s="2">
        <v>-5.5888856794919501</v>
      </c>
      <c r="P1277" t="s">
        <v>4670</v>
      </c>
      <c r="Q1277" s="10">
        <f>IF(N1277&lt;='[1]statistical criteria'!$B$2,IF(O1277&gt;=LOG('[1]statistical criteria'!$B$3,2),1,IF(O1277&lt;=-1*LOG('[1]statistical criteria'!$B$3,2),2,"-")),"-")</f>
        <v>2</v>
      </c>
      <c r="R1277" t="s">
        <v>3003</v>
      </c>
      <c r="S1277" t="s">
        <v>3004</v>
      </c>
      <c r="T1277" s="9">
        <v>1E-100</v>
      </c>
      <c r="U1277" t="s">
        <v>3005</v>
      </c>
    </row>
    <row r="1278" spans="1:21" x14ac:dyDescent="0.35">
      <c r="A1278" t="s">
        <v>4672</v>
      </c>
      <c r="B1278" t="s">
        <v>4673</v>
      </c>
      <c r="C1278">
        <v>3492</v>
      </c>
      <c r="D1278" s="5">
        <v>4.4422180000000004</v>
      </c>
      <c r="E1278" s="5">
        <v>4.01037</v>
      </c>
      <c r="F1278" s="5">
        <v>4.5188119999999996</v>
      </c>
      <c r="G1278" s="5">
        <v>3.6555529999999998</v>
      </c>
      <c r="H1278" s="11">
        <v>0</v>
      </c>
      <c r="I1278" s="11">
        <v>0</v>
      </c>
      <c r="J1278" s="11">
        <v>0</v>
      </c>
      <c r="K1278" s="7">
        <f t="shared" si="40"/>
        <v>4.1567382500000001</v>
      </c>
      <c r="L1278" s="8">
        <f t="shared" si="41"/>
        <v>0</v>
      </c>
      <c r="M1278" s="9">
        <v>4.8501593220240599E-22</v>
      </c>
      <c r="N1278" s="9">
        <v>5.86022424749955E-20</v>
      </c>
      <c r="O1278" s="2">
        <v>-5.5976010353854697</v>
      </c>
      <c r="P1278" t="s">
        <v>4672</v>
      </c>
      <c r="Q1278" s="10">
        <f>IF(N1278&lt;='[1]statistical criteria'!$B$2,IF(O1278&gt;=LOG('[1]statistical criteria'!$B$3,2),1,IF(O1278&lt;=-1*LOG('[1]statistical criteria'!$B$3,2),2,"-")),"-")</f>
        <v>2</v>
      </c>
      <c r="R1278" t="s">
        <v>4674</v>
      </c>
      <c r="S1278" t="s">
        <v>4675</v>
      </c>
      <c r="T1278">
        <v>0</v>
      </c>
      <c r="U1278" t="s">
        <v>4676</v>
      </c>
    </row>
    <row r="1279" spans="1:21" x14ac:dyDescent="0.35">
      <c r="A1279" t="s">
        <v>4677</v>
      </c>
      <c r="B1279" t="s">
        <v>4678</v>
      </c>
      <c r="C1279">
        <v>615</v>
      </c>
      <c r="D1279" s="5">
        <v>12.833147</v>
      </c>
      <c r="E1279" s="5">
        <v>47.245139999999999</v>
      </c>
      <c r="F1279" s="5">
        <v>18.884637999999999</v>
      </c>
      <c r="G1279" s="5">
        <v>15.776463</v>
      </c>
      <c r="H1279" s="11">
        <v>0</v>
      </c>
      <c r="I1279" s="11">
        <v>0</v>
      </c>
      <c r="J1279" s="11">
        <v>0</v>
      </c>
      <c r="K1279" s="7">
        <f t="shared" si="40"/>
        <v>23.684846999999998</v>
      </c>
      <c r="L1279" s="8">
        <f t="shared" si="41"/>
        <v>0</v>
      </c>
      <c r="M1279" s="9">
        <v>1.9931843566776301E-11</v>
      </c>
      <c r="N1279" s="9">
        <v>5.6401930568885098E-10</v>
      </c>
      <c r="O1279" s="2">
        <v>-5.6125222510695698</v>
      </c>
      <c r="P1279" t="s">
        <v>4677</v>
      </c>
      <c r="Q1279" s="10">
        <f>IF(N1279&lt;='[1]statistical criteria'!$B$2,IF(O1279&gt;=LOG('[1]statistical criteria'!$B$3,2),1,IF(O1279&lt;=-1*LOG('[1]statistical criteria'!$B$3,2),2,"-")),"-")</f>
        <v>2</v>
      </c>
      <c r="R1279" t="s">
        <v>4010</v>
      </c>
    </row>
    <row r="1280" spans="1:21" x14ac:dyDescent="0.35">
      <c r="A1280" t="s">
        <v>4679</v>
      </c>
      <c r="B1280" t="s">
        <v>4680</v>
      </c>
      <c r="C1280">
        <v>2478</v>
      </c>
      <c r="D1280" s="5">
        <v>11.213702</v>
      </c>
      <c r="E1280" s="5">
        <v>15.461805999999999</v>
      </c>
      <c r="F1280" s="5">
        <v>2.6004399999999999</v>
      </c>
      <c r="G1280" s="5">
        <v>9.7729879999999998</v>
      </c>
      <c r="H1280" s="11">
        <v>0</v>
      </c>
      <c r="I1280" s="11">
        <v>0</v>
      </c>
      <c r="J1280" s="11">
        <v>0</v>
      </c>
      <c r="K1280" s="7">
        <f t="shared" si="40"/>
        <v>9.7622339999999994</v>
      </c>
      <c r="L1280" s="8">
        <f t="shared" si="41"/>
        <v>0</v>
      </c>
      <c r="M1280" s="9">
        <v>1.82268406517344E-28</v>
      </c>
      <c r="N1280" s="9">
        <v>3.7907844546721899E-26</v>
      </c>
      <c r="O1280" s="2">
        <v>-5.6136174875846399</v>
      </c>
      <c r="P1280" t="s">
        <v>4679</v>
      </c>
      <c r="Q1280" s="10">
        <f>IF(N1280&lt;='[1]statistical criteria'!$B$2,IF(O1280&gt;=LOG('[1]statistical criteria'!$B$3,2),1,IF(O1280&lt;=-1*LOG('[1]statistical criteria'!$B$3,2),2,"-")),"-")</f>
        <v>2</v>
      </c>
      <c r="R1280" t="s">
        <v>4316</v>
      </c>
      <c r="S1280" t="s">
        <v>4317</v>
      </c>
      <c r="T1280">
        <v>0</v>
      </c>
      <c r="U1280" t="s">
        <v>4318</v>
      </c>
    </row>
    <row r="1281" spans="1:21" x14ac:dyDescent="0.35">
      <c r="A1281" t="s">
        <v>4681</v>
      </c>
      <c r="B1281" t="s">
        <v>4682</v>
      </c>
      <c r="C1281">
        <v>837</v>
      </c>
      <c r="D1281" s="5">
        <v>11.301307</v>
      </c>
      <c r="E1281" s="5">
        <v>15.426114999999999</v>
      </c>
      <c r="F1281" s="5">
        <v>7.7454260000000001</v>
      </c>
      <c r="G1281" s="5">
        <v>16.938081</v>
      </c>
      <c r="H1281" s="11">
        <v>0</v>
      </c>
      <c r="I1281" s="11">
        <v>0</v>
      </c>
      <c r="J1281" s="11">
        <v>0</v>
      </c>
      <c r="K1281" s="7">
        <f t="shared" si="40"/>
        <v>12.852732249999999</v>
      </c>
      <c r="L1281" s="8">
        <f t="shared" si="41"/>
        <v>0</v>
      </c>
      <c r="M1281" s="9">
        <v>7.8651427028181801E-19</v>
      </c>
      <c r="N1281" s="9">
        <v>6.6521629170946702E-17</v>
      </c>
      <c r="O1281" s="2">
        <v>-5.6142335947155999</v>
      </c>
      <c r="P1281" t="s">
        <v>4681</v>
      </c>
      <c r="Q1281" s="10">
        <f>IF(N1281&lt;='[1]statistical criteria'!$B$2,IF(O1281&gt;=LOG('[1]statistical criteria'!$B$3,2),1,IF(O1281&lt;=-1*LOG('[1]statistical criteria'!$B$3,2),2,"-")),"-")</f>
        <v>2</v>
      </c>
      <c r="R1281" t="s">
        <v>1112</v>
      </c>
      <c r="S1281" t="s">
        <v>4683</v>
      </c>
      <c r="T1281" s="9">
        <v>2E-120</v>
      </c>
      <c r="U1281" t="s">
        <v>1114</v>
      </c>
    </row>
    <row r="1282" spans="1:21" x14ac:dyDescent="0.35">
      <c r="A1282" t="s">
        <v>4684</v>
      </c>
      <c r="B1282" t="s">
        <v>4685</v>
      </c>
      <c r="C1282">
        <v>1017</v>
      </c>
      <c r="D1282" s="5">
        <v>6.6993320000000001</v>
      </c>
      <c r="E1282" s="5">
        <v>12.986560000000001</v>
      </c>
      <c r="F1282" s="5">
        <v>10.329561999999999</v>
      </c>
      <c r="G1282" s="5">
        <v>5.6621589999999999</v>
      </c>
      <c r="H1282" s="11">
        <v>0</v>
      </c>
      <c r="I1282" s="11">
        <v>0</v>
      </c>
      <c r="J1282" s="11">
        <v>0</v>
      </c>
      <c r="K1282" s="7">
        <f t="shared" si="40"/>
        <v>8.9194032500000002</v>
      </c>
      <c r="L1282" s="8">
        <f t="shared" si="41"/>
        <v>0</v>
      </c>
      <c r="M1282" s="9">
        <v>6.0821179468610703E-10</v>
      </c>
      <c r="N1282" s="9">
        <v>1.3529246584309299E-8</v>
      </c>
      <c r="O1282" s="2">
        <v>-5.6149977426025002</v>
      </c>
      <c r="P1282" t="s">
        <v>4684</v>
      </c>
      <c r="Q1282" s="10">
        <f>IF(N1282&lt;='[1]statistical criteria'!$B$2,IF(O1282&gt;=LOG('[1]statistical criteria'!$B$3,2),1,IF(O1282&lt;=-1*LOG('[1]statistical criteria'!$B$3,2),2,"-")),"-")</f>
        <v>2</v>
      </c>
      <c r="S1282" t="s">
        <v>4686</v>
      </c>
      <c r="T1282">
        <v>4.0999999999999996</v>
      </c>
      <c r="U1282" t="s">
        <v>4687</v>
      </c>
    </row>
    <row r="1283" spans="1:21" x14ac:dyDescent="0.35">
      <c r="A1283" t="s">
        <v>4688</v>
      </c>
      <c r="B1283" t="s">
        <v>4689</v>
      </c>
      <c r="C1283">
        <v>1677</v>
      </c>
      <c r="D1283" s="5">
        <v>18.372879999999999</v>
      </c>
      <c r="E1283" s="5">
        <v>9.0751690000000007</v>
      </c>
      <c r="F1283" s="5">
        <v>14.193492000000001</v>
      </c>
      <c r="G1283" s="5">
        <v>16.535395999999999</v>
      </c>
      <c r="H1283" s="11">
        <v>0</v>
      </c>
      <c r="I1283" s="11">
        <v>0</v>
      </c>
      <c r="J1283" s="11">
        <v>0</v>
      </c>
      <c r="K1283" s="7">
        <f t="shared" si="40"/>
        <v>14.544234249999999</v>
      </c>
      <c r="L1283" s="8">
        <f t="shared" si="41"/>
        <v>0</v>
      </c>
      <c r="M1283" s="9">
        <v>3.4895212323302897E-20</v>
      </c>
      <c r="N1283" s="9">
        <v>3.4054148231407901E-18</v>
      </c>
      <c r="O1283" s="2">
        <v>-5.61801025022356</v>
      </c>
      <c r="P1283" t="s">
        <v>4688</v>
      </c>
      <c r="Q1283" s="10">
        <f>IF(N1283&lt;='[1]statistical criteria'!$B$2,IF(O1283&gt;=LOG('[1]statistical criteria'!$B$3,2),1,IF(O1283&lt;=-1*LOG('[1]statistical criteria'!$B$3,2),2,"-")),"-")</f>
        <v>2</v>
      </c>
      <c r="R1283" t="s">
        <v>4506</v>
      </c>
      <c r="S1283" t="s">
        <v>4507</v>
      </c>
      <c r="T1283" s="9">
        <v>2.9999999999999999E-145</v>
      </c>
      <c r="U1283" t="s">
        <v>4508</v>
      </c>
    </row>
    <row r="1284" spans="1:21" x14ac:dyDescent="0.35">
      <c r="A1284" t="s">
        <v>4690</v>
      </c>
      <c r="B1284" t="s">
        <v>4691</v>
      </c>
      <c r="C1284">
        <v>876</v>
      </c>
      <c r="D1284" s="5">
        <v>11.828594000000001</v>
      </c>
      <c r="E1284" s="5">
        <v>20.051445999999999</v>
      </c>
      <c r="F1284" s="5">
        <v>12.701561</v>
      </c>
      <c r="G1284" s="5">
        <v>2.09415</v>
      </c>
      <c r="H1284" s="11">
        <v>0</v>
      </c>
      <c r="I1284" s="11">
        <v>0</v>
      </c>
      <c r="J1284" s="11">
        <v>0</v>
      </c>
      <c r="K1284" s="7">
        <f t="shared" si="40"/>
        <v>11.66893775</v>
      </c>
      <c r="L1284" s="8">
        <f t="shared" si="41"/>
        <v>0</v>
      </c>
      <c r="M1284" s="9">
        <v>9.5727519121258194E-12</v>
      </c>
      <c r="N1284" s="9">
        <v>2.8353224729611599E-10</v>
      </c>
      <c r="O1284" s="2">
        <v>-5.6190571914864096</v>
      </c>
      <c r="P1284" t="s">
        <v>4690</v>
      </c>
      <c r="Q1284" s="10">
        <f>IF(N1284&lt;='[1]statistical criteria'!$B$2,IF(O1284&gt;=LOG('[1]statistical criteria'!$B$3,2),1,IF(O1284&lt;=-1*LOG('[1]statistical criteria'!$B$3,2),2,"-")),"-")</f>
        <v>2</v>
      </c>
      <c r="R1284" t="s">
        <v>4692</v>
      </c>
      <c r="S1284" t="s">
        <v>4693</v>
      </c>
      <c r="T1284" s="9">
        <v>1.9999999999999998E-163</v>
      </c>
      <c r="U1284" t="s">
        <v>4694</v>
      </c>
    </row>
    <row r="1285" spans="1:21" x14ac:dyDescent="0.35">
      <c r="A1285" t="s">
        <v>4695</v>
      </c>
      <c r="B1285" t="s">
        <v>4696</v>
      </c>
      <c r="C1285">
        <v>952</v>
      </c>
      <c r="D1285" s="5">
        <v>8.9030090000000008</v>
      </c>
      <c r="E1285" s="5">
        <v>26.746269000000002</v>
      </c>
      <c r="F1285" s="5">
        <v>9.8400350000000003</v>
      </c>
      <c r="G1285" s="5">
        <v>5.5086050000000002</v>
      </c>
      <c r="H1285" s="11">
        <v>0</v>
      </c>
      <c r="I1285" s="11">
        <v>0</v>
      </c>
      <c r="J1285" s="11">
        <v>0</v>
      </c>
      <c r="K1285" s="7">
        <f t="shared" si="40"/>
        <v>12.749479500000001</v>
      </c>
      <c r="L1285" s="8">
        <f t="shared" si="41"/>
        <v>0</v>
      </c>
      <c r="M1285" s="9">
        <v>7.2245041111874295E-10</v>
      </c>
      <c r="N1285" s="9">
        <v>1.58755558009119E-8</v>
      </c>
      <c r="O1285" s="2">
        <v>-5.6192194577227301</v>
      </c>
      <c r="P1285" t="s">
        <v>4695</v>
      </c>
      <c r="Q1285" s="10">
        <f>IF(N1285&lt;='[1]statistical criteria'!$B$2,IF(O1285&gt;=LOG('[1]statistical criteria'!$B$3,2),1,IF(O1285&lt;=-1*LOG('[1]statistical criteria'!$B$3,2),2,"-")),"-")</f>
        <v>2</v>
      </c>
      <c r="R1285" t="s">
        <v>2801</v>
      </c>
      <c r="S1285" t="s">
        <v>2802</v>
      </c>
      <c r="T1285" s="9">
        <v>7.0000000000000001E-154</v>
      </c>
      <c r="U1285" t="s">
        <v>2803</v>
      </c>
    </row>
    <row r="1286" spans="1:21" x14ac:dyDescent="0.35">
      <c r="A1286" t="s">
        <v>4697</v>
      </c>
      <c r="B1286" t="s">
        <v>4698</v>
      </c>
      <c r="C1286">
        <v>2283</v>
      </c>
      <c r="D1286" s="5">
        <v>4.8468450000000001</v>
      </c>
      <c r="E1286" s="5">
        <v>9.5774539999999995</v>
      </c>
      <c r="F1286" s="5">
        <v>8.5643150000000006</v>
      </c>
      <c r="G1286" s="5">
        <v>6.2269009999999998</v>
      </c>
      <c r="H1286" s="11">
        <v>0</v>
      </c>
      <c r="I1286" s="11">
        <v>0</v>
      </c>
      <c r="J1286" s="11">
        <v>0</v>
      </c>
      <c r="K1286" s="7">
        <f t="shared" si="40"/>
        <v>7.3038787499999991</v>
      </c>
      <c r="L1286" s="8">
        <f t="shared" si="41"/>
        <v>0</v>
      </c>
      <c r="M1286" s="9">
        <v>6.8914952687676999E-18</v>
      </c>
      <c r="N1286" s="9">
        <v>5.0930157267825005E-16</v>
      </c>
      <c r="O1286" s="2">
        <v>-5.6227619491901502</v>
      </c>
      <c r="P1286" t="s">
        <v>4697</v>
      </c>
      <c r="Q1286" s="10">
        <f>IF(N1286&lt;='[1]statistical criteria'!$B$2,IF(O1286&gt;=LOG('[1]statistical criteria'!$B$3,2),1,IF(O1286&lt;=-1*LOG('[1]statistical criteria'!$B$3,2),2,"-")),"-")</f>
        <v>2</v>
      </c>
      <c r="R1286" t="s">
        <v>2796</v>
      </c>
      <c r="S1286" t="s">
        <v>2797</v>
      </c>
      <c r="T1286" s="9">
        <v>6.9999999999999997E-102</v>
      </c>
      <c r="U1286" t="s">
        <v>2798</v>
      </c>
    </row>
    <row r="1287" spans="1:21" x14ac:dyDescent="0.35">
      <c r="A1287" t="s">
        <v>4699</v>
      </c>
      <c r="B1287" t="s">
        <v>4700</v>
      </c>
      <c r="C1287">
        <v>3264</v>
      </c>
      <c r="D1287" s="5">
        <v>3.5212059999999998</v>
      </c>
      <c r="E1287" s="5">
        <v>2.7712289999999999</v>
      </c>
      <c r="F1287" s="5">
        <v>6.3575840000000001</v>
      </c>
      <c r="G1287" s="5">
        <v>3.3956010000000001</v>
      </c>
      <c r="H1287" s="11">
        <v>0</v>
      </c>
      <c r="I1287" s="11">
        <v>0</v>
      </c>
      <c r="J1287" s="11">
        <v>0</v>
      </c>
      <c r="K1287" s="7">
        <f t="shared" si="40"/>
        <v>4.0114049999999999</v>
      </c>
      <c r="L1287" s="8">
        <f t="shared" si="41"/>
        <v>0</v>
      </c>
      <c r="M1287" s="9">
        <v>7.5078920094612092E-12</v>
      </c>
      <c r="N1287" s="9">
        <v>2.25177596438214E-10</v>
      </c>
      <c r="O1287" s="2">
        <v>-5.6344619862546299</v>
      </c>
      <c r="P1287" t="s">
        <v>4699</v>
      </c>
      <c r="Q1287" s="10">
        <f>IF(N1287&lt;='[1]statistical criteria'!$B$2,IF(O1287&gt;=LOG('[1]statistical criteria'!$B$3,2),1,IF(O1287&lt;=-1*LOG('[1]statistical criteria'!$B$3,2),2,"-")),"-")</f>
        <v>2</v>
      </c>
      <c r="R1287" t="s">
        <v>3354</v>
      </c>
      <c r="S1287" t="s">
        <v>3355</v>
      </c>
      <c r="T1287">
        <v>0</v>
      </c>
      <c r="U1287" t="s">
        <v>3356</v>
      </c>
    </row>
    <row r="1288" spans="1:21" x14ac:dyDescent="0.35">
      <c r="A1288" t="s">
        <v>4701</v>
      </c>
      <c r="B1288" t="s">
        <v>4702</v>
      </c>
      <c r="C1288">
        <v>474</v>
      </c>
      <c r="D1288" s="5">
        <v>32.025329999999997</v>
      </c>
      <c r="E1288" s="5">
        <v>57.814948999999999</v>
      </c>
      <c r="F1288" s="5">
        <v>25.144915999999998</v>
      </c>
      <c r="G1288" s="5">
        <v>34.920050000000003</v>
      </c>
      <c r="H1288" s="11">
        <v>0</v>
      </c>
      <c r="I1288" s="11">
        <v>0</v>
      </c>
      <c r="J1288" s="11">
        <v>0</v>
      </c>
      <c r="K1288" s="7">
        <f t="shared" si="40"/>
        <v>37.476311249999995</v>
      </c>
      <c r="L1288" s="8">
        <f t="shared" si="41"/>
        <v>0</v>
      </c>
      <c r="M1288" s="9">
        <v>1.05909092534842E-21</v>
      </c>
      <c r="N1288" s="9">
        <v>1.23269115042082E-19</v>
      </c>
      <c r="O1288" s="2">
        <v>-5.6347108071434899</v>
      </c>
      <c r="P1288" t="s">
        <v>4701</v>
      </c>
      <c r="Q1288" s="10">
        <f>IF(N1288&lt;='[1]statistical criteria'!$B$2,IF(O1288&gt;=LOG('[1]statistical criteria'!$B$3,2),1,IF(O1288&lt;=-1*LOG('[1]statistical criteria'!$B$3,2),2,"-")),"-")</f>
        <v>2</v>
      </c>
      <c r="R1288" t="s">
        <v>4703</v>
      </c>
      <c r="S1288" t="s">
        <v>4704</v>
      </c>
      <c r="T1288" s="9">
        <v>9.9999999999999999E-132</v>
      </c>
      <c r="U1288" t="s">
        <v>4705</v>
      </c>
    </row>
    <row r="1289" spans="1:21" x14ac:dyDescent="0.35">
      <c r="A1289" t="s">
        <v>4706</v>
      </c>
      <c r="B1289" t="s">
        <v>4707</v>
      </c>
      <c r="C1289">
        <v>1324</v>
      </c>
      <c r="D1289" s="5">
        <v>12.491816</v>
      </c>
      <c r="E1289" s="5">
        <v>19.479078000000001</v>
      </c>
      <c r="F1289" s="5">
        <v>12.663121</v>
      </c>
      <c r="G1289" s="5">
        <v>9.6274580000000007</v>
      </c>
      <c r="H1289" s="11">
        <v>0</v>
      </c>
      <c r="I1289" s="11">
        <v>0</v>
      </c>
      <c r="J1289" s="11">
        <v>0</v>
      </c>
      <c r="K1289" s="7">
        <f t="shared" si="40"/>
        <v>13.565368250000002</v>
      </c>
      <c r="L1289" s="8">
        <f t="shared" si="41"/>
        <v>0</v>
      </c>
      <c r="M1289" s="9">
        <v>3.5888623864302404E-15</v>
      </c>
      <c r="N1289" s="9">
        <v>1.7652787633438199E-13</v>
      </c>
      <c r="O1289" s="2">
        <v>-5.6368636204693896</v>
      </c>
      <c r="P1289" t="s">
        <v>4706</v>
      </c>
      <c r="Q1289" s="10">
        <f>IF(N1289&lt;='[1]statistical criteria'!$B$2,IF(O1289&gt;=LOG('[1]statistical criteria'!$B$3,2),1,IF(O1289&lt;=-1*LOG('[1]statistical criteria'!$B$3,2),2,"-")),"-")</f>
        <v>2</v>
      </c>
      <c r="R1289" t="s">
        <v>4708</v>
      </c>
      <c r="S1289" t="s">
        <v>4709</v>
      </c>
      <c r="T1289">
        <v>0</v>
      </c>
      <c r="U1289" t="s">
        <v>4710</v>
      </c>
    </row>
    <row r="1290" spans="1:21" x14ac:dyDescent="0.35">
      <c r="A1290" t="s">
        <v>4711</v>
      </c>
      <c r="B1290" t="s">
        <v>4712</v>
      </c>
      <c r="C1290">
        <v>711</v>
      </c>
      <c r="D1290" s="5">
        <v>44.423088</v>
      </c>
      <c r="E1290" s="5">
        <v>44.311034999999997</v>
      </c>
      <c r="F1290" s="5">
        <v>56.186216999999999</v>
      </c>
      <c r="G1290" s="5">
        <v>29.980768999999999</v>
      </c>
      <c r="H1290" s="6">
        <v>1.004354</v>
      </c>
      <c r="I1290" s="11">
        <v>0</v>
      </c>
      <c r="J1290" s="11">
        <v>0</v>
      </c>
      <c r="K1290" s="7">
        <f t="shared" si="40"/>
        <v>43.725277250000005</v>
      </c>
      <c r="L1290" s="8">
        <f t="shared" si="41"/>
        <v>0.33478466666666667</v>
      </c>
      <c r="M1290" s="9">
        <v>6.9150138091508596E-37</v>
      </c>
      <c r="N1290" s="9">
        <v>2.7132518100647598E-34</v>
      </c>
      <c r="O1290" s="2">
        <v>-5.6369461640458303</v>
      </c>
      <c r="P1290" t="s">
        <v>4711</v>
      </c>
      <c r="Q1290" s="10">
        <f>IF(N1290&lt;='[1]statistical criteria'!$B$2,IF(O1290&gt;=LOG('[1]statistical criteria'!$B$3,2),1,IF(O1290&lt;=-1*LOG('[1]statistical criteria'!$B$3,2),2,"-")),"-")</f>
        <v>2</v>
      </c>
      <c r="R1290" t="s">
        <v>4713</v>
      </c>
      <c r="S1290" t="s">
        <v>4714</v>
      </c>
      <c r="T1290" s="9">
        <v>3.0000000000000001E-71</v>
      </c>
      <c r="U1290" t="s">
        <v>4715</v>
      </c>
    </row>
    <row r="1291" spans="1:21" x14ac:dyDescent="0.35">
      <c r="A1291" t="s">
        <v>4716</v>
      </c>
      <c r="B1291" t="s">
        <v>4717</v>
      </c>
      <c r="C1291">
        <v>2085</v>
      </c>
      <c r="D1291" s="5">
        <v>5.7177660000000001</v>
      </c>
      <c r="E1291" s="5">
        <v>8.3583269999999992</v>
      </c>
      <c r="F1291" s="5">
        <v>6.6312290000000003</v>
      </c>
      <c r="G1291" s="5">
        <v>15.844163999999999</v>
      </c>
      <c r="H1291" s="11">
        <v>0</v>
      </c>
      <c r="I1291" s="11">
        <v>0</v>
      </c>
      <c r="J1291" s="11">
        <v>0</v>
      </c>
      <c r="K1291" s="7">
        <f t="shared" si="40"/>
        <v>9.1378714999999993</v>
      </c>
      <c r="L1291" s="8">
        <f t="shared" si="41"/>
        <v>0</v>
      </c>
      <c r="M1291" s="9">
        <v>6.2108944301331797E-12</v>
      </c>
      <c r="N1291" s="9">
        <v>1.89412373406145E-10</v>
      </c>
      <c r="O1291" s="2">
        <v>-5.6416649414470701</v>
      </c>
      <c r="P1291" t="s">
        <v>4716</v>
      </c>
      <c r="Q1291" s="10">
        <f>IF(N1291&lt;='[1]statistical criteria'!$B$2,IF(O1291&gt;=LOG('[1]statistical criteria'!$B$3,2),1,IF(O1291&lt;=-1*LOG('[1]statistical criteria'!$B$3,2),2,"-")),"-")</f>
        <v>2</v>
      </c>
      <c r="R1291" t="s">
        <v>2769</v>
      </c>
      <c r="S1291" t="s">
        <v>2770</v>
      </c>
      <c r="T1291" s="9">
        <v>8.0000000000000007E-30</v>
      </c>
      <c r="U1291" t="s">
        <v>2771</v>
      </c>
    </row>
    <row r="1292" spans="1:21" x14ac:dyDescent="0.35">
      <c r="A1292" t="s">
        <v>4718</v>
      </c>
      <c r="B1292" t="s">
        <v>4719</v>
      </c>
      <c r="C1292">
        <v>1362</v>
      </c>
      <c r="D1292" s="5">
        <v>11.802299</v>
      </c>
      <c r="E1292" s="5">
        <v>12.902177999999999</v>
      </c>
      <c r="F1292" s="5">
        <v>18.027480000000001</v>
      </c>
      <c r="G1292" s="5">
        <v>5.576924</v>
      </c>
      <c r="H1292" s="11">
        <v>0</v>
      </c>
      <c r="I1292" s="11">
        <v>0</v>
      </c>
      <c r="J1292" s="11">
        <v>0</v>
      </c>
      <c r="K1292" s="7">
        <f t="shared" si="40"/>
        <v>12.077220249999998</v>
      </c>
      <c r="L1292" s="8">
        <f t="shared" si="41"/>
        <v>0</v>
      </c>
      <c r="M1292" s="9">
        <v>6.4219199555635202E-21</v>
      </c>
      <c r="N1292" s="9">
        <v>6.6418009105637901E-19</v>
      </c>
      <c r="O1292" s="2">
        <v>-5.6495536920917298</v>
      </c>
      <c r="P1292" t="s">
        <v>4718</v>
      </c>
      <c r="Q1292" s="10">
        <f>IF(N1292&lt;='[1]statistical criteria'!$B$2,IF(O1292&gt;=LOG('[1]statistical criteria'!$B$3,2),1,IF(O1292&lt;=-1*LOG('[1]statistical criteria'!$B$3,2),2,"-")),"-")</f>
        <v>2</v>
      </c>
      <c r="R1292" t="s">
        <v>241</v>
      </c>
      <c r="S1292" t="s">
        <v>4720</v>
      </c>
      <c r="T1292">
        <v>0</v>
      </c>
      <c r="U1292" t="s">
        <v>242</v>
      </c>
    </row>
    <row r="1293" spans="1:21" x14ac:dyDescent="0.35">
      <c r="A1293" t="s">
        <v>4721</v>
      </c>
      <c r="B1293" t="s">
        <v>4722</v>
      </c>
      <c r="C1293">
        <v>831</v>
      </c>
      <c r="D1293" s="5">
        <v>9.1017939999999999</v>
      </c>
      <c r="E1293" s="5">
        <v>18.402943</v>
      </c>
      <c r="F1293" s="5">
        <v>16.857635999999999</v>
      </c>
      <c r="G1293" s="5">
        <v>12.210293</v>
      </c>
      <c r="H1293" s="11">
        <v>0</v>
      </c>
      <c r="I1293" s="11">
        <v>0</v>
      </c>
      <c r="J1293" s="11">
        <v>0</v>
      </c>
      <c r="K1293" s="7">
        <f t="shared" si="40"/>
        <v>14.1431665</v>
      </c>
      <c r="L1293" s="8">
        <f t="shared" si="41"/>
        <v>0</v>
      </c>
      <c r="M1293" s="9">
        <v>4.40918046747622E-18</v>
      </c>
      <c r="N1293" s="9">
        <v>3.3970325625940301E-16</v>
      </c>
      <c r="O1293" s="2">
        <v>-5.6617781618625997</v>
      </c>
      <c r="P1293" t="s">
        <v>4721</v>
      </c>
      <c r="Q1293" s="10">
        <f>IF(N1293&lt;='[1]statistical criteria'!$B$2,IF(O1293&gt;=LOG('[1]statistical criteria'!$B$3,2),1,IF(O1293&lt;=-1*LOG('[1]statistical criteria'!$B$3,2),2,"-")),"-")</f>
        <v>2</v>
      </c>
      <c r="R1293" t="s">
        <v>1112</v>
      </c>
      <c r="S1293" t="s">
        <v>4683</v>
      </c>
      <c r="T1293" s="9">
        <v>3.9999999999999999E-118</v>
      </c>
      <c r="U1293" t="s">
        <v>1114</v>
      </c>
    </row>
    <row r="1294" spans="1:21" x14ac:dyDescent="0.35">
      <c r="A1294" t="s">
        <v>4723</v>
      </c>
      <c r="C1294">
        <v>834</v>
      </c>
      <c r="D1294" s="5">
        <v>24.982517000000001</v>
      </c>
      <c r="E1294" s="5">
        <v>44.976041000000002</v>
      </c>
      <c r="F1294" s="5">
        <v>33.947338999999999</v>
      </c>
      <c r="G1294" s="5">
        <v>22.267098000000001</v>
      </c>
      <c r="H1294" s="6">
        <v>0.55598999999999998</v>
      </c>
      <c r="I1294" s="11">
        <v>0</v>
      </c>
      <c r="J1294" s="11">
        <v>0</v>
      </c>
      <c r="K1294" s="7">
        <f t="shared" si="40"/>
        <v>31.543248750000004</v>
      </c>
      <c r="L1294" s="8">
        <f t="shared" si="41"/>
        <v>0.18532999999999999</v>
      </c>
      <c r="M1294" s="9">
        <v>8.7575043238755799E-38</v>
      </c>
      <c r="N1294" s="9">
        <v>3.7113685188086699E-35</v>
      </c>
      <c r="O1294" s="2">
        <v>-5.6619690605943598</v>
      </c>
      <c r="P1294" t="s">
        <v>4723</v>
      </c>
      <c r="Q1294" s="10">
        <f>IF(N1294&lt;='[1]statistical criteria'!$B$2,IF(O1294&gt;=LOG('[1]statistical criteria'!$B$3,2),1,IF(O1294&lt;=-1*LOG('[1]statistical criteria'!$B$3,2),2,"-")),"-")</f>
        <v>2</v>
      </c>
      <c r="R1294" t="s">
        <v>4724</v>
      </c>
      <c r="S1294" t="s">
        <v>4725</v>
      </c>
      <c r="T1294">
        <v>0</v>
      </c>
      <c r="U1294" t="s">
        <v>4726</v>
      </c>
    </row>
    <row r="1295" spans="1:21" x14ac:dyDescent="0.35">
      <c r="A1295" t="s">
        <v>4727</v>
      </c>
      <c r="B1295" t="s">
        <v>4728</v>
      </c>
      <c r="C1295">
        <v>1617</v>
      </c>
      <c r="D1295" s="5">
        <v>9.9172750000000001</v>
      </c>
      <c r="E1295" s="5">
        <v>11.294909000000001</v>
      </c>
      <c r="F1295" s="5">
        <v>18.126801</v>
      </c>
      <c r="G1295" s="5">
        <v>12.578673999999999</v>
      </c>
      <c r="H1295" s="11">
        <v>0</v>
      </c>
      <c r="I1295" s="11">
        <v>0</v>
      </c>
      <c r="J1295" s="11">
        <v>0</v>
      </c>
      <c r="K1295" s="7">
        <f t="shared" si="40"/>
        <v>12.97941475</v>
      </c>
      <c r="L1295" s="8">
        <f t="shared" si="41"/>
        <v>0</v>
      </c>
      <c r="M1295" s="9">
        <v>1.28817080696037E-16</v>
      </c>
      <c r="N1295" s="9">
        <v>7.99800667421072E-15</v>
      </c>
      <c r="O1295" s="2">
        <v>-5.6664007602870097</v>
      </c>
      <c r="P1295" t="s">
        <v>4727</v>
      </c>
      <c r="Q1295" s="10">
        <f>IF(N1295&lt;='[1]statistical criteria'!$B$2,IF(O1295&gt;=LOG('[1]statistical criteria'!$B$3,2),1,IF(O1295&lt;=-1*LOG('[1]statistical criteria'!$B$3,2),2,"-")),"-")</f>
        <v>2</v>
      </c>
      <c r="R1295" t="s">
        <v>4729</v>
      </c>
      <c r="S1295" t="s">
        <v>4730</v>
      </c>
      <c r="T1295" s="9">
        <v>9.0000000000000005E-119</v>
      </c>
      <c r="U1295" t="s">
        <v>4731</v>
      </c>
    </row>
    <row r="1296" spans="1:21" x14ac:dyDescent="0.35">
      <c r="A1296" t="s">
        <v>4732</v>
      </c>
      <c r="B1296" t="s">
        <v>4733</v>
      </c>
      <c r="C1296">
        <v>1185</v>
      </c>
      <c r="D1296" s="5">
        <v>143.091555</v>
      </c>
      <c r="E1296" s="5">
        <v>234.27490900000001</v>
      </c>
      <c r="F1296" s="5">
        <v>201.924082</v>
      </c>
      <c r="G1296" s="5">
        <v>217.23517200000001</v>
      </c>
      <c r="H1296" s="6">
        <v>2.4739749999999998</v>
      </c>
      <c r="I1296" s="11">
        <v>0</v>
      </c>
      <c r="J1296" s="6">
        <v>5.072946</v>
      </c>
      <c r="K1296" s="7">
        <f t="shared" si="40"/>
        <v>199.1314295</v>
      </c>
      <c r="L1296" s="8">
        <f t="shared" si="41"/>
        <v>2.5156403333333333</v>
      </c>
      <c r="M1296" s="9">
        <v>4.0135947264272096E-12</v>
      </c>
      <c r="N1296" s="9">
        <v>1.25694457560716E-10</v>
      </c>
      <c r="O1296" s="2">
        <v>-5.6817031246164102</v>
      </c>
      <c r="P1296" t="s">
        <v>4732</v>
      </c>
      <c r="Q1296" s="10">
        <f>IF(N1296&lt;='[1]statistical criteria'!$B$2,IF(O1296&gt;=LOG('[1]statistical criteria'!$B$3,2),1,IF(O1296&lt;=-1*LOG('[1]statistical criteria'!$B$3,2),2,"-")),"-")</f>
        <v>2</v>
      </c>
      <c r="R1296" t="s">
        <v>4734</v>
      </c>
      <c r="S1296" t="s">
        <v>4735</v>
      </c>
      <c r="T1296" s="9">
        <v>4.0000000000000001E-139</v>
      </c>
      <c r="U1296" t="s">
        <v>4736</v>
      </c>
    </row>
    <row r="1297" spans="1:21" x14ac:dyDescent="0.35">
      <c r="A1297" t="s">
        <v>4737</v>
      </c>
      <c r="B1297" t="s">
        <v>4738</v>
      </c>
      <c r="C1297">
        <v>1137</v>
      </c>
      <c r="D1297" s="5">
        <v>18.690650999999999</v>
      </c>
      <c r="E1297" s="5">
        <v>22.511737</v>
      </c>
      <c r="F1297" s="5">
        <v>21.840433000000001</v>
      </c>
      <c r="G1297" s="5">
        <v>12.952629</v>
      </c>
      <c r="H1297" s="11">
        <v>0</v>
      </c>
      <c r="I1297" s="11">
        <v>0</v>
      </c>
      <c r="J1297" s="11">
        <v>0</v>
      </c>
      <c r="K1297" s="7">
        <f t="shared" si="40"/>
        <v>18.998862500000001</v>
      </c>
      <c r="L1297" s="8">
        <f t="shared" si="41"/>
        <v>0</v>
      </c>
      <c r="M1297" s="9">
        <v>6.7780758085914303E-14</v>
      </c>
      <c r="N1297" s="9">
        <v>2.80084002507968E-12</v>
      </c>
      <c r="O1297" s="2">
        <v>-5.6931859795520197</v>
      </c>
      <c r="P1297" t="s">
        <v>4737</v>
      </c>
      <c r="Q1297" s="10">
        <f>IF(N1297&lt;='[1]statistical criteria'!$B$2,IF(O1297&gt;=LOG('[1]statistical criteria'!$B$3,2),1,IF(O1297&lt;=-1*LOG('[1]statistical criteria'!$B$3,2),2,"-")),"-")</f>
        <v>2</v>
      </c>
      <c r="R1297" t="s">
        <v>3080</v>
      </c>
      <c r="S1297" t="s">
        <v>3081</v>
      </c>
      <c r="T1297">
        <v>0</v>
      </c>
      <c r="U1297" t="s">
        <v>3082</v>
      </c>
    </row>
    <row r="1298" spans="1:21" x14ac:dyDescent="0.35">
      <c r="A1298" t="s">
        <v>4739</v>
      </c>
      <c r="B1298" t="s">
        <v>4740</v>
      </c>
      <c r="C1298">
        <v>2581</v>
      </c>
      <c r="D1298" s="5">
        <v>8.9199940000000009</v>
      </c>
      <c r="E1298" s="5">
        <v>6.8270660000000003</v>
      </c>
      <c r="F1298" s="5">
        <v>9.506634</v>
      </c>
      <c r="G1298" s="5">
        <v>6.5225600000000004</v>
      </c>
      <c r="H1298" s="11">
        <v>0</v>
      </c>
      <c r="I1298" s="11">
        <v>0</v>
      </c>
      <c r="J1298" s="11">
        <v>0</v>
      </c>
      <c r="K1298" s="7">
        <f t="shared" si="40"/>
        <v>7.9440635000000004</v>
      </c>
      <c r="L1298" s="8">
        <f t="shared" si="41"/>
        <v>0</v>
      </c>
      <c r="M1298" s="9">
        <v>1.5248859080225101E-37</v>
      </c>
      <c r="N1298" s="9">
        <v>6.2405545870254596E-35</v>
      </c>
      <c r="O1298" s="2">
        <v>-5.6952466753874296</v>
      </c>
      <c r="P1298" t="s">
        <v>4739</v>
      </c>
      <c r="Q1298" s="10">
        <f>IF(N1298&lt;='[1]statistical criteria'!$B$2,IF(O1298&gt;=LOG('[1]statistical criteria'!$B$3,2),1,IF(O1298&lt;=-1*LOG('[1]statistical criteria'!$B$3,2),2,"-")),"-")</f>
        <v>2</v>
      </c>
      <c r="R1298" t="s">
        <v>4674</v>
      </c>
      <c r="S1298" t="s">
        <v>4675</v>
      </c>
      <c r="T1298">
        <v>0</v>
      </c>
      <c r="U1298" t="s">
        <v>4676</v>
      </c>
    </row>
    <row r="1299" spans="1:21" x14ac:dyDescent="0.35">
      <c r="A1299" t="s">
        <v>4741</v>
      </c>
      <c r="B1299" t="s">
        <v>4510</v>
      </c>
      <c r="C1299">
        <v>2427</v>
      </c>
      <c r="D1299" s="5">
        <v>19.352008999999999</v>
      </c>
      <c r="E1299" s="5">
        <v>39.548178</v>
      </c>
      <c r="F1299" s="5">
        <v>27.347861000000002</v>
      </c>
      <c r="G1299" s="5">
        <v>21.169425</v>
      </c>
      <c r="H1299" s="6">
        <v>0.67391299999999998</v>
      </c>
      <c r="I1299" s="11">
        <v>0</v>
      </c>
      <c r="J1299" s="11">
        <v>0</v>
      </c>
      <c r="K1299" s="7">
        <f t="shared" si="40"/>
        <v>26.854368250000004</v>
      </c>
      <c r="L1299" s="8">
        <f t="shared" si="41"/>
        <v>0.22463766666666665</v>
      </c>
      <c r="M1299" s="9">
        <v>1.6143088449153999E-20</v>
      </c>
      <c r="N1299" s="9">
        <v>1.6083925297769701E-18</v>
      </c>
      <c r="O1299" s="2">
        <v>-5.6972661137137601</v>
      </c>
      <c r="P1299" t="s">
        <v>4741</v>
      </c>
      <c r="Q1299" s="10">
        <f>IF(N1299&lt;='[1]statistical criteria'!$B$2,IF(O1299&gt;=LOG('[1]statistical criteria'!$B$3,2),1,IF(O1299&lt;=-1*LOG('[1]statistical criteria'!$B$3,2),2,"-")),"-")</f>
        <v>2</v>
      </c>
      <c r="R1299" t="s">
        <v>4511</v>
      </c>
      <c r="S1299" t="s">
        <v>4512</v>
      </c>
      <c r="T1299">
        <v>0</v>
      </c>
      <c r="U1299" t="s">
        <v>4513</v>
      </c>
    </row>
    <row r="1300" spans="1:21" x14ac:dyDescent="0.35">
      <c r="A1300" t="s">
        <v>4742</v>
      </c>
      <c r="B1300" t="s">
        <v>4743</v>
      </c>
      <c r="C1300">
        <v>2283</v>
      </c>
      <c r="D1300" s="5">
        <v>9.6561719999999998</v>
      </c>
      <c r="E1300" s="5">
        <v>5.4266589999999999</v>
      </c>
      <c r="F1300" s="5">
        <v>6.5278039999999997</v>
      </c>
      <c r="G1300" s="5">
        <v>9.9156549999999992</v>
      </c>
      <c r="H1300" s="11">
        <v>0</v>
      </c>
      <c r="I1300" s="11">
        <v>0</v>
      </c>
      <c r="J1300" s="11">
        <v>0</v>
      </c>
      <c r="K1300" s="7">
        <f t="shared" si="40"/>
        <v>7.881572499999999</v>
      </c>
      <c r="L1300" s="8">
        <f t="shared" si="41"/>
        <v>0</v>
      </c>
      <c r="M1300" s="9">
        <v>4.01070317146391E-14</v>
      </c>
      <c r="N1300" s="9">
        <v>1.7055571252057701E-12</v>
      </c>
      <c r="O1300" s="2">
        <v>-5.7012672893835497</v>
      </c>
      <c r="P1300" t="s">
        <v>4742</v>
      </c>
      <c r="Q1300" s="10">
        <f>IF(N1300&lt;='[1]statistical criteria'!$B$2,IF(O1300&gt;=LOG('[1]statistical criteria'!$B$3,2),1,IF(O1300&lt;=-1*LOG('[1]statistical criteria'!$B$3,2),2,"-")),"-")</f>
        <v>2</v>
      </c>
      <c r="R1300" t="s">
        <v>4744</v>
      </c>
      <c r="S1300" t="s">
        <v>4745</v>
      </c>
      <c r="T1300" s="9">
        <v>4.9999999999999996E-25</v>
      </c>
      <c r="U1300" t="s">
        <v>4746</v>
      </c>
    </row>
    <row r="1301" spans="1:21" x14ac:dyDescent="0.35">
      <c r="A1301" t="s">
        <v>4747</v>
      </c>
      <c r="B1301" t="s">
        <v>4748</v>
      </c>
      <c r="C1301">
        <v>1635</v>
      </c>
      <c r="D1301" s="5">
        <v>18.140471999999999</v>
      </c>
      <c r="E1301" s="5">
        <v>24.073084000000001</v>
      </c>
      <c r="F1301" s="5">
        <v>8.5760970000000007</v>
      </c>
      <c r="G1301" s="5">
        <v>16.452843999999999</v>
      </c>
      <c r="H1301" s="11">
        <v>0</v>
      </c>
      <c r="I1301" s="11">
        <v>0</v>
      </c>
      <c r="J1301" s="11">
        <v>0</v>
      </c>
      <c r="K1301" s="7">
        <f t="shared" si="40"/>
        <v>16.81062425</v>
      </c>
      <c r="L1301" s="8">
        <f t="shared" si="41"/>
        <v>0</v>
      </c>
      <c r="M1301" s="9">
        <v>4.5834932945455797E-14</v>
      </c>
      <c r="N1301" s="9">
        <v>1.93401058525948E-12</v>
      </c>
      <c r="O1301" s="2">
        <v>-5.7068210004065998</v>
      </c>
      <c r="P1301" t="s">
        <v>4747</v>
      </c>
      <c r="Q1301" s="10">
        <f>IF(N1301&lt;='[1]statistical criteria'!$B$2,IF(O1301&gt;=LOG('[1]statistical criteria'!$B$3,2),1,IF(O1301&lt;=-1*LOG('[1]statistical criteria'!$B$3,2),2,"-")),"-")</f>
        <v>2</v>
      </c>
      <c r="R1301" t="s">
        <v>4749</v>
      </c>
      <c r="S1301" t="s">
        <v>4750</v>
      </c>
      <c r="T1301">
        <v>0</v>
      </c>
      <c r="U1301" t="s">
        <v>4751</v>
      </c>
    </row>
    <row r="1302" spans="1:21" x14ac:dyDescent="0.35">
      <c r="A1302" t="s">
        <v>4752</v>
      </c>
      <c r="B1302" t="s">
        <v>4753</v>
      </c>
      <c r="C1302">
        <v>855</v>
      </c>
      <c r="D1302" s="5">
        <v>6.7484539999999997</v>
      </c>
      <c r="E1302" s="5">
        <v>20.066348000000001</v>
      </c>
      <c r="F1302" s="5">
        <v>10.578334999999999</v>
      </c>
      <c r="G1302" s="5">
        <v>14.099463</v>
      </c>
      <c r="H1302" s="11">
        <v>0</v>
      </c>
      <c r="I1302" s="11">
        <v>0</v>
      </c>
      <c r="J1302" s="11">
        <v>0</v>
      </c>
      <c r="K1302" s="7">
        <f t="shared" si="40"/>
        <v>12.873149999999999</v>
      </c>
      <c r="L1302" s="8">
        <f t="shared" si="41"/>
        <v>0</v>
      </c>
      <c r="M1302" s="9">
        <v>5.8256692988373203E-12</v>
      </c>
      <c r="N1302" s="9">
        <v>1.7823550925542501E-10</v>
      </c>
      <c r="O1302" s="2">
        <v>-5.7351163666181399</v>
      </c>
      <c r="P1302" t="s">
        <v>4752</v>
      </c>
      <c r="Q1302" s="10">
        <f>IF(N1302&lt;='[1]statistical criteria'!$B$2,IF(O1302&gt;=LOG('[1]statistical criteria'!$B$3,2),1,IF(O1302&lt;=-1*LOG('[1]statistical criteria'!$B$3,2),2,"-")),"-")</f>
        <v>2</v>
      </c>
      <c r="S1302" t="s">
        <v>2881</v>
      </c>
      <c r="T1302" s="9">
        <v>1E-84</v>
      </c>
      <c r="U1302" t="s">
        <v>153</v>
      </c>
    </row>
    <row r="1303" spans="1:21" x14ac:dyDescent="0.35">
      <c r="A1303" t="s">
        <v>4754</v>
      </c>
      <c r="B1303" t="s">
        <v>4755</v>
      </c>
      <c r="C1303">
        <v>1482</v>
      </c>
      <c r="D1303" s="5">
        <v>9.5052710000000005</v>
      </c>
      <c r="E1303" s="5">
        <v>5.7220389999999997</v>
      </c>
      <c r="F1303" s="5">
        <v>5.566859</v>
      </c>
      <c r="G1303" s="5">
        <v>11.343101000000001</v>
      </c>
      <c r="H1303" s="11">
        <v>0</v>
      </c>
      <c r="I1303" s="11">
        <v>0</v>
      </c>
      <c r="J1303" s="11">
        <v>0</v>
      </c>
      <c r="K1303" s="7">
        <f t="shared" si="40"/>
        <v>8.0343175000000002</v>
      </c>
      <c r="L1303" s="8">
        <f t="shared" si="41"/>
        <v>0</v>
      </c>
      <c r="M1303" s="9">
        <v>5.9721080359797E-12</v>
      </c>
      <c r="N1303" s="9">
        <v>1.82325340394521E-10</v>
      </c>
      <c r="O1303" s="2">
        <v>-5.7362142005512098</v>
      </c>
      <c r="P1303" t="s">
        <v>4754</v>
      </c>
      <c r="Q1303" s="10">
        <f>IF(N1303&lt;='[1]statistical criteria'!$B$2,IF(O1303&gt;=LOG('[1]statistical criteria'!$B$3,2),1,IF(O1303&lt;=-1*LOG('[1]statistical criteria'!$B$3,2),2,"-")),"-")</f>
        <v>2</v>
      </c>
      <c r="R1303" t="s">
        <v>151</v>
      </c>
      <c r="S1303" t="s">
        <v>2881</v>
      </c>
      <c r="T1303" s="9">
        <v>2.0000000000000001E-158</v>
      </c>
      <c r="U1303" t="s">
        <v>153</v>
      </c>
    </row>
    <row r="1304" spans="1:21" x14ac:dyDescent="0.35">
      <c r="A1304" t="s">
        <v>4756</v>
      </c>
      <c r="B1304" t="s">
        <v>4757</v>
      </c>
      <c r="C1304">
        <v>1221</v>
      </c>
      <c r="D1304" s="5">
        <v>12.475387</v>
      </c>
      <c r="E1304" s="5">
        <v>16.282216999999999</v>
      </c>
      <c r="F1304" s="5">
        <v>10.385425</v>
      </c>
      <c r="G1304" s="5">
        <v>19.949598000000002</v>
      </c>
      <c r="H1304" s="11">
        <v>0</v>
      </c>
      <c r="I1304" s="11">
        <v>0</v>
      </c>
      <c r="J1304" s="11">
        <v>0</v>
      </c>
      <c r="K1304" s="7">
        <f t="shared" si="40"/>
        <v>14.77315675</v>
      </c>
      <c r="L1304" s="8">
        <f t="shared" si="41"/>
        <v>0</v>
      </c>
      <c r="M1304" s="9">
        <v>1.65528082241019E-15</v>
      </c>
      <c r="N1304" s="9">
        <v>8.5481666351332301E-14</v>
      </c>
      <c r="O1304" s="2">
        <v>-5.7817380189381398</v>
      </c>
      <c r="P1304" t="s">
        <v>4756</v>
      </c>
      <c r="Q1304" s="10">
        <f>IF(N1304&lt;='[1]statistical criteria'!$B$2,IF(O1304&gt;=LOG('[1]statistical criteria'!$B$3,2),1,IF(O1304&lt;=-1*LOG('[1]statistical criteria'!$B$3,2),2,"-")),"-")</f>
        <v>2</v>
      </c>
      <c r="R1304" t="s">
        <v>4758</v>
      </c>
      <c r="S1304" t="s">
        <v>4759</v>
      </c>
      <c r="T1304">
        <v>0</v>
      </c>
      <c r="U1304" t="s">
        <v>4760</v>
      </c>
    </row>
    <row r="1305" spans="1:21" x14ac:dyDescent="0.35">
      <c r="A1305" t="s">
        <v>4761</v>
      </c>
      <c r="B1305" t="s">
        <v>4762</v>
      </c>
      <c r="C1305">
        <v>891</v>
      </c>
      <c r="D1305" s="5">
        <v>18.105712</v>
      </c>
      <c r="E1305" s="5">
        <v>24.551255000000001</v>
      </c>
      <c r="F1305" s="5">
        <v>3.8800159999999999</v>
      </c>
      <c r="G1305" s="5">
        <v>20.151592999999998</v>
      </c>
      <c r="H1305" s="11">
        <v>0</v>
      </c>
      <c r="I1305" s="11">
        <v>0</v>
      </c>
      <c r="J1305" s="11">
        <v>0</v>
      </c>
      <c r="K1305" s="7">
        <f t="shared" si="40"/>
        <v>16.672143999999999</v>
      </c>
      <c r="L1305" s="8">
        <f t="shared" si="41"/>
        <v>0</v>
      </c>
      <c r="M1305" s="9">
        <v>5.3805229169766298E-28</v>
      </c>
      <c r="N1305" s="9">
        <v>1.08350636095307E-25</v>
      </c>
      <c r="O1305" s="2">
        <v>-5.7822212709353096</v>
      </c>
      <c r="P1305" t="s">
        <v>4761</v>
      </c>
      <c r="Q1305" s="10">
        <f>IF(N1305&lt;='[1]statistical criteria'!$B$2,IF(O1305&gt;=LOG('[1]statistical criteria'!$B$3,2),1,IF(O1305&lt;=-1*LOG('[1]statistical criteria'!$B$3,2),2,"-")),"-")</f>
        <v>2</v>
      </c>
      <c r="R1305" t="s">
        <v>4763</v>
      </c>
      <c r="S1305" t="s">
        <v>4764</v>
      </c>
      <c r="T1305">
        <v>0</v>
      </c>
      <c r="U1305" t="s">
        <v>4765</v>
      </c>
    </row>
    <row r="1306" spans="1:21" x14ac:dyDescent="0.35">
      <c r="A1306" t="s">
        <v>4766</v>
      </c>
      <c r="B1306" t="s">
        <v>4767</v>
      </c>
      <c r="C1306">
        <v>1230</v>
      </c>
      <c r="D1306" s="5">
        <v>30.533494000000001</v>
      </c>
      <c r="E1306" s="5">
        <v>41.121313000000001</v>
      </c>
      <c r="F1306" s="5">
        <v>33.721074999999999</v>
      </c>
      <c r="G1306" s="5">
        <v>36.278807</v>
      </c>
      <c r="H1306" s="6">
        <v>0.66893599999999998</v>
      </c>
      <c r="I1306" s="11">
        <v>0</v>
      </c>
      <c r="J1306" s="11">
        <v>0</v>
      </c>
      <c r="K1306" s="7">
        <f t="shared" si="40"/>
        <v>35.413672250000005</v>
      </c>
      <c r="L1306" s="8">
        <f t="shared" si="41"/>
        <v>0.22297866666666666</v>
      </c>
      <c r="M1306" s="9">
        <v>3.5817834964910098E-10</v>
      </c>
      <c r="N1306" s="9">
        <v>8.2669908960853802E-9</v>
      </c>
      <c r="O1306" s="2">
        <v>-5.83080023649552</v>
      </c>
      <c r="P1306" t="s">
        <v>4766</v>
      </c>
      <c r="Q1306" s="10">
        <f>IF(N1306&lt;='[1]statistical criteria'!$B$2,IF(O1306&gt;=LOG('[1]statistical criteria'!$B$3,2),1,IF(O1306&lt;=-1*LOG('[1]statistical criteria'!$B$3,2),2,"-")),"-")</f>
        <v>2</v>
      </c>
    </row>
    <row r="1307" spans="1:21" x14ac:dyDescent="0.35">
      <c r="A1307" t="s">
        <v>4768</v>
      </c>
      <c r="B1307" t="s">
        <v>4769</v>
      </c>
      <c r="C1307">
        <v>855</v>
      </c>
      <c r="D1307" s="5">
        <v>12.838839</v>
      </c>
      <c r="E1307" s="5">
        <v>9.5269159999999999</v>
      </c>
      <c r="F1307" s="5">
        <v>15.252668999999999</v>
      </c>
      <c r="G1307" s="5">
        <v>11.925901</v>
      </c>
      <c r="H1307" s="11">
        <v>0</v>
      </c>
      <c r="I1307" s="11">
        <v>0</v>
      </c>
      <c r="J1307" s="11">
        <v>0</v>
      </c>
      <c r="K1307" s="7">
        <f t="shared" si="40"/>
        <v>12.38608125</v>
      </c>
      <c r="L1307" s="8">
        <f t="shared" si="41"/>
        <v>0</v>
      </c>
      <c r="M1307" s="9">
        <v>6.4429848261602794E-20</v>
      </c>
      <c r="N1307" s="9">
        <v>6.14586472390126E-18</v>
      </c>
      <c r="O1307" s="2">
        <v>-5.8317367552233499</v>
      </c>
      <c r="P1307" t="s">
        <v>4768</v>
      </c>
      <c r="Q1307" s="10">
        <f>IF(N1307&lt;='[1]statistical criteria'!$B$2,IF(O1307&gt;=LOG('[1]statistical criteria'!$B$3,2),1,IF(O1307&lt;=-1*LOG('[1]statistical criteria'!$B$3,2),2,"-")),"-")</f>
        <v>2</v>
      </c>
      <c r="R1307" t="s">
        <v>4770</v>
      </c>
      <c r="S1307" t="s">
        <v>4771</v>
      </c>
      <c r="T1307" s="9">
        <v>2.0000000000000001E-135</v>
      </c>
      <c r="U1307" t="s">
        <v>4772</v>
      </c>
    </row>
    <row r="1308" spans="1:21" x14ac:dyDescent="0.35">
      <c r="A1308" t="s">
        <v>4773</v>
      </c>
      <c r="B1308" t="s">
        <v>4774</v>
      </c>
      <c r="C1308">
        <v>1617</v>
      </c>
      <c r="D1308" s="5">
        <v>9.9169940000000008</v>
      </c>
      <c r="E1308" s="5">
        <v>7.1519630000000003</v>
      </c>
      <c r="F1308" s="5">
        <v>18.890706999999999</v>
      </c>
      <c r="G1308" s="5">
        <v>15.004477</v>
      </c>
      <c r="H1308" s="11">
        <v>0</v>
      </c>
      <c r="I1308" s="11">
        <v>0</v>
      </c>
      <c r="J1308" s="11">
        <v>0</v>
      </c>
      <c r="K1308" s="7">
        <f t="shared" si="40"/>
        <v>12.741035250000001</v>
      </c>
      <c r="L1308" s="8">
        <f t="shared" si="41"/>
        <v>0</v>
      </c>
      <c r="M1308" s="9">
        <v>3.3390544956763897E-14</v>
      </c>
      <c r="N1308" s="9">
        <v>1.43598208028749E-12</v>
      </c>
      <c r="O1308" s="2">
        <v>-5.8460222657202596</v>
      </c>
      <c r="P1308" t="s">
        <v>4773</v>
      </c>
      <c r="Q1308" s="10">
        <f>IF(N1308&lt;='[1]statistical criteria'!$B$2,IF(O1308&gt;=LOG('[1]statistical criteria'!$B$3,2),1,IF(O1308&lt;=-1*LOG('[1]statistical criteria'!$B$3,2),2,"-")),"-")</f>
        <v>2</v>
      </c>
      <c r="S1308" t="s">
        <v>4775</v>
      </c>
      <c r="T1308">
        <v>1.5</v>
      </c>
      <c r="U1308" t="s">
        <v>4776</v>
      </c>
    </row>
    <row r="1309" spans="1:21" x14ac:dyDescent="0.35">
      <c r="A1309" t="s">
        <v>4777</v>
      </c>
      <c r="B1309" t="s">
        <v>4778</v>
      </c>
      <c r="C1309">
        <v>570</v>
      </c>
      <c r="D1309" s="5">
        <v>36.557375</v>
      </c>
      <c r="E1309" s="5">
        <v>25.772248000000001</v>
      </c>
      <c r="F1309" s="5">
        <v>24.220955</v>
      </c>
      <c r="G1309" s="5">
        <v>38.255923000000003</v>
      </c>
      <c r="H1309" s="11">
        <v>0</v>
      </c>
      <c r="I1309" s="11">
        <v>0</v>
      </c>
      <c r="J1309" s="11">
        <v>0</v>
      </c>
      <c r="K1309" s="7">
        <f t="shared" si="40"/>
        <v>31.201625249999999</v>
      </c>
      <c r="L1309" s="8">
        <f t="shared" si="41"/>
        <v>0</v>
      </c>
      <c r="M1309" s="9">
        <v>1.3930682918957799E-16</v>
      </c>
      <c r="N1309" s="9">
        <v>8.6071719463560498E-15</v>
      </c>
      <c r="O1309" s="2">
        <v>-5.8574080735111602</v>
      </c>
      <c r="P1309" t="s">
        <v>4777</v>
      </c>
      <c r="Q1309" s="10">
        <f>IF(N1309&lt;='[1]statistical criteria'!$B$2,IF(O1309&gt;=LOG('[1]statistical criteria'!$B$3,2),1,IF(O1309&lt;=-1*LOG('[1]statistical criteria'!$B$3,2),2,"-")),"-")</f>
        <v>2</v>
      </c>
      <c r="R1309" t="s">
        <v>4271</v>
      </c>
    </row>
    <row r="1310" spans="1:21" x14ac:dyDescent="0.35">
      <c r="A1310" t="s">
        <v>4779</v>
      </c>
      <c r="B1310" t="s">
        <v>4780</v>
      </c>
      <c r="C1310">
        <v>3012</v>
      </c>
      <c r="D1310" s="5">
        <v>28.851794000000002</v>
      </c>
      <c r="E1310" s="5">
        <v>19.632833999999999</v>
      </c>
      <c r="F1310" s="5">
        <v>40.920371000000003</v>
      </c>
      <c r="G1310" s="5">
        <v>31.969857999999999</v>
      </c>
      <c r="H1310" s="11">
        <v>0</v>
      </c>
      <c r="I1310" s="11">
        <v>0</v>
      </c>
      <c r="J1310" s="6">
        <v>1.1120140000000001</v>
      </c>
      <c r="K1310" s="7">
        <f t="shared" si="40"/>
        <v>30.343714250000001</v>
      </c>
      <c r="L1310" s="8">
        <f t="shared" si="41"/>
        <v>0.37067133333333335</v>
      </c>
      <c r="M1310" s="9">
        <v>8.2073744808683606E-15</v>
      </c>
      <c r="N1310" s="9">
        <v>3.8315323532087501E-13</v>
      </c>
      <c r="O1310" s="2">
        <v>-5.8675332017018098</v>
      </c>
      <c r="P1310" t="s">
        <v>4779</v>
      </c>
      <c r="Q1310" s="10">
        <f>IF(N1310&lt;='[1]statistical criteria'!$B$2,IF(O1310&gt;=LOG('[1]statistical criteria'!$B$3,2),1,IF(O1310&lt;=-1*LOG('[1]statistical criteria'!$B$3,2),2,"-")),"-")</f>
        <v>2</v>
      </c>
      <c r="R1310" t="s">
        <v>3767</v>
      </c>
    </row>
    <row r="1311" spans="1:21" x14ac:dyDescent="0.35">
      <c r="A1311" t="s">
        <v>4781</v>
      </c>
      <c r="B1311" t="s">
        <v>4782</v>
      </c>
      <c r="C1311">
        <v>435</v>
      </c>
      <c r="D1311" s="5">
        <v>21.249606</v>
      </c>
      <c r="E1311" s="5">
        <v>45.918635999999999</v>
      </c>
      <c r="F1311" s="5">
        <v>55.698956000000003</v>
      </c>
      <c r="G1311" s="5">
        <v>55.068972000000002</v>
      </c>
      <c r="H1311" s="11">
        <v>0</v>
      </c>
      <c r="I1311" s="11">
        <v>0</v>
      </c>
      <c r="J1311" s="11">
        <v>0</v>
      </c>
      <c r="K1311" s="7">
        <f t="shared" si="40"/>
        <v>44.484042500000001</v>
      </c>
      <c r="L1311" s="8">
        <f t="shared" si="41"/>
        <v>0</v>
      </c>
      <c r="M1311" s="9">
        <v>4.42152441805929E-44</v>
      </c>
      <c r="N1311" s="9">
        <v>2.8522579551074001E-41</v>
      </c>
      <c r="O1311" s="2">
        <v>-5.8677468150653596</v>
      </c>
      <c r="P1311" t="s">
        <v>4781</v>
      </c>
      <c r="Q1311" s="10">
        <f>IF(N1311&lt;='[1]statistical criteria'!$B$2,IF(O1311&gt;=LOG('[1]statistical criteria'!$B$3,2),1,IF(O1311&lt;=-1*LOG('[1]statistical criteria'!$B$3,2),2,"-")),"-")</f>
        <v>2</v>
      </c>
      <c r="R1311" t="s">
        <v>4783</v>
      </c>
      <c r="S1311" t="s">
        <v>4784</v>
      </c>
      <c r="T1311" s="9">
        <v>1.9999999999999999E-48</v>
      </c>
      <c r="U1311" t="s">
        <v>4785</v>
      </c>
    </row>
    <row r="1312" spans="1:21" x14ac:dyDescent="0.35">
      <c r="A1312" t="s">
        <v>4786</v>
      </c>
      <c r="B1312" t="s">
        <v>4787</v>
      </c>
      <c r="C1312">
        <v>837</v>
      </c>
      <c r="D1312" s="5">
        <v>24.196069000000001</v>
      </c>
      <c r="E1312" s="5">
        <v>13.355458</v>
      </c>
      <c r="F1312" s="5">
        <v>14.141166</v>
      </c>
      <c r="G1312" s="5">
        <v>12.818052</v>
      </c>
      <c r="H1312" s="11">
        <v>0</v>
      </c>
      <c r="I1312" s="11">
        <v>0</v>
      </c>
      <c r="J1312" s="11">
        <v>0</v>
      </c>
      <c r="K1312" s="7">
        <f t="shared" si="40"/>
        <v>16.12768625</v>
      </c>
      <c r="L1312" s="8">
        <f t="shared" si="41"/>
        <v>0</v>
      </c>
      <c r="M1312" s="9">
        <v>2.4902822937371199E-22</v>
      </c>
      <c r="N1312" s="9">
        <v>3.0973903300534199E-20</v>
      </c>
      <c r="O1312" s="2">
        <v>-5.86831282638662</v>
      </c>
      <c r="P1312" t="s">
        <v>4786</v>
      </c>
      <c r="Q1312" s="10">
        <f>IF(N1312&lt;='[1]statistical criteria'!$B$2,IF(O1312&gt;=LOG('[1]statistical criteria'!$B$3,2),1,IF(O1312&lt;=-1*LOG('[1]statistical criteria'!$B$3,2),2,"-")),"-")</f>
        <v>2</v>
      </c>
      <c r="R1312" t="s">
        <v>4788</v>
      </c>
      <c r="S1312" t="s">
        <v>4789</v>
      </c>
      <c r="T1312" s="9">
        <v>3E-68</v>
      </c>
      <c r="U1312" t="s">
        <v>2332</v>
      </c>
    </row>
    <row r="1313" spans="1:21" x14ac:dyDescent="0.35">
      <c r="A1313" t="s">
        <v>4790</v>
      </c>
      <c r="B1313" t="s">
        <v>4791</v>
      </c>
      <c r="C1313">
        <v>1410</v>
      </c>
      <c r="D1313" s="5">
        <v>12.542749000000001</v>
      </c>
      <c r="E1313" s="5">
        <v>17.439816</v>
      </c>
      <c r="F1313" s="5">
        <v>12.602269</v>
      </c>
      <c r="G1313" s="5">
        <v>8.1182339999999993</v>
      </c>
      <c r="H1313" s="11">
        <v>0</v>
      </c>
      <c r="I1313" s="11">
        <v>0</v>
      </c>
      <c r="J1313" s="11">
        <v>0</v>
      </c>
      <c r="K1313" s="7">
        <f t="shared" si="40"/>
        <v>12.675767</v>
      </c>
      <c r="L1313" s="8">
        <f t="shared" si="41"/>
        <v>0</v>
      </c>
      <c r="M1313" s="9">
        <v>1.1384079717147001E-21</v>
      </c>
      <c r="N1313" s="9">
        <v>1.3209697379104201E-19</v>
      </c>
      <c r="O1313" s="2">
        <v>-5.8761143480978797</v>
      </c>
      <c r="P1313" t="s">
        <v>4790</v>
      </c>
      <c r="Q1313" s="10">
        <f>IF(N1313&lt;='[1]statistical criteria'!$B$2,IF(O1313&gt;=LOG('[1]statistical criteria'!$B$3,2),1,IF(O1313&lt;=-1*LOG('[1]statistical criteria'!$B$3,2),2,"-")),"-")</f>
        <v>2</v>
      </c>
      <c r="R1313" t="s">
        <v>2796</v>
      </c>
      <c r="S1313" t="s">
        <v>3992</v>
      </c>
      <c r="T1313">
        <v>0</v>
      </c>
      <c r="U1313" t="s">
        <v>2798</v>
      </c>
    </row>
    <row r="1314" spans="1:21" x14ac:dyDescent="0.35">
      <c r="A1314" t="s">
        <v>4792</v>
      </c>
      <c r="B1314" t="s">
        <v>4793</v>
      </c>
      <c r="C1314">
        <v>2808</v>
      </c>
      <c r="D1314" s="5">
        <v>5.4761670000000002</v>
      </c>
      <c r="E1314" s="5">
        <v>11.664061999999999</v>
      </c>
      <c r="F1314" s="5">
        <v>9.8297860000000004</v>
      </c>
      <c r="G1314" s="5">
        <v>6.8119810000000003</v>
      </c>
      <c r="H1314" s="11">
        <v>0</v>
      </c>
      <c r="I1314" s="11">
        <v>0</v>
      </c>
      <c r="J1314" s="11">
        <v>0</v>
      </c>
      <c r="K1314" s="7">
        <f t="shared" si="40"/>
        <v>8.4454989999999999</v>
      </c>
      <c r="L1314" s="8">
        <f t="shared" si="41"/>
        <v>0</v>
      </c>
      <c r="M1314" s="9">
        <v>1.43833999615055E-52</v>
      </c>
      <c r="N1314" s="9">
        <v>1.44061105930237E-49</v>
      </c>
      <c r="O1314" s="2">
        <v>-5.8798299046376101</v>
      </c>
      <c r="P1314" t="s">
        <v>4792</v>
      </c>
      <c r="Q1314" s="10">
        <f>IF(N1314&lt;='[1]statistical criteria'!$B$2,IF(O1314&gt;=LOG('[1]statistical criteria'!$B$3,2),1,IF(O1314&lt;=-1*LOG('[1]statistical criteria'!$B$3,2),2,"-")),"-")</f>
        <v>2</v>
      </c>
      <c r="R1314" t="s">
        <v>4794</v>
      </c>
      <c r="S1314" t="s">
        <v>4795</v>
      </c>
      <c r="T1314">
        <v>0</v>
      </c>
      <c r="U1314" t="s">
        <v>4796</v>
      </c>
    </row>
    <row r="1315" spans="1:21" x14ac:dyDescent="0.35">
      <c r="A1315" t="s">
        <v>4797</v>
      </c>
      <c r="B1315" t="s">
        <v>4798</v>
      </c>
      <c r="C1315">
        <v>2283</v>
      </c>
      <c r="D1315" s="5">
        <v>25.752345999999999</v>
      </c>
      <c r="E1315" s="5">
        <v>31.185805999999999</v>
      </c>
      <c r="F1315" s="5">
        <v>48.581750999999997</v>
      </c>
      <c r="G1315" s="5">
        <v>42.791150999999999</v>
      </c>
      <c r="H1315" s="6">
        <v>1.2704759999999999</v>
      </c>
      <c r="I1315" s="11">
        <v>0</v>
      </c>
      <c r="J1315" s="11">
        <v>0</v>
      </c>
      <c r="K1315" s="7">
        <f t="shared" si="40"/>
        <v>37.077763500000003</v>
      </c>
      <c r="L1315" s="8">
        <f t="shared" si="41"/>
        <v>0.42349199999999998</v>
      </c>
      <c r="M1315" s="9">
        <v>1.17829138136752E-17</v>
      </c>
      <c r="N1315" s="9">
        <v>8.4296560103097195E-16</v>
      </c>
      <c r="O1315" s="2">
        <v>-5.9274992771709902</v>
      </c>
      <c r="P1315" t="s">
        <v>4797</v>
      </c>
      <c r="Q1315" s="10">
        <f>IF(N1315&lt;='[1]statistical criteria'!$B$2,IF(O1315&gt;=LOG('[1]statistical criteria'!$B$3,2),1,IF(O1315&lt;=-1*LOG('[1]statistical criteria'!$B$3,2),2,"-")),"-")</f>
        <v>2</v>
      </c>
      <c r="S1315" t="s">
        <v>4799</v>
      </c>
      <c r="T1315">
        <v>3.2</v>
      </c>
      <c r="U1315" t="s">
        <v>61</v>
      </c>
    </row>
    <row r="1316" spans="1:21" x14ac:dyDescent="0.35">
      <c r="A1316" t="s">
        <v>4800</v>
      </c>
      <c r="B1316" t="s">
        <v>4801</v>
      </c>
      <c r="C1316">
        <v>1428</v>
      </c>
      <c r="D1316" s="5">
        <v>13.416285999999999</v>
      </c>
      <c r="E1316" s="5">
        <v>11.324433000000001</v>
      </c>
      <c r="F1316" s="5">
        <v>6.0545939999999998</v>
      </c>
      <c r="G1316" s="5">
        <v>11.599360000000001</v>
      </c>
      <c r="H1316" s="11">
        <v>0</v>
      </c>
      <c r="I1316" s="11">
        <v>0</v>
      </c>
      <c r="J1316" s="11">
        <v>0</v>
      </c>
      <c r="K1316" s="7">
        <f t="shared" si="40"/>
        <v>10.598668249999999</v>
      </c>
      <c r="L1316" s="8">
        <f t="shared" si="41"/>
        <v>0</v>
      </c>
      <c r="M1316" s="9">
        <v>5.9552100935836298E-41</v>
      </c>
      <c r="N1316" s="9">
        <v>3.0220706154905698E-38</v>
      </c>
      <c r="O1316" s="2">
        <v>-5.95410384152561</v>
      </c>
      <c r="P1316" t="s">
        <v>4800</v>
      </c>
      <c r="Q1316" s="10">
        <f>IF(N1316&lt;='[1]statistical criteria'!$B$2,IF(O1316&gt;=LOG('[1]statistical criteria'!$B$3,2),1,IF(O1316&lt;=-1*LOG('[1]statistical criteria'!$B$3,2),2,"-")),"-")</f>
        <v>2</v>
      </c>
      <c r="R1316" t="s">
        <v>3827</v>
      </c>
    </row>
    <row r="1317" spans="1:21" x14ac:dyDescent="0.35">
      <c r="A1317" t="s">
        <v>4802</v>
      </c>
      <c r="B1317" t="s">
        <v>4803</v>
      </c>
      <c r="C1317">
        <v>1900</v>
      </c>
      <c r="D1317" s="5">
        <v>8.4969169999999998</v>
      </c>
      <c r="E1317" s="5">
        <v>14.757472999999999</v>
      </c>
      <c r="F1317" s="5">
        <v>27.043794999999999</v>
      </c>
      <c r="G1317" s="5">
        <v>22.554210000000001</v>
      </c>
      <c r="H1317" s="11">
        <v>0</v>
      </c>
      <c r="I1317" s="11">
        <v>0</v>
      </c>
      <c r="J1317" s="11">
        <v>0</v>
      </c>
      <c r="K1317" s="7">
        <f t="shared" si="40"/>
        <v>18.21309875</v>
      </c>
      <c r="L1317" s="8">
        <f t="shared" si="41"/>
        <v>0</v>
      </c>
      <c r="M1317" s="9">
        <v>4.8756466219140204E-15</v>
      </c>
      <c r="N1317" s="9">
        <v>2.34301907108646E-13</v>
      </c>
      <c r="O1317" s="2">
        <v>-5.9600561644313803</v>
      </c>
      <c r="P1317" t="s">
        <v>4802</v>
      </c>
      <c r="Q1317" s="10">
        <f>IF(N1317&lt;='[1]statistical criteria'!$B$2,IF(O1317&gt;=LOG('[1]statistical criteria'!$B$3,2),1,IF(O1317&lt;=-1*LOG('[1]statistical criteria'!$B$3,2),2,"-")),"-")</f>
        <v>2</v>
      </c>
      <c r="R1317" t="s">
        <v>3128</v>
      </c>
      <c r="S1317" t="s">
        <v>4804</v>
      </c>
      <c r="T1317" s="9">
        <v>3.0000000000000002E-151</v>
      </c>
      <c r="U1317" t="s">
        <v>4805</v>
      </c>
    </row>
    <row r="1318" spans="1:21" x14ac:dyDescent="0.35">
      <c r="A1318" t="s">
        <v>4806</v>
      </c>
      <c r="B1318" t="s">
        <v>4807</v>
      </c>
      <c r="C1318">
        <v>1251</v>
      </c>
      <c r="D1318" s="5">
        <v>15.917230999999999</v>
      </c>
      <c r="E1318" s="5">
        <v>26.026592000000001</v>
      </c>
      <c r="F1318" s="5">
        <v>10.278351000000001</v>
      </c>
      <c r="G1318" s="5">
        <v>14.301676</v>
      </c>
      <c r="H1318" s="11">
        <v>0</v>
      </c>
      <c r="I1318" s="11">
        <v>0</v>
      </c>
      <c r="J1318" s="11">
        <v>0</v>
      </c>
      <c r="K1318" s="7">
        <f t="shared" si="40"/>
        <v>16.630962500000003</v>
      </c>
      <c r="L1318" s="8">
        <f t="shared" si="41"/>
        <v>0</v>
      </c>
      <c r="M1318" s="9">
        <v>4.0820241917727101E-17</v>
      </c>
      <c r="N1318" s="9">
        <v>2.7546425662920099E-15</v>
      </c>
      <c r="O1318" s="2">
        <v>-5.9706475864364501</v>
      </c>
      <c r="P1318" t="s">
        <v>4806</v>
      </c>
      <c r="Q1318" s="10">
        <f>IF(N1318&lt;='[1]statistical criteria'!$B$2,IF(O1318&gt;=LOG('[1]statistical criteria'!$B$3,2),1,IF(O1318&lt;=-1*LOG('[1]statistical criteria'!$B$3,2),2,"-")),"-")</f>
        <v>2</v>
      </c>
      <c r="R1318" t="s">
        <v>3191</v>
      </c>
      <c r="S1318" t="s">
        <v>3192</v>
      </c>
      <c r="T1318" s="9">
        <v>4.0000000000000002E-173</v>
      </c>
      <c r="U1318" t="s">
        <v>3193</v>
      </c>
    </row>
    <row r="1319" spans="1:21" x14ac:dyDescent="0.35">
      <c r="A1319" t="s">
        <v>4808</v>
      </c>
      <c r="B1319" t="s">
        <v>4809</v>
      </c>
      <c r="C1319">
        <v>558</v>
      </c>
      <c r="D1319" s="5">
        <v>19.226212</v>
      </c>
      <c r="E1319" s="5">
        <v>48.417875000000002</v>
      </c>
      <c r="F1319" s="5">
        <v>34.517698000000003</v>
      </c>
      <c r="G1319" s="5">
        <v>21.789601999999999</v>
      </c>
      <c r="H1319" s="11">
        <v>0</v>
      </c>
      <c r="I1319" s="11">
        <v>0</v>
      </c>
      <c r="J1319" s="11">
        <v>0</v>
      </c>
      <c r="K1319" s="7">
        <f t="shared" ref="K1319:K1382" si="42">AVERAGE(D1319:G1319)</f>
        <v>30.987846750000003</v>
      </c>
      <c r="L1319" s="8">
        <f t="shared" ref="L1319:L1382" si="43">AVERAGE(H1319:J1319)</f>
        <v>0</v>
      </c>
      <c r="M1319" s="9">
        <v>2.2057019251828699E-17</v>
      </c>
      <c r="N1319" s="9">
        <v>1.5235755947814901E-15</v>
      </c>
      <c r="O1319" s="2">
        <v>-5.9717109915042004</v>
      </c>
      <c r="P1319" t="s">
        <v>4808</v>
      </c>
      <c r="Q1319" s="10">
        <f>IF(N1319&lt;='[1]statistical criteria'!$B$2,IF(O1319&gt;=LOG('[1]statistical criteria'!$B$3,2),1,IF(O1319&lt;=-1*LOG('[1]statistical criteria'!$B$3,2),2,"-")),"-")</f>
        <v>2</v>
      </c>
      <c r="R1319" t="s">
        <v>4446</v>
      </c>
      <c r="S1319" t="s">
        <v>4447</v>
      </c>
      <c r="T1319" s="9">
        <v>3.0000000000000001E-54</v>
      </c>
      <c r="U1319" t="s">
        <v>4448</v>
      </c>
    </row>
    <row r="1320" spans="1:21" x14ac:dyDescent="0.35">
      <c r="A1320" t="s">
        <v>4810</v>
      </c>
      <c r="B1320" t="s">
        <v>4811</v>
      </c>
      <c r="C1320">
        <v>1464</v>
      </c>
      <c r="D1320" s="5">
        <v>25.417560999999999</v>
      </c>
      <c r="E1320" s="5">
        <v>17.916992</v>
      </c>
      <c r="F1320" s="5">
        <v>12.177756</v>
      </c>
      <c r="G1320" s="5">
        <v>5.7261689999999996</v>
      </c>
      <c r="H1320" s="11">
        <v>0</v>
      </c>
      <c r="I1320" s="11">
        <v>0</v>
      </c>
      <c r="J1320" s="11">
        <v>0</v>
      </c>
      <c r="K1320" s="7">
        <f t="shared" si="42"/>
        <v>15.3096195</v>
      </c>
      <c r="L1320" s="8">
        <f t="shared" si="43"/>
        <v>0</v>
      </c>
      <c r="M1320" s="9">
        <v>9.6479834423013003E-29</v>
      </c>
      <c r="N1320" s="9">
        <v>2.0863764193976601E-26</v>
      </c>
      <c r="O1320" s="2">
        <v>-5.97995961664442</v>
      </c>
      <c r="P1320" t="s">
        <v>4810</v>
      </c>
      <c r="Q1320" s="10">
        <f>IF(N1320&lt;='[1]statistical criteria'!$B$2,IF(O1320&gt;=LOG('[1]statistical criteria'!$B$3,2),1,IF(O1320&lt;=-1*LOG('[1]statistical criteria'!$B$3,2),2,"-")),"-")</f>
        <v>2</v>
      </c>
      <c r="R1320" t="s">
        <v>4812</v>
      </c>
      <c r="S1320" t="s">
        <v>4813</v>
      </c>
      <c r="T1320">
        <v>0</v>
      </c>
      <c r="U1320" t="s">
        <v>4814</v>
      </c>
    </row>
    <row r="1321" spans="1:21" x14ac:dyDescent="0.35">
      <c r="A1321" t="s">
        <v>4815</v>
      </c>
      <c r="B1321" t="s">
        <v>4816</v>
      </c>
      <c r="C1321">
        <v>1980</v>
      </c>
      <c r="D1321" s="5">
        <v>11.077873</v>
      </c>
      <c r="E1321" s="5">
        <v>14.919376</v>
      </c>
      <c r="F1321" s="5">
        <v>12.439455000000001</v>
      </c>
      <c r="G1321" s="5">
        <v>11.490698</v>
      </c>
      <c r="H1321" s="11">
        <v>0</v>
      </c>
      <c r="I1321" s="11">
        <v>0</v>
      </c>
      <c r="J1321" s="11">
        <v>0</v>
      </c>
      <c r="K1321" s="7">
        <f t="shared" si="42"/>
        <v>12.4818505</v>
      </c>
      <c r="L1321" s="8">
        <f t="shared" si="43"/>
        <v>0</v>
      </c>
      <c r="M1321" s="9">
        <v>4.0219761832254101E-12</v>
      </c>
      <c r="N1321" s="9">
        <v>1.2578176954277701E-10</v>
      </c>
      <c r="O1321" s="2">
        <v>-5.9882934761840199</v>
      </c>
      <c r="P1321" t="s">
        <v>4815</v>
      </c>
      <c r="Q1321" s="10">
        <f>IF(N1321&lt;='[1]statistical criteria'!$B$2,IF(O1321&gt;=LOG('[1]statistical criteria'!$B$3,2),1,IF(O1321&lt;=-1*LOG('[1]statistical criteria'!$B$3,2),2,"-")),"-")</f>
        <v>2</v>
      </c>
      <c r="S1321" t="s">
        <v>2750</v>
      </c>
      <c r="T1321" s="9">
        <v>9E-60</v>
      </c>
      <c r="U1321" t="s">
        <v>61</v>
      </c>
    </row>
    <row r="1322" spans="1:21" x14ac:dyDescent="0.35">
      <c r="A1322" t="s">
        <v>4817</v>
      </c>
      <c r="B1322" t="s">
        <v>4818</v>
      </c>
      <c r="C1322">
        <v>1536</v>
      </c>
      <c r="D1322" s="5">
        <v>18.256149000000001</v>
      </c>
      <c r="E1322" s="5">
        <v>8.4003929999999993</v>
      </c>
      <c r="F1322" s="5">
        <v>17.269143</v>
      </c>
      <c r="G1322" s="5">
        <v>8.0942170000000004</v>
      </c>
      <c r="H1322" s="11">
        <v>0</v>
      </c>
      <c r="I1322" s="11">
        <v>0</v>
      </c>
      <c r="J1322" s="11">
        <v>0</v>
      </c>
      <c r="K1322" s="7">
        <f t="shared" si="42"/>
        <v>13.0049755</v>
      </c>
      <c r="L1322" s="8">
        <f t="shared" si="43"/>
        <v>0</v>
      </c>
      <c r="M1322" s="9">
        <v>9.7074216943136798E-17</v>
      </c>
      <c r="N1322" s="9">
        <v>6.1577411614263098E-15</v>
      </c>
      <c r="O1322" s="2">
        <v>-6.0150990202286199</v>
      </c>
      <c r="P1322" t="s">
        <v>4817</v>
      </c>
      <c r="Q1322" s="10">
        <f>IF(N1322&lt;='[1]statistical criteria'!$B$2,IF(O1322&gt;=LOG('[1]statistical criteria'!$B$3,2),1,IF(O1322&lt;=-1*LOG('[1]statistical criteria'!$B$3,2),2,"-")),"-")</f>
        <v>2</v>
      </c>
      <c r="R1322" t="s">
        <v>4819</v>
      </c>
      <c r="S1322" t="s">
        <v>4820</v>
      </c>
      <c r="T1322">
        <v>0</v>
      </c>
      <c r="U1322" t="s">
        <v>61</v>
      </c>
    </row>
    <row r="1323" spans="1:21" x14ac:dyDescent="0.35">
      <c r="A1323" t="s">
        <v>4821</v>
      </c>
      <c r="B1323" t="s">
        <v>4822</v>
      </c>
      <c r="C1323">
        <v>2508</v>
      </c>
      <c r="D1323" s="5">
        <v>7.5348139999999999</v>
      </c>
      <c r="E1323" s="5">
        <v>14.986186999999999</v>
      </c>
      <c r="F1323" s="5">
        <v>5.8903699999999999</v>
      </c>
      <c r="G1323" s="5">
        <v>12.655459</v>
      </c>
      <c r="H1323" s="11">
        <v>0</v>
      </c>
      <c r="I1323" s="11">
        <v>0</v>
      </c>
      <c r="J1323" s="11">
        <v>0</v>
      </c>
      <c r="K1323" s="7">
        <f t="shared" si="42"/>
        <v>10.266707499999999</v>
      </c>
      <c r="L1323" s="8">
        <f t="shared" si="43"/>
        <v>0</v>
      </c>
      <c r="M1323" s="9">
        <v>2.4672221992591901E-25</v>
      </c>
      <c r="N1323" s="9">
        <v>3.9958500810129802E-23</v>
      </c>
      <c r="O1323" s="2">
        <v>-6.0341804087724702</v>
      </c>
      <c r="P1323" t="s">
        <v>4821</v>
      </c>
      <c r="Q1323" s="10">
        <f>IF(N1323&lt;='[1]statistical criteria'!$B$2,IF(O1323&gt;=LOG('[1]statistical criteria'!$B$3,2),1,IF(O1323&lt;=-1*LOG('[1]statistical criteria'!$B$3,2),2,"-")),"-")</f>
        <v>2</v>
      </c>
      <c r="R1323" t="s">
        <v>4490</v>
      </c>
      <c r="S1323" t="s">
        <v>4491</v>
      </c>
      <c r="T1323">
        <v>0</v>
      </c>
      <c r="U1323" t="s">
        <v>880</v>
      </c>
    </row>
    <row r="1324" spans="1:21" x14ac:dyDescent="0.35">
      <c r="A1324" t="s">
        <v>4823</v>
      </c>
      <c r="B1324" t="s">
        <v>4824</v>
      </c>
      <c r="C1324">
        <v>891</v>
      </c>
      <c r="D1324" s="5">
        <v>8.3867019999999997</v>
      </c>
      <c r="E1324" s="5">
        <v>19.153645999999998</v>
      </c>
      <c r="F1324" s="5">
        <v>19.494498</v>
      </c>
      <c r="G1324" s="5">
        <v>12.265885000000001</v>
      </c>
      <c r="H1324" s="11">
        <v>0</v>
      </c>
      <c r="I1324" s="11">
        <v>0</v>
      </c>
      <c r="J1324" s="11">
        <v>0</v>
      </c>
      <c r="K1324" s="7">
        <f t="shared" si="42"/>
        <v>14.82518275</v>
      </c>
      <c r="L1324" s="8">
        <f t="shared" si="43"/>
        <v>0</v>
      </c>
      <c r="M1324" s="9">
        <v>1.08813341426991E-10</v>
      </c>
      <c r="N1324" s="9">
        <v>2.7499573537259398E-9</v>
      </c>
      <c r="O1324" s="2">
        <v>-6.07175993645712</v>
      </c>
      <c r="P1324" t="s">
        <v>4823</v>
      </c>
      <c r="Q1324" s="10">
        <f>IF(N1324&lt;='[1]statistical criteria'!$B$2,IF(O1324&gt;=LOG('[1]statistical criteria'!$B$3,2),1,IF(O1324&lt;=-1*LOG('[1]statistical criteria'!$B$3,2),2,"-")),"-")</f>
        <v>2</v>
      </c>
    </row>
    <row r="1325" spans="1:21" x14ac:dyDescent="0.35">
      <c r="A1325" t="s">
        <v>4825</v>
      </c>
      <c r="B1325" t="s">
        <v>4826</v>
      </c>
      <c r="C1325">
        <v>3721</v>
      </c>
      <c r="D1325" s="5">
        <v>4.7342250000000003</v>
      </c>
      <c r="E1325" s="5">
        <v>7.760999</v>
      </c>
      <c r="F1325" s="5">
        <v>4.9770219999999998</v>
      </c>
      <c r="G1325" s="5">
        <v>5.1725089999999998</v>
      </c>
      <c r="H1325" s="11">
        <v>0</v>
      </c>
      <c r="I1325" s="11">
        <v>0</v>
      </c>
      <c r="J1325" s="11">
        <v>0</v>
      </c>
      <c r="K1325" s="7">
        <f t="shared" si="42"/>
        <v>5.6611887499999991</v>
      </c>
      <c r="L1325" s="8">
        <f t="shared" si="43"/>
        <v>0</v>
      </c>
      <c r="M1325" s="9">
        <v>4.8847096341093701E-58</v>
      </c>
      <c r="N1325" s="9">
        <v>5.9971628604581501E-55</v>
      </c>
      <c r="O1325" s="2">
        <v>-6.0737478045584101</v>
      </c>
      <c r="P1325" t="s">
        <v>4825</v>
      </c>
      <c r="Q1325" s="10">
        <f>IF(N1325&lt;='[1]statistical criteria'!$B$2,IF(O1325&gt;=LOG('[1]statistical criteria'!$B$3,2),1,IF(O1325&lt;=-1*LOG('[1]statistical criteria'!$B$3,2),2,"-")),"-")</f>
        <v>2</v>
      </c>
      <c r="R1325" t="s">
        <v>4827</v>
      </c>
      <c r="S1325" t="s">
        <v>4828</v>
      </c>
      <c r="T1325">
        <v>0</v>
      </c>
      <c r="U1325" t="s">
        <v>61</v>
      </c>
    </row>
    <row r="1326" spans="1:21" x14ac:dyDescent="0.35">
      <c r="A1326" t="s">
        <v>4829</v>
      </c>
      <c r="B1326" t="s">
        <v>4830</v>
      </c>
      <c r="C1326">
        <v>4098</v>
      </c>
      <c r="D1326" s="5">
        <v>19.985336</v>
      </c>
      <c r="E1326" s="5">
        <v>14.725676999999999</v>
      </c>
      <c r="F1326" s="5">
        <v>19.337759999999999</v>
      </c>
      <c r="G1326" s="5">
        <v>14.008274999999999</v>
      </c>
      <c r="H1326" s="6">
        <v>0.61429900000000004</v>
      </c>
      <c r="I1326" s="11">
        <v>0</v>
      </c>
      <c r="J1326" s="11">
        <v>0</v>
      </c>
      <c r="K1326" s="7">
        <f t="shared" si="42"/>
        <v>17.014261999999999</v>
      </c>
      <c r="L1326" s="8">
        <f t="shared" si="43"/>
        <v>0.20476633333333336</v>
      </c>
      <c r="M1326" s="9">
        <v>7.44870627046819E-19</v>
      </c>
      <c r="N1326" s="9">
        <v>6.3280750145986405E-17</v>
      </c>
      <c r="O1326" s="2">
        <v>-6.0760893310974202</v>
      </c>
      <c r="P1326" t="s">
        <v>4829</v>
      </c>
      <c r="Q1326" s="10">
        <f>IF(N1326&lt;='[1]statistical criteria'!$B$2,IF(O1326&gt;=LOG('[1]statistical criteria'!$B$3,2),1,IF(O1326&lt;=-1*LOG('[1]statistical criteria'!$B$3,2),2,"-")),"-")</f>
        <v>2</v>
      </c>
      <c r="R1326" t="s">
        <v>878</v>
      </c>
      <c r="S1326" t="s">
        <v>4831</v>
      </c>
      <c r="T1326">
        <v>0</v>
      </c>
      <c r="U1326" t="s">
        <v>880</v>
      </c>
    </row>
    <row r="1327" spans="1:21" x14ac:dyDescent="0.35">
      <c r="A1327" t="s">
        <v>4832</v>
      </c>
      <c r="B1327" t="s">
        <v>4833</v>
      </c>
      <c r="C1327">
        <v>3216</v>
      </c>
      <c r="D1327" s="5">
        <v>6.0600889999999996</v>
      </c>
      <c r="E1327" s="5">
        <v>5.3371930000000001</v>
      </c>
      <c r="F1327" s="5">
        <v>10.27427</v>
      </c>
      <c r="G1327" s="5">
        <v>7.5580309999999997</v>
      </c>
      <c r="H1327" s="11">
        <v>0</v>
      </c>
      <c r="I1327" s="11">
        <v>0</v>
      </c>
      <c r="J1327" s="11">
        <v>0</v>
      </c>
      <c r="K1327" s="7">
        <f t="shared" si="42"/>
        <v>7.3073957499999995</v>
      </c>
      <c r="L1327" s="8">
        <f t="shared" si="43"/>
        <v>0</v>
      </c>
      <c r="M1327" s="9">
        <v>7.3919902790590405E-17</v>
      </c>
      <c r="N1327" s="9">
        <v>4.8340060141063103E-15</v>
      </c>
      <c r="O1327" s="2">
        <v>-6.1082572072608796</v>
      </c>
      <c r="P1327" t="s">
        <v>4832</v>
      </c>
      <c r="Q1327" s="10">
        <f>IF(N1327&lt;='[1]statistical criteria'!$B$2,IF(O1327&gt;=LOG('[1]statistical criteria'!$B$3,2),1,IF(O1327&lt;=-1*LOG('[1]statistical criteria'!$B$3,2),2,"-")),"-")</f>
        <v>2</v>
      </c>
      <c r="R1327" t="s">
        <v>4834</v>
      </c>
      <c r="S1327" t="s">
        <v>4835</v>
      </c>
      <c r="T1327">
        <v>0</v>
      </c>
      <c r="U1327" t="s">
        <v>4836</v>
      </c>
    </row>
    <row r="1328" spans="1:21" x14ac:dyDescent="0.35">
      <c r="A1328" t="s">
        <v>4837</v>
      </c>
      <c r="B1328" t="s">
        <v>4838</v>
      </c>
      <c r="C1328">
        <v>858</v>
      </c>
      <c r="D1328" s="5">
        <v>8.2204549999999994</v>
      </c>
      <c r="E1328" s="5">
        <v>11.515636000000001</v>
      </c>
      <c r="F1328" s="5">
        <v>12.147273</v>
      </c>
      <c r="G1328" s="5">
        <v>6.8614550000000003</v>
      </c>
      <c r="H1328" s="11">
        <v>0</v>
      </c>
      <c r="I1328" s="11">
        <v>0</v>
      </c>
      <c r="J1328" s="11">
        <v>0</v>
      </c>
      <c r="K1328" s="7">
        <f t="shared" si="42"/>
        <v>9.6862047499999999</v>
      </c>
      <c r="L1328" s="8">
        <f t="shared" si="43"/>
        <v>0</v>
      </c>
      <c r="M1328" s="9">
        <v>7.3563111787503199E-14</v>
      </c>
      <c r="N1328" s="9">
        <v>3.0202934569928498E-12</v>
      </c>
      <c r="O1328" s="2">
        <v>-6.1252395364783698</v>
      </c>
      <c r="P1328" t="s">
        <v>4837</v>
      </c>
      <c r="Q1328" s="10">
        <f>IF(N1328&lt;='[1]statistical criteria'!$B$2,IF(O1328&gt;=LOG('[1]statistical criteria'!$B$3,2),1,IF(O1328&lt;=-1*LOG('[1]statistical criteria'!$B$3,2),2,"-")),"-")</f>
        <v>2</v>
      </c>
      <c r="R1328" t="s">
        <v>4839</v>
      </c>
      <c r="S1328" t="s">
        <v>4840</v>
      </c>
      <c r="T1328" s="9">
        <v>7.0000000000000001E-100</v>
      </c>
      <c r="U1328" t="s">
        <v>4841</v>
      </c>
    </row>
    <row r="1329" spans="1:21" x14ac:dyDescent="0.35">
      <c r="A1329" t="s">
        <v>4842</v>
      </c>
      <c r="B1329" t="s">
        <v>4843</v>
      </c>
      <c r="C1329">
        <v>1125</v>
      </c>
      <c r="D1329" s="5">
        <v>87.460095999999993</v>
      </c>
      <c r="E1329" s="5">
        <v>80.717906999999997</v>
      </c>
      <c r="F1329" s="5">
        <v>63.714607000000001</v>
      </c>
      <c r="G1329" s="5">
        <v>52.051403000000001</v>
      </c>
      <c r="H1329" s="6">
        <v>0.91358799999999996</v>
      </c>
      <c r="I1329" s="11">
        <v>0</v>
      </c>
      <c r="J1329" s="11">
        <v>0</v>
      </c>
      <c r="K1329" s="7">
        <f t="shared" si="42"/>
        <v>70.986003249999996</v>
      </c>
      <c r="L1329" s="8">
        <f t="shared" si="43"/>
        <v>0.30452933333333332</v>
      </c>
      <c r="M1329" s="9">
        <v>2.50856140807367E-32</v>
      </c>
      <c r="N1329" s="9">
        <v>7.1250632232301394E-30</v>
      </c>
      <c r="O1329" s="2">
        <v>-6.1835532228826402</v>
      </c>
      <c r="P1329" t="s">
        <v>4842</v>
      </c>
      <c r="Q1329" s="10">
        <f>IF(N1329&lt;='[1]statistical criteria'!$B$2,IF(O1329&gt;=LOG('[1]statistical criteria'!$B$3,2),1,IF(O1329&lt;=-1*LOG('[1]statistical criteria'!$B$3,2),2,"-")),"-")</f>
        <v>2</v>
      </c>
      <c r="R1329" t="s">
        <v>94</v>
      </c>
      <c r="S1329" t="s">
        <v>4520</v>
      </c>
      <c r="T1329" s="9">
        <v>4E-174</v>
      </c>
      <c r="U1329" t="s">
        <v>95</v>
      </c>
    </row>
    <row r="1330" spans="1:21" x14ac:dyDescent="0.35">
      <c r="A1330" t="s">
        <v>4844</v>
      </c>
      <c r="B1330" t="s">
        <v>4845</v>
      </c>
      <c r="C1330">
        <v>1974</v>
      </c>
      <c r="D1330" s="5">
        <v>15.320328999999999</v>
      </c>
      <c r="E1330" s="5">
        <v>15.785674</v>
      </c>
      <c r="F1330" s="5">
        <v>17.050937999999999</v>
      </c>
      <c r="G1330" s="5">
        <v>11.732538999999999</v>
      </c>
      <c r="H1330" s="11">
        <v>0</v>
      </c>
      <c r="I1330" s="11">
        <v>0</v>
      </c>
      <c r="J1330" s="11">
        <v>0</v>
      </c>
      <c r="K1330" s="7">
        <f t="shared" si="42"/>
        <v>14.972370000000002</v>
      </c>
      <c r="L1330" s="8">
        <f t="shared" si="43"/>
        <v>0</v>
      </c>
      <c r="M1330" s="9">
        <v>6.1052779734440998E-25</v>
      </c>
      <c r="N1330" s="9">
        <v>9.6417792393893095E-23</v>
      </c>
      <c r="O1330" s="2">
        <v>-6.1872356229480099</v>
      </c>
      <c r="P1330" t="s">
        <v>4844</v>
      </c>
      <c r="Q1330" s="10">
        <f>IF(N1330&lt;='[1]statistical criteria'!$B$2,IF(O1330&gt;=LOG('[1]statistical criteria'!$B$3,2),1,IF(O1330&lt;=-1*LOG('[1]statistical criteria'!$B$3,2),2,"-")),"-")</f>
        <v>2</v>
      </c>
      <c r="R1330" t="s">
        <v>1792</v>
      </c>
      <c r="S1330" t="s">
        <v>4457</v>
      </c>
      <c r="T1330">
        <v>0</v>
      </c>
      <c r="U1330" t="s">
        <v>3397</v>
      </c>
    </row>
    <row r="1331" spans="1:21" x14ac:dyDescent="0.35">
      <c r="A1331" t="s">
        <v>4846</v>
      </c>
      <c r="B1331" t="s">
        <v>4847</v>
      </c>
      <c r="C1331">
        <v>1029</v>
      </c>
      <c r="D1331" s="5">
        <v>12.863847</v>
      </c>
      <c r="E1331" s="5">
        <v>12.328194</v>
      </c>
      <c r="F1331" s="5">
        <v>8.0706579999999999</v>
      </c>
      <c r="G1331" s="5">
        <v>9.3132289999999998</v>
      </c>
      <c r="H1331" s="11">
        <v>0</v>
      </c>
      <c r="I1331" s="11">
        <v>0</v>
      </c>
      <c r="J1331" s="11">
        <v>0</v>
      </c>
      <c r="K1331" s="7">
        <f t="shared" si="42"/>
        <v>10.643981999999999</v>
      </c>
      <c r="L1331" s="8">
        <f t="shared" si="43"/>
        <v>0</v>
      </c>
      <c r="M1331" s="9">
        <v>2.54999834493407E-21</v>
      </c>
      <c r="N1331" s="9">
        <v>2.7808864472261001E-19</v>
      </c>
      <c r="O1331" s="2">
        <v>-6.1968488942637903</v>
      </c>
      <c r="P1331" t="s">
        <v>4846</v>
      </c>
      <c r="Q1331" s="10">
        <f>IF(N1331&lt;='[1]statistical criteria'!$B$2,IF(O1331&gt;=LOG('[1]statistical criteria'!$B$3,2),1,IF(O1331&lt;=-1*LOG('[1]statistical criteria'!$B$3,2),2,"-")),"-")</f>
        <v>2</v>
      </c>
      <c r="R1331" t="s">
        <v>4848</v>
      </c>
      <c r="S1331" t="s">
        <v>4849</v>
      </c>
      <c r="T1331" s="9">
        <v>4.9999999999999997E-89</v>
      </c>
      <c r="U1331" t="s">
        <v>61</v>
      </c>
    </row>
    <row r="1332" spans="1:21" x14ac:dyDescent="0.35">
      <c r="A1332" t="s">
        <v>4850</v>
      </c>
      <c r="B1332" t="s">
        <v>4851</v>
      </c>
      <c r="C1332">
        <v>1998</v>
      </c>
      <c r="D1332" s="5">
        <v>10.950585999999999</v>
      </c>
      <c r="E1332" s="5">
        <v>15.281988</v>
      </c>
      <c r="F1332" s="5">
        <v>24.824345999999998</v>
      </c>
      <c r="G1332" s="5">
        <v>12.870862000000001</v>
      </c>
      <c r="H1332" s="11">
        <v>0</v>
      </c>
      <c r="I1332" s="11">
        <v>0</v>
      </c>
      <c r="J1332" s="11">
        <v>0</v>
      </c>
      <c r="K1332" s="7">
        <f t="shared" si="42"/>
        <v>15.9819455</v>
      </c>
      <c r="L1332" s="8">
        <f t="shared" si="43"/>
        <v>0</v>
      </c>
      <c r="M1332" s="9">
        <v>3.96159265114462E-36</v>
      </c>
      <c r="N1332" s="9">
        <v>1.49285362675806E-33</v>
      </c>
      <c r="O1332" s="2">
        <v>-6.2217840292401299</v>
      </c>
      <c r="P1332" t="s">
        <v>4850</v>
      </c>
      <c r="Q1332" s="10">
        <f>IF(N1332&lt;='[1]statistical criteria'!$B$2,IF(O1332&gt;=LOG('[1]statistical criteria'!$B$3,2),1,IF(O1332&lt;=-1*LOG('[1]statistical criteria'!$B$3,2),2,"-")),"-")</f>
        <v>2</v>
      </c>
      <c r="R1332" t="s">
        <v>4398</v>
      </c>
      <c r="S1332" t="s">
        <v>4852</v>
      </c>
      <c r="T1332">
        <v>0</v>
      </c>
      <c r="U1332" t="s">
        <v>3627</v>
      </c>
    </row>
    <row r="1333" spans="1:21" x14ac:dyDescent="0.35">
      <c r="A1333" t="s">
        <v>4853</v>
      </c>
      <c r="B1333" t="s">
        <v>4854</v>
      </c>
      <c r="C1333">
        <v>2322</v>
      </c>
      <c r="D1333" s="5">
        <v>16.65213</v>
      </c>
      <c r="E1333" s="5">
        <v>11.199592000000001</v>
      </c>
      <c r="F1333" s="5">
        <v>15.115252</v>
      </c>
      <c r="G1333" s="5">
        <v>11.206742999999999</v>
      </c>
      <c r="H1333" s="11">
        <v>0</v>
      </c>
      <c r="I1333" s="11">
        <v>0</v>
      </c>
      <c r="J1333" s="11">
        <v>0</v>
      </c>
      <c r="K1333" s="7">
        <f t="shared" si="42"/>
        <v>13.543429249999999</v>
      </c>
      <c r="L1333" s="8">
        <f t="shared" si="43"/>
        <v>0</v>
      </c>
      <c r="M1333" s="9">
        <v>1.30696302051838E-43</v>
      </c>
      <c r="N1333" s="9">
        <v>8.2402848175208104E-41</v>
      </c>
      <c r="O1333" s="2">
        <v>-6.2218539337851997</v>
      </c>
      <c r="P1333" t="s">
        <v>4853</v>
      </c>
      <c r="Q1333" s="10">
        <f>IF(N1333&lt;='[1]statistical criteria'!$B$2,IF(O1333&gt;=LOG('[1]statistical criteria'!$B$3,2),1,IF(O1333&lt;=-1*LOG('[1]statistical criteria'!$B$3,2),2,"-")),"-")</f>
        <v>2</v>
      </c>
      <c r="R1333" t="s">
        <v>2633</v>
      </c>
      <c r="S1333" t="s">
        <v>2634</v>
      </c>
      <c r="T1333">
        <v>0</v>
      </c>
      <c r="U1333" t="s">
        <v>2635</v>
      </c>
    </row>
    <row r="1334" spans="1:21" x14ac:dyDescent="0.35">
      <c r="A1334" t="s">
        <v>4855</v>
      </c>
      <c r="B1334" t="s">
        <v>4856</v>
      </c>
      <c r="C1334">
        <v>982</v>
      </c>
      <c r="D1334" s="5">
        <v>8.1240849999999991</v>
      </c>
      <c r="E1334" s="5">
        <v>22.877834</v>
      </c>
      <c r="F1334" s="5">
        <v>10.441578</v>
      </c>
      <c r="G1334" s="5">
        <v>10.95528</v>
      </c>
      <c r="H1334" s="11">
        <v>0</v>
      </c>
      <c r="I1334" s="11">
        <v>0</v>
      </c>
      <c r="J1334" s="11">
        <v>0</v>
      </c>
      <c r="K1334" s="7">
        <f t="shared" si="42"/>
        <v>13.099694250000001</v>
      </c>
      <c r="L1334" s="8">
        <f t="shared" si="43"/>
        <v>0</v>
      </c>
      <c r="M1334" s="9">
        <v>9.2756015796940106E-18</v>
      </c>
      <c r="N1334" s="9">
        <v>6.7243694499648404E-16</v>
      </c>
      <c r="O1334" s="2">
        <v>-6.2328320591782296</v>
      </c>
      <c r="P1334" t="s">
        <v>4855</v>
      </c>
      <c r="Q1334" s="10">
        <f>IF(N1334&lt;='[1]statistical criteria'!$B$2,IF(O1334&gt;=LOG('[1]statistical criteria'!$B$3,2),1,IF(O1334&lt;=-1*LOG('[1]statistical criteria'!$B$3,2),2,"-")),"-")</f>
        <v>2</v>
      </c>
      <c r="R1334" t="s">
        <v>4857</v>
      </c>
      <c r="S1334" t="s">
        <v>4735</v>
      </c>
      <c r="T1334" s="9">
        <v>2.0000000000000001E-138</v>
      </c>
      <c r="U1334" t="s">
        <v>4736</v>
      </c>
    </row>
    <row r="1335" spans="1:21" x14ac:dyDescent="0.35">
      <c r="A1335" t="s">
        <v>4858</v>
      </c>
      <c r="B1335" t="s">
        <v>4859</v>
      </c>
      <c r="C1335">
        <v>1254</v>
      </c>
      <c r="D1335" s="5">
        <v>26.324583000000001</v>
      </c>
      <c r="E1335" s="5">
        <v>18.997071999999999</v>
      </c>
      <c r="F1335" s="5">
        <v>39.086703999999997</v>
      </c>
      <c r="G1335" s="5">
        <v>21.189450999999998</v>
      </c>
      <c r="H1335" s="11">
        <v>0</v>
      </c>
      <c r="I1335" s="11">
        <v>0</v>
      </c>
      <c r="J1335" s="11">
        <v>0</v>
      </c>
      <c r="K1335" s="7">
        <f t="shared" si="42"/>
        <v>26.399452499999995</v>
      </c>
      <c r="L1335" s="8">
        <f t="shared" si="43"/>
        <v>0</v>
      </c>
      <c r="M1335" s="9">
        <v>2.2558255322209199E-18</v>
      </c>
      <c r="N1335" s="9">
        <v>1.7961656852788401E-16</v>
      </c>
      <c r="O1335" s="2">
        <v>-6.2738895792519704</v>
      </c>
      <c r="P1335" t="s">
        <v>4858</v>
      </c>
      <c r="Q1335" s="10">
        <f>IF(N1335&lt;='[1]statistical criteria'!$B$2,IF(O1335&gt;=LOG('[1]statistical criteria'!$B$3,2),1,IF(O1335&lt;=-1*LOG('[1]statistical criteria'!$B$3,2),2,"-")),"-")</f>
        <v>2</v>
      </c>
      <c r="R1335" t="s">
        <v>4506</v>
      </c>
      <c r="S1335" t="s">
        <v>4860</v>
      </c>
      <c r="T1335" s="9">
        <v>7.0000000000000001E-147</v>
      </c>
      <c r="U1335" t="s">
        <v>4861</v>
      </c>
    </row>
    <row r="1336" spans="1:21" x14ac:dyDescent="0.35">
      <c r="A1336" t="s">
        <v>4862</v>
      </c>
      <c r="B1336" t="s">
        <v>4863</v>
      </c>
      <c r="C1336">
        <v>985</v>
      </c>
      <c r="D1336" s="5">
        <v>155.392312</v>
      </c>
      <c r="E1336" s="5">
        <v>143.178087</v>
      </c>
      <c r="F1336" s="5">
        <v>151.94859400000001</v>
      </c>
      <c r="G1336" s="5">
        <v>145.37317400000001</v>
      </c>
      <c r="H1336" s="11">
        <v>0</v>
      </c>
      <c r="I1336" s="6">
        <v>8.636215</v>
      </c>
      <c r="J1336" s="11">
        <v>0</v>
      </c>
      <c r="K1336" s="7">
        <f t="shared" si="42"/>
        <v>148.97304174999999</v>
      </c>
      <c r="L1336" s="8">
        <f t="shared" si="43"/>
        <v>2.8787383333333332</v>
      </c>
      <c r="M1336" s="9">
        <v>3.5833099235099799E-13</v>
      </c>
      <c r="N1336" s="9">
        <v>1.3253719697647201E-11</v>
      </c>
      <c r="O1336" s="2">
        <v>-6.2812230821684096</v>
      </c>
      <c r="P1336" t="s">
        <v>4862</v>
      </c>
      <c r="Q1336" s="10">
        <f>IF(N1336&lt;='[1]statistical criteria'!$B$2,IF(O1336&gt;=LOG('[1]statistical criteria'!$B$3,2),1,IF(O1336&lt;=-1*LOG('[1]statistical criteria'!$B$3,2),2,"-")),"-")</f>
        <v>2</v>
      </c>
      <c r="R1336" t="s">
        <v>2684</v>
      </c>
      <c r="S1336" t="s">
        <v>2685</v>
      </c>
      <c r="T1336" s="9">
        <v>5.9999999999999995E-8</v>
      </c>
      <c r="U1336" t="s">
        <v>2686</v>
      </c>
    </row>
    <row r="1337" spans="1:21" x14ac:dyDescent="0.35">
      <c r="A1337" t="s">
        <v>4864</v>
      </c>
      <c r="B1337" t="s">
        <v>4865</v>
      </c>
      <c r="C1337">
        <v>3042</v>
      </c>
      <c r="D1337" s="5">
        <v>9.2427949999999992</v>
      </c>
      <c r="E1337" s="5">
        <v>8.8016740000000002</v>
      </c>
      <c r="F1337" s="5">
        <v>10.247274000000001</v>
      </c>
      <c r="G1337" s="5">
        <v>11.368969999999999</v>
      </c>
      <c r="H1337" s="11">
        <v>0</v>
      </c>
      <c r="I1337" s="11">
        <v>0</v>
      </c>
      <c r="J1337" s="11">
        <v>0</v>
      </c>
      <c r="K1337" s="7">
        <f t="shared" si="42"/>
        <v>9.9151782500000003</v>
      </c>
      <c r="L1337" s="8">
        <f t="shared" si="43"/>
        <v>0</v>
      </c>
      <c r="M1337" s="9">
        <v>5.59579175151644E-30</v>
      </c>
      <c r="N1337" s="9">
        <v>1.34794831685263E-27</v>
      </c>
      <c r="O1337" s="2">
        <v>-6.30074736890439</v>
      </c>
      <c r="P1337" t="s">
        <v>4864</v>
      </c>
      <c r="Q1337" s="10">
        <f>IF(N1337&lt;='[1]statistical criteria'!$B$2,IF(O1337&gt;=LOG('[1]statistical criteria'!$B$3,2),1,IF(O1337&lt;=-1*LOG('[1]statistical criteria'!$B$3,2),2,"-")),"-")</f>
        <v>2</v>
      </c>
      <c r="R1337" t="s">
        <v>3987</v>
      </c>
      <c r="S1337" t="s">
        <v>4866</v>
      </c>
      <c r="T1337">
        <v>0</v>
      </c>
      <c r="U1337" t="s">
        <v>3989</v>
      </c>
    </row>
    <row r="1338" spans="1:21" x14ac:dyDescent="0.35">
      <c r="A1338" t="s">
        <v>4867</v>
      </c>
      <c r="B1338" t="s">
        <v>4868</v>
      </c>
      <c r="C1338">
        <v>3831</v>
      </c>
      <c r="D1338" s="5">
        <v>4.4489729999999996</v>
      </c>
      <c r="E1338" s="5">
        <v>7.9154159999999996</v>
      </c>
      <c r="F1338" s="5">
        <v>10.615389</v>
      </c>
      <c r="G1338" s="5">
        <v>7.9813099999999997</v>
      </c>
      <c r="H1338" s="11">
        <v>0</v>
      </c>
      <c r="I1338" s="11">
        <v>0</v>
      </c>
      <c r="J1338" s="11">
        <v>0</v>
      </c>
      <c r="K1338" s="7">
        <f t="shared" si="42"/>
        <v>7.740272</v>
      </c>
      <c r="L1338" s="8">
        <f t="shared" si="43"/>
        <v>0</v>
      </c>
      <c r="M1338" s="9">
        <v>1.32069725136303E-43</v>
      </c>
      <c r="N1338" s="9">
        <v>8.2402848175208104E-41</v>
      </c>
      <c r="O1338" s="2">
        <v>-6.3092415814516798</v>
      </c>
      <c r="P1338" t="s">
        <v>4867</v>
      </c>
      <c r="Q1338" s="10">
        <f>IF(N1338&lt;='[1]statistical criteria'!$B$2,IF(O1338&gt;=LOG('[1]statistical criteria'!$B$3,2),1,IF(O1338&lt;=-1*LOG('[1]statistical criteria'!$B$3,2),2,"-")),"-")</f>
        <v>2</v>
      </c>
      <c r="R1338" t="s">
        <v>4869</v>
      </c>
      <c r="S1338" t="s">
        <v>4870</v>
      </c>
      <c r="T1338">
        <v>0</v>
      </c>
      <c r="U1338" t="s">
        <v>4871</v>
      </c>
    </row>
    <row r="1339" spans="1:21" x14ac:dyDescent="0.35">
      <c r="A1339" t="s">
        <v>4872</v>
      </c>
      <c r="B1339" s="26" t="s">
        <v>4873</v>
      </c>
      <c r="C1339">
        <v>685</v>
      </c>
      <c r="D1339" s="5">
        <v>19.644589</v>
      </c>
      <c r="E1339" s="5">
        <v>33.914166999999999</v>
      </c>
      <c r="F1339" s="5">
        <v>25.235505</v>
      </c>
      <c r="G1339" s="5">
        <v>34.072867000000002</v>
      </c>
      <c r="H1339" s="11">
        <v>0</v>
      </c>
      <c r="I1339" s="11">
        <v>0</v>
      </c>
      <c r="J1339" s="11">
        <v>0</v>
      </c>
      <c r="K1339" s="7">
        <f t="shared" si="42"/>
        <v>28.216782000000002</v>
      </c>
      <c r="L1339" s="8">
        <f t="shared" si="43"/>
        <v>0</v>
      </c>
      <c r="M1339" s="9">
        <v>2.49996094375622E-18</v>
      </c>
      <c r="N1339" s="9">
        <v>1.9781395742070999E-16</v>
      </c>
      <c r="O1339" s="2">
        <v>-6.3277236629798299</v>
      </c>
      <c r="P1339" t="s">
        <v>4872</v>
      </c>
      <c r="Q1339" s="10">
        <f>IF(N1339&lt;='[1]statistical criteria'!$B$2,IF(O1339&gt;=LOG('[1]statistical criteria'!$B$3,2),1,IF(O1339&lt;=-1*LOG('[1]statistical criteria'!$B$3,2),2,"-")),"-")</f>
        <v>2</v>
      </c>
      <c r="R1339" s="26" t="s">
        <v>2576</v>
      </c>
      <c r="S1339" s="26" t="s">
        <v>2577</v>
      </c>
      <c r="T1339" s="29">
        <v>1E-58</v>
      </c>
      <c r="U1339" s="26" t="s">
        <v>2578</v>
      </c>
    </row>
    <row r="1340" spans="1:21" x14ac:dyDescent="0.35">
      <c r="A1340" t="s">
        <v>4874</v>
      </c>
      <c r="B1340" t="s">
        <v>4875</v>
      </c>
      <c r="C1340">
        <v>906</v>
      </c>
      <c r="D1340" s="5">
        <v>8.9207920000000005</v>
      </c>
      <c r="E1340" s="5">
        <v>28.087888</v>
      </c>
      <c r="F1340" s="5">
        <v>25.581696999999998</v>
      </c>
      <c r="G1340" s="5">
        <v>14.831151999999999</v>
      </c>
      <c r="H1340" s="11">
        <v>0</v>
      </c>
      <c r="I1340" s="11">
        <v>0</v>
      </c>
      <c r="J1340" s="11">
        <v>0</v>
      </c>
      <c r="K1340" s="7">
        <f t="shared" si="42"/>
        <v>19.355382249999998</v>
      </c>
      <c r="L1340" s="8">
        <f t="shared" si="43"/>
        <v>0</v>
      </c>
      <c r="M1340" s="9">
        <v>1.80431048503318E-37</v>
      </c>
      <c r="N1340" s="9">
        <v>7.3055379851449704E-35</v>
      </c>
      <c r="O1340" s="2">
        <v>-6.3434087534247103</v>
      </c>
      <c r="P1340" t="s">
        <v>4874</v>
      </c>
      <c r="Q1340" s="10">
        <f>IF(N1340&lt;='[1]statistical criteria'!$B$2,IF(O1340&gt;=LOG('[1]statistical criteria'!$B$3,2),1,IF(O1340&lt;=-1*LOG('[1]statistical criteria'!$B$3,2),2,"-")),"-")</f>
        <v>2</v>
      </c>
      <c r="S1340" t="s">
        <v>4876</v>
      </c>
      <c r="T1340" s="9">
        <v>5.9999999999999997E-7</v>
      </c>
      <c r="U1340" t="s">
        <v>61</v>
      </c>
    </row>
    <row r="1341" spans="1:21" x14ac:dyDescent="0.35">
      <c r="A1341" t="s">
        <v>4877</v>
      </c>
      <c r="B1341" t="s">
        <v>4878</v>
      </c>
      <c r="C1341">
        <v>1089</v>
      </c>
      <c r="D1341" s="5">
        <v>27.391421999999999</v>
      </c>
      <c r="E1341" s="5">
        <v>14.744895</v>
      </c>
      <c r="F1341" s="5">
        <v>32.973517999999999</v>
      </c>
      <c r="G1341" s="5">
        <v>21.273513000000001</v>
      </c>
      <c r="H1341" s="11">
        <v>0</v>
      </c>
      <c r="I1341" s="11">
        <v>0</v>
      </c>
      <c r="J1341" s="11">
        <v>0</v>
      </c>
      <c r="K1341" s="7">
        <f t="shared" si="42"/>
        <v>24.095837000000003</v>
      </c>
      <c r="L1341" s="8">
        <f t="shared" si="43"/>
        <v>0</v>
      </c>
      <c r="M1341" s="9">
        <v>1.7119538456145001E-16</v>
      </c>
      <c r="N1341" s="9">
        <v>1.0375312637593599E-14</v>
      </c>
      <c r="O1341" s="2">
        <v>-6.3559864632013099</v>
      </c>
      <c r="P1341" t="s">
        <v>4877</v>
      </c>
      <c r="Q1341" s="10">
        <f>IF(N1341&lt;='[1]statistical criteria'!$B$2,IF(O1341&gt;=LOG('[1]statistical criteria'!$B$3,2),1,IF(O1341&lt;=-1*LOG('[1]statistical criteria'!$B$3,2),2,"-")),"-")</f>
        <v>2</v>
      </c>
      <c r="S1341" t="s">
        <v>4628</v>
      </c>
      <c r="T1341" s="9">
        <v>2E-116</v>
      </c>
      <c r="U1341" t="s">
        <v>4629</v>
      </c>
    </row>
    <row r="1342" spans="1:21" x14ac:dyDescent="0.35">
      <c r="A1342" t="s">
        <v>4879</v>
      </c>
      <c r="B1342" t="s">
        <v>4880</v>
      </c>
      <c r="C1342">
        <v>2514</v>
      </c>
      <c r="D1342" s="5">
        <v>17.453828000000001</v>
      </c>
      <c r="E1342" s="5">
        <v>15.623518000000001</v>
      </c>
      <c r="F1342" s="5">
        <v>12.895104</v>
      </c>
      <c r="G1342" s="5">
        <v>17.578917000000001</v>
      </c>
      <c r="H1342" s="11">
        <v>0</v>
      </c>
      <c r="I1342" s="11">
        <v>0</v>
      </c>
      <c r="J1342" s="11">
        <v>0</v>
      </c>
      <c r="K1342" s="7">
        <f t="shared" si="42"/>
        <v>15.887841750000003</v>
      </c>
      <c r="L1342" s="8">
        <f t="shared" si="43"/>
        <v>0</v>
      </c>
      <c r="M1342" s="9">
        <v>7.5044503889980405E-46</v>
      </c>
      <c r="N1342" s="9">
        <v>5.2892478112086198E-43</v>
      </c>
      <c r="O1342" s="2">
        <v>-6.3712923583986996</v>
      </c>
      <c r="P1342" t="s">
        <v>4879</v>
      </c>
      <c r="Q1342" s="10">
        <f>IF(N1342&lt;='[1]statistical criteria'!$B$2,IF(O1342&gt;=LOG('[1]statistical criteria'!$B$3,2),1,IF(O1342&lt;=-1*LOG('[1]statistical criteria'!$B$3,2),2,"-")),"-")</f>
        <v>2</v>
      </c>
      <c r="R1342" t="s">
        <v>4667</v>
      </c>
      <c r="S1342" t="s">
        <v>4668</v>
      </c>
      <c r="T1342">
        <v>0</v>
      </c>
      <c r="U1342" t="s">
        <v>4669</v>
      </c>
    </row>
    <row r="1343" spans="1:21" x14ac:dyDescent="0.35">
      <c r="A1343" t="s">
        <v>4881</v>
      </c>
      <c r="B1343" t="s">
        <v>4882</v>
      </c>
      <c r="C1343">
        <v>858</v>
      </c>
      <c r="D1343" s="5">
        <v>37.239995999999998</v>
      </c>
      <c r="E1343" s="5">
        <v>31.333787000000001</v>
      </c>
      <c r="F1343" s="5">
        <v>40.914651999999997</v>
      </c>
      <c r="G1343" s="5">
        <v>27.085121000000001</v>
      </c>
      <c r="H1343" s="11">
        <v>0</v>
      </c>
      <c r="I1343" s="6">
        <v>0.48441499999999998</v>
      </c>
      <c r="J1343" s="11">
        <v>0</v>
      </c>
      <c r="K1343" s="7">
        <f t="shared" si="42"/>
        <v>34.143388999999999</v>
      </c>
      <c r="L1343" s="8">
        <f t="shared" si="43"/>
        <v>0.16147166666666665</v>
      </c>
      <c r="M1343" s="9">
        <v>1.49957751557409E-29</v>
      </c>
      <c r="N1343" s="9">
        <v>3.4801170879725502E-27</v>
      </c>
      <c r="O1343" s="2">
        <v>-6.3818093478974696</v>
      </c>
      <c r="P1343" t="s">
        <v>4881</v>
      </c>
      <c r="Q1343" s="10">
        <f>IF(N1343&lt;='[1]statistical criteria'!$B$2,IF(O1343&gt;=LOG('[1]statistical criteria'!$B$3,2),1,IF(O1343&lt;=-1*LOG('[1]statistical criteria'!$B$3,2),2,"-")),"-")</f>
        <v>2</v>
      </c>
      <c r="R1343" t="s">
        <v>4839</v>
      </c>
      <c r="S1343" t="s">
        <v>4840</v>
      </c>
      <c r="T1343" s="9">
        <v>3.0000000000000001E-100</v>
      </c>
      <c r="U1343" t="s">
        <v>4841</v>
      </c>
    </row>
    <row r="1344" spans="1:21" x14ac:dyDescent="0.35">
      <c r="A1344" t="s">
        <v>4883</v>
      </c>
      <c r="B1344" t="s">
        <v>4884</v>
      </c>
      <c r="C1344">
        <v>2385</v>
      </c>
      <c r="D1344" s="5">
        <v>14.402379</v>
      </c>
      <c r="E1344" s="5">
        <v>5.9078879999999998</v>
      </c>
      <c r="F1344" s="5">
        <v>23.118686</v>
      </c>
      <c r="G1344" s="5">
        <v>14.61591</v>
      </c>
      <c r="H1344" s="11">
        <v>0</v>
      </c>
      <c r="I1344" s="11">
        <v>0</v>
      </c>
      <c r="J1344" s="11">
        <v>0</v>
      </c>
      <c r="K1344" s="7">
        <f t="shared" si="42"/>
        <v>14.51121575</v>
      </c>
      <c r="L1344" s="8">
        <f t="shared" si="43"/>
        <v>0</v>
      </c>
      <c r="M1344" s="9">
        <v>1.94620720294139E-15</v>
      </c>
      <c r="N1344" s="9">
        <v>9.9963085214506506E-14</v>
      </c>
      <c r="O1344" s="2">
        <v>-6.3882889730409698</v>
      </c>
      <c r="P1344" t="s">
        <v>4883</v>
      </c>
      <c r="Q1344" s="10">
        <f>IF(N1344&lt;='[1]statistical criteria'!$B$2,IF(O1344&gt;=LOG('[1]statistical criteria'!$B$3,2),1,IF(O1344&lt;=-1*LOG('[1]statistical criteria'!$B$3,2),2,"-")),"-")</f>
        <v>2</v>
      </c>
      <c r="R1344" t="s">
        <v>4655</v>
      </c>
      <c r="S1344" t="s">
        <v>4656</v>
      </c>
      <c r="T1344">
        <v>0</v>
      </c>
      <c r="U1344" t="s">
        <v>61</v>
      </c>
    </row>
    <row r="1345" spans="1:21" x14ac:dyDescent="0.35">
      <c r="A1345" t="s">
        <v>4885</v>
      </c>
      <c r="B1345" t="s">
        <v>4886</v>
      </c>
      <c r="C1345">
        <v>2940</v>
      </c>
      <c r="D1345" s="5">
        <v>7.5103160000000004</v>
      </c>
      <c r="E1345" s="5">
        <v>16.639675</v>
      </c>
      <c r="F1345" s="5">
        <v>12.095126</v>
      </c>
      <c r="G1345" s="5">
        <v>14.217741999999999</v>
      </c>
      <c r="H1345" s="11">
        <v>0</v>
      </c>
      <c r="I1345" s="11">
        <v>0</v>
      </c>
      <c r="J1345" s="11">
        <v>0</v>
      </c>
      <c r="K1345" s="7">
        <f t="shared" si="42"/>
        <v>12.61571475</v>
      </c>
      <c r="L1345" s="8">
        <f t="shared" si="43"/>
        <v>0</v>
      </c>
      <c r="M1345" s="9">
        <v>1.04233971472347E-16</v>
      </c>
      <c r="N1345" s="9">
        <v>6.5681207851614796E-15</v>
      </c>
      <c r="O1345" s="2">
        <v>-6.38963593706994</v>
      </c>
      <c r="P1345" t="s">
        <v>4885</v>
      </c>
      <c r="Q1345" s="10">
        <f>IF(N1345&lt;='[1]statistical criteria'!$B$2,IF(O1345&gt;=LOG('[1]statistical criteria'!$B$3,2),1,IF(O1345&lt;=-1*LOG('[1]statistical criteria'!$B$3,2),2,"-")),"-")</f>
        <v>2</v>
      </c>
      <c r="R1345" t="s">
        <v>4471</v>
      </c>
      <c r="S1345" t="s">
        <v>4887</v>
      </c>
      <c r="T1345" s="9">
        <v>1.9999999999999999E-23</v>
      </c>
      <c r="U1345" t="s">
        <v>4473</v>
      </c>
    </row>
    <row r="1346" spans="1:21" x14ac:dyDescent="0.35">
      <c r="A1346" t="s">
        <v>4888</v>
      </c>
      <c r="B1346" t="s">
        <v>4889</v>
      </c>
      <c r="C1346">
        <v>2085</v>
      </c>
      <c r="D1346" s="5">
        <v>13.750597000000001</v>
      </c>
      <c r="E1346" s="5">
        <v>13.876548</v>
      </c>
      <c r="F1346" s="5">
        <v>19.233896000000001</v>
      </c>
      <c r="G1346" s="5">
        <v>21.080182000000001</v>
      </c>
      <c r="H1346" s="11">
        <v>0</v>
      </c>
      <c r="I1346" s="11">
        <v>0</v>
      </c>
      <c r="J1346" s="11">
        <v>0</v>
      </c>
      <c r="K1346" s="7">
        <f t="shared" si="42"/>
        <v>16.985305750000002</v>
      </c>
      <c r="L1346" s="8">
        <f t="shared" si="43"/>
        <v>0</v>
      </c>
      <c r="M1346" s="9">
        <v>8.4512948346589297E-18</v>
      </c>
      <c r="N1346" s="9">
        <v>6.1738249790233901E-16</v>
      </c>
      <c r="O1346" s="2">
        <v>-6.38993478158421</v>
      </c>
      <c r="P1346" t="s">
        <v>4888</v>
      </c>
      <c r="Q1346" s="10">
        <f>IF(N1346&lt;='[1]statistical criteria'!$B$2,IF(O1346&gt;=LOG('[1]statistical criteria'!$B$3,2),1,IF(O1346&lt;=-1*LOG('[1]statistical criteria'!$B$3,2),2,"-")),"-")</f>
        <v>2</v>
      </c>
      <c r="S1346" t="s">
        <v>4890</v>
      </c>
      <c r="T1346" s="9">
        <v>9.9999999999999995E-8</v>
      </c>
      <c r="U1346" t="s">
        <v>61</v>
      </c>
    </row>
    <row r="1347" spans="1:21" x14ac:dyDescent="0.35">
      <c r="A1347" t="s">
        <v>4891</v>
      </c>
      <c r="B1347" t="s">
        <v>4892</v>
      </c>
      <c r="C1347">
        <v>444</v>
      </c>
      <c r="D1347" s="5">
        <v>324.19645100000002</v>
      </c>
      <c r="E1347" s="5">
        <v>617.13014699999997</v>
      </c>
      <c r="F1347" s="5">
        <v>389.77648900000003</v>
      </c>
      <c r="G1347" s="5">
        <v>321.67625299999997</v>
      </c>
      <c r="H1347" s="11">
        <v>0</v>
      </c>
      <c r="I1347" s="6">
        <v>4.6425470000000004</v>
      </c>
      <c r="J1347" s="6">
        <v>1.7280219999999999</v>
      </c>
      <c r="K1347" s="7">
        <f t="shared" si="42"/>
        <v>413.19483500000001</v>
      </c>
      <c r="L1347" s="8">
        <f t="shared" si="43"/>
        <v>2.123523</v>
      </c>
      <c r="M1347" s="9">
        <v>1.9453145223036802E-27</v>
      </c>
      <c r="N1347" s="9">
        <v>3.7019335359439098E-25</v>
      </c>
      <c r="O1347" s="2">
        <v>-6.3994717561862604</v>
      </c>
      <c r="P1347" t="s">
        <v>4891</v>
      </c>
      <c r="Q1347" s="10">
        <f>IF(N1347&lt;='[1]statistical criteria'!$B$2,IF(O1347&gt;=LOG('[1]statistical criteria'!$B$3,2),1,IF(O1347&lt;=-1*LOG('[1]statistical criteria'!$B$3,2),2,"-")),"-")</f>
        <v>2</v>
      </c>
      <c r="R1347" t="s">
        <v>3847</v>
      </c>
    </row>
    <row r="1348" spans="1:21" x14ac:dyDescent="0.35">
      <c r="A1348" t="s">
        <v>4893</v>
      </c>
      <c r="B1348" t="s">
        <v>4894</v>
      </c>
      <c r="C1348">
        <v>1998</v>
      </c>
      <c r="D1348" s="5">
        <v>13.995797</v>
      </c>
      <c r="E1348" s="5">
        <v>19.566355999999999</v>
      </c>
      <c r="F1348" s="5">
        <v>15.89594</v>
      </c>
      <c r="G1348" s="5">
        <v>19.218236999999998</v>
      </c>
      <c r="H1348" s="11">
        <v>0</v>
      </c>
      <c r="I1348" s="11">
        <v>0</v>
      </c>
      <c r="J1348" s="11">
        <v>0</v>
      </c>
      <c r="K1348" s="7">
        <f t="shared" si="42"/>
        <v>17.169082499999998</v>
      </c>
      <c r="L1348" s="8">
        <f t="shared" si="43"/>
        <v>0</v>
      </c>
      <c r="M1348" s="9">
        <v>6.9336597825369299E-16</v>
      </c>
      <c r="N1348" s="9">
        <v>3.8135128803953097E-14</v>
      </c>
      <c r="O1348" s="2">
        <v>-6.3995270609285404</v>
      </c>
      <c r="P1348" t="s">
        <v>4893</v>
      </c>
      <c r="Q1348" s="10">
        <f>IF(N1348&lt;='[1]statistical criteria'!$B$2,IF(O1348&gt;=LOG('[1]statistical criteria'!$B$3,2),1,IF(O1348&lt;=-1*LOG('[1]statistical criteria'!$B$3,2),2,"-")),"-")</f>
        <v>2</v>
      </c>
      <c r="S1348" t="s">
        <v>3316</v>
      </c>
      <c r="T1348" s="9">
        <v>9.9999999999999998E-86</v>
      </c>
      <c r="U1348" t="s">
        <v>61</v>
      </c>
    </row>
    <row r="1349" spans="1:21" x14ac:dyDescent="0.35">
      <c r="A1349" t="s">
        <v>4895</v>
      </c>
      <c r="B1349" t="s">
        <v>4896</v>
      </c>
      <c r="C1349">
        <v>600</v>
      </c>
      <c r="D1349" s="5">
        <v>46.963140000000003</v>
      </c>
      <c r="E1349" s="5">
        <v>61.602269</v>
      </c>
      <c r="F1349" s="5">
        <v>34.659438000000002</v>
      </c>
      <c r="G1349" s="5">
        <v>36.354284</v>
      </c>
      <c r="H1349" s="11">
        <v>0</v>
      </c>
      <c r="I1349" s="11">
        <v>0</v>
      </c>
      <c r="J1349" s="11">
        <v>0</v>
      </c>
      <c r="K1349" s="7">
        <f t="shared" si="42"/>
        <v>44.894782750000005</v>
      </c>
      <c r="L1349" s="8">
        <f t="shared" si="43"/>
        <v>0</v>
      </c>
      <c r="M1349" s="9">
        <v>8.6553653391385794E-22</v>
      </c>
      <c r="N1349" s="9">
        <v>1.01360986094651E-19</v>
      </c>
      <c r="O1349" s="2">
        <v>-6.4015604922626297</v>
      </c>
      <c r="P1349" t="s">
        <v>4895</v>
      </c>
      <c r="Q1349" s="10">
        <f>IF(N1349&lt;='[1]statistical criteria'!$B$2,IF(O1349&gt;=LOG('[1]statistical criteria'!$B$3,2),1,IF(O1349&lt;=-1*LOG('[1]statistical criteria'!$B$3,2),2,"-")),"-")</f>
        <v>2</v>
      </c>
      <c r="R1349" t="s">
        <v>4897</v>
      </c>
      <c r="S1349" t="s">
        <v>4898</v>
      </c>
      <c r="T1349" s="9">
        <v>9.9999999999999995E-45</v>
      </c>
      <c r="U1349" t="s">
        <v>4899</v>
      </c>
    </row>
    <row r="1350" spans="1:21" x14ac:dyDescent="0.35">
      <c r="A1350" t="s">
        <v>4900</v>
      </c>
      <c r="B1350" t="s">
        <v>4901</v>
      </c>
      <c r="C1350">
        <v>2745</v>
      </c>
      <c r="D1350" s="5">
        <v>10.461524000000001</v>
      </c>
      <c r="E1350" s="5">
        <v>14.159065</v>
      </c>
      <c r="F1350" s="5">
        <v>15.870791000000001</v>
      </c>
      <c r="G1350" s="5">
        <v>10.458911000000001</v>
      </c>
      <c r="H1350" s="11">
        <v>0</v>
      </c>
      <c r="I1350" s="11">
        <v>0</v>
      </c>
      <c r="J1350" s="11">
        <v>0</v>
      </c>
      <c r="K1350" s="7">
        <f t="shared" si="42"/>
        <v>12.737572750000002</v>
      </c>
      <c r="L1350" s="8">
        <f t="shared" si="43"/>
        <v>0</v>
      </c>
      <c r="M1350" s="9">
        <v>1.2227150943015501E-30</v>
      </c>
      <c r="N1350" s="9">
        <v>3.2317039228553502E-28</v>
      </c>
      <c r="O1350" s="2">
        <v>-6.4208330566442298</v>
      </c>
      <c r="P1350" t="s">
        <v>4900</v>
      </c>
      <c r="Q1350" s="10">
        <f>IF(N1350&lt;='[1]statistical criteria'!$B$2,IF(O1350&gt;=LOG('[1]statistical criteria'!$B$3,2),1,IF(O1350&lt;=-1*LOG('[1]statistical criteria'!$B$3,2),2,"-")),"-")</f>
        <v>2</v>
      </c>
      <c r="S1350" t="s">
        <v>4902</v>
      </c>
      <c r="T1350" s="9">
        <v>3.0000000000000002E-85</v>
      </c>
      <c r="U1350" t="s">
        <v>61</v>
      </c>
    </row>
    <row r="1351" spans="1:21" x14ac:dyDescent="0.35">
      <c r="A1351" t="s">
        <v>4903</v>
      </c>
      <c r="B1351" t="s">
        <v>4904</v>
      </c>
      <c r="C1351">
        <v>1452</v>
      </c>
      <c r="D1351" s="5">
        <v>587.69123999999999</v>
      </c>
      <c r="E1351" s="5">
        <v>590.47552499999995</v>
      </c>
      <c r="F1351" s="5">
        <v>709.65649299999995</v>
      </c>
      <c r="G1351" s="5">
        <v>458.89383500000002</v>
      </c>
      <c r="H1351" s="6">
        <v>1.882533</v>
      </c>
      <c r="I1351" s="6">
        <v>2.9301629999999999</v>
      </c>
      <c r="J1351" s="6">
        <v>0.147728</v>
      </c>
      <c r="K1351" s="7">
        <f t="shared" si="42"/>
        <v>586.67927324999994</v>
      </c>
      <c r="L1351" s="8">
        <f t="shared" si="43"/>
        <v>1.6534746666666666</v>
      </c>
      <c r="M1351" s="9">
        <v>3.2048734016861398E-30</v>
      </c>
      <c r="N1351" s="9">
        <v>7.8695149463338401E-28</v>
      </c>
      <c r="O1351" s="2">
        <v>-6.4358545198571599</v>
      </c>
      <c r="P1351" t="s">
        <v>4903</v>
      </c>
      <c r="Q1351" s="10">
        <f>IF(N1351&lt;='[1]statistical criteria'!$B$2,IF(O1351&gt;=LOG('[1]statistical criteria'!$B$3,2),1,IF(O1351&lt;=-1*LOG('[1]statistical criteria'!$B$3,2),2,"-")),"-")</f>
        <v>2</v>
      </c>
      <c r="R1351" t="s">
        <v>4905</v>
      </c>
      <c r="S1351" t="s">
        <v>4906</v>
      </c>
      <c r="T1351" s="9">
        <v>9.9999999999999994E-12</v>
      </c>
      <c r="U1351" t="s">
        <v>4907</v>
      </c>
    </row>
    <row r="1352" spans="1:21" x14ac:dyDescent="0.35">
      <c r="A1352" t="s">
        <v>4908</v>
      </c>
      <c r="B1352" t="s">
        <v>4909</v>
      </c>
      <c r="C1352">
        <v>1230</v>
      </c>
      <c r="D1352" s="5">
        <v>21.474729</v>
      </c>
      <c r="E1352" s="5">
        <v>20.578824000000001</v>
      </c>
      <c r="F1352" s="5">
        <v>20.159078000000001</v>
      </c>
      <c r="G1352" s="5">
        <v>14.988136000000001</v>
      </c>
      <c r="H1352" s="11">
        <v>0</v>
      </c>
      <c r="I1352" s="11">
        <v>0</v>
      </c>
      <c r="J1352" s="11">
        <v>0</v>
      </c>
      <c r="K1352" s="7">
        <f t="shared" si="42"/>
        <v>19.30019175</v>
      </c>
      <c r="L1352" s="8">
        <f t="shared" si="43"/>
        <v>0</v>
      </c>
      <c r="M1352" s="9">
        <v>1.1919863202940099E-32</v>
      </c>
      <c r="N1352" s="9">
        <v>3.4110525827360902E-30</v>
      </c>
      <c r="O1352" s="2">
        <v>-6.4731207898634704</v>
      </c>
      <c r="P1352" t="s">
        <v>4908</v>
      </c>
      <c r="Q1352" s="10">
        <f>IF(N1352&lt;='[1]statistical criteria'!$B$2,IF(O1352&gt;=LOG('[1]statistical criteria'!$B$3,2),1,IF(O1352&lt;=-1*LOG('[1]statistical criteria'!$B$3,2),2,"-")),"-")</f>
        <v>2</v>
      </c>
      <c r="R1352" t="s">
        <v>1064</v>
      </c>
      <c r="S1352" t="s">
        <v>4910</v>
      </c>
      <c r="T1352" s="9">
        <v>9.9999999999999995E-113</v>
      </c>
      <c r="U1352" t="s">
        <v>1066</v>
      </c>
    </row>
    <row r="1353" spans="1:21" x14ac:dyDescent="0.35">
      <c r="A1353" t="s">
        <v>4911</v>
      </c>
      <c r="B1353" t="s">
        <v>4515</v>
      </c>
      <c r="C1353">
        <v>2571</v>
      </c>
      <c r="D1353" s="5">
        <v>33.617750000000001</v>
      </c>
      <c r="E1353" s="5">
        <v>38.503208999999998</v>
      </c>
      <c r="F1353" s="5">
        <v>48.788435999999997</v>
      </c>
      <c r="G1353" s="5">
        <v>35.847244000000003</v>
      </c>
      <c r="H1353" s="6">
        <v>0.40062500000000001</v>
      </c>
      <c r="I1353" s="11">
        <v>0</v>
      </c>
      <c r="J1353" s="11">
        <v>0</v>
      </c>
      <c r="K1353" s="7">
        <f t="shared" si="42"/>
        <v>39.189159750000002</v>
      </c>
      <c r="L1353" s="8">
        <f t="shared" si="43"/>
        <v>0.13354166666666667</v>
      </c>
      <c r="M1353" s="9">
        <v>3.7501267739047401E-32</v>
      </c>
      <c r="N1353" s="9">
        <v>1.0418235402541199E-29</v>
      </c>
      <c r="O1353" s="2">
        <v>-6.5013115175329999</v>
      </c>
      <c r="P1353" t="s">
        <v>4911</v>
      </c>
      <c r="Q1353" s="10">
        <f>IF(N1353&lt;='[1]statistical criteria'!$B$2,IF(O1353&gt;=LOG('[1]statistical criteria'!$B$3,2),1,IF(O1353&lt;=-1*LOG('[1]statistical criteria'!$B$3,2),2,"-")),"-")</f>
        <v>2</v>
      </c>
      <c r="R1353" t="s">
        <v>5023</v>
      </c>
      <c r="S1353" t="s">
        <v>3465</v>
      </c>
      <c r="T1353" s="9">
        <v>3.0000000000000001E-93</v>
      </c>
      <c r="U1353" s="24" t="s">
        <v>425</v>
      </c>
    </row>
    <row r="1354" spans="1:21" x14ac:dyDescent="0.35">
      <c r="A1354" t="s">
        <v>4912</v>
      </c>
      <c r="B1354" t="s">
        <v>4913</v>
      </c>
      <c r="C1354">
        <v>882</v>
      </c>
      <c r="D1354" s="5">
        <v>17.415206999999999</v>
      </c>
      <c r="E1354" s="5">
        <v>40.381242</v>
      </c>
      <c r="F1354" s="5">
        <v>28.597534</v>
      </c>
      <c r="G1354" s="5">
        <v>19.321081</v>
      </c>
      <c r="H1354" s="11">
        <v>0</v>
      </c>
      <c r="I1354" s="11">
        <v>0</v>
      </c>
      <c r="J1354" s="11">
        <v>0</v>
      </c>
      <c r="K1354" s="7">
        <f t="shared" si="42"/>
        <v>26.428765999999996</v>
      </c>
      <c r="L1354" s="8">
        <f t="shared" si="43"/>
        <v>0</v>
      </c>
      <c r="M1354" s="9">
        <v>5.3278807050003201E-17</v>
      </c>
      <c r="N1354" s="9">
        <v>3.5700552752167604E-15</v>
      </c>
      <c r="O1354" s="2">
        <v>-6.5425218083715704</v>
      </c>
      <c r="P1354" t="s">
        <v>4912</v>
      </c>
      <c r="Q1354" s="10">
        <f>IF(N1354&lt;='[1]statistical criteria'!$B$2,IF(O1354&gt;=LOG('[1]statistical criteria'!$B$3,2),1,IF(O1354&lt;=-1*LOG('[1]statistical criteria'!$B$3,2),2,"-")),"-")</f>
        <v>2</v>
      </c>
      <c r="R1354" t="s">
        <v>4788</v>
      </c>
      <c r="S1354" t="s">
        <v>4789</v>
      </c>
      <c r="T1354" s="9">
        <v>1.0000000000000001E-68</v>
      </c>
      <c r="U1354" s="24" t="s">
        <v>425</v>
      </c>
    </row>
    <row r="1355" spans="1:21" x14ac:dyDescent="0.35">
      <c r="A1355" t="s">
        <v>4914</v>
      </c>
      <c r="B1355" t="s">
        <v>4915</v>
      </c>
      <c r="C1355">
        <v>1461</v>
      </c>
      <c r="D1355" s="5">
        <v>26.549310999999999</v>
      </c>
      <c r="E1355" s="5">
        <v>20.071162999999999</v>
      </c>
      <c r="F1355" s="5">
        <v>17.499580999999999</v>
      </c>
      <c r="G1355" s="5">
        <v>23.799703000000001</v>
      </c>
      <c r="H1355" s="11">
        <v>0</v>
      </c>
      <c r="I1355" s="11">
        <v>0</v>
      </c>
      <c r="J1355" s="11">
        <v>0</v>
      </c>
      <c r="K1355" s="7">
        <f t="shared" si="42"/>
        <v>21.9799395</v>
      </c>
      <c r="L1355" s="8">
        <f t="shared" si="43"/>
        <v>0</v>
      </c>
      <c r="M1355" s="9">
        <v>1.30163628744858E-44</v>
      </c>
      <c r="N1355" s="9">
        <v>8.6912766842618998E-42</v>
      </c>
      <c r="O1355" s="2">
        <v>-6.54533869325053</v>
      </c>
      <c r="P1355" t="s">
        <v>4914</v>
      </c>
      <c r="Q1355" s="10">
        <f>IF(N1355&lt;='[1]statistical criteria'!$B$2,IF(O1355&gt;=LOG('[1]statistical criteria'!$B$3,2),1,IF(O1355&lt;=-1*LOG('[1]statistical criteria'!$B$3,2),2,"-")),"-")</f>
        <v>2</v>
      </c>
      <c r="R1355" t="s">
        <v>5024</v>
      </c>
      <c r="S1355" t="s">
        <v>4820</v>
      </c>
      <c r="T1355">
        <v>0</v>
      </c>
      <c r="U1355" s="24" t="s">
        <v>425</v>
      </c>
    </row>
    <row r="1356" spans="1:21" x14ac:dyDescent="0.35">
      <c r="A1356" t="s">
        <v>4916</v>
      </c>
      <c r="B1356" t="s">
        <v>4917</v>
      </c>
      <c r="C1356">
        <v>798</v>
      </c>
      <c r="D1356" s="5">
        <v>210.91754900000001</v>
      </c>
      <c r="E1356" s="5">
        <v>221.33025799999999</v>
      </c>
      <c r="F1356" s="5">
        <v>186.84672499999999</v>
      </c>
      <c r="G1356" s="5">
        <v>142.29379700000001</v>
      </c>
      <c r="H1356" s="6">
        <v>4.1155429999999997</v>
      </c>
      <c r="I1356" s="11">
        <v>0</v>
      </c>
      <c r="J1356" s="11">
        <v>0</v>
      </c>
      <c r="K1356" s="7">
        <f t="shared" si="42"/>
        <v>190.34708225</v>
      </c>
      <c r="L1356" s="8">
        <f t="shared" si="43"/>
        <v>1.3718476666666666</v>
      </c>
      <c r="M1356" s="9">
        <v>1.1978264447056801E-22</v>
      </c>
      <c r="N1356" s="9">
        <v>1.56127652347597E-20</v>
      </c>
      <c r="O1356" s="2">
        <v>-6.55263164319698</v>
      </c>
      <c r="P1356" t="s">
        <v>4916</v>
      </c>
      <c r="Q1356" s="10">
        <f>IF(N1356&lt;='[1]statistical criteria'!$B$2,IF(O1356&gt;=LOG('[1]statistical criteria'!$B$3,2),1,IF(O1356&lt;=-1*LOG('[1]statistical criteria'!$B$3,2),2,"-")),"-")</f>
        <v>2</v>
      </c>
      <c r="R1356" t="s">
        <v>4918</v>
      </c>
      <c r="S1356" t="s">
        <v>3729</v>
      </c>
      <c r="T1356" s="9">
        <v>2.0000000000000001E-33</v>
      </c>
      <c r="U1356" s="24" t="s">
        <v>425</v>
      </c>
    </row>
    <row r="1357" spans="1:21" x14ac:dyDescent="0.35">
      <c r="A1357" t="s">
        <v>4919</v>
      </c>
      <c r="B1357" t="s">
        <v>4920</v>
      </c>
      <c r="C1357">
        <v>1182</v>
      </c>
      <c r="D1357" s="5">
        <v>34.825431999999999</v>
      </c>
      <c r="E1357" s="5">
        <v>36.932678000000003</v>
      </c>
      <c r="F1357" s="5">
        <v>13.566399000000001</v>
      </c>
      <c r="G1357" s="5">
        <v>17.870305999999999</v>
      </c>
      <c r="H1357" s="11">
        <v>0</v>
      </c>
      <c r="I1357" s="11">
        <v>0</v>
      </c>
      <c r="J1357" s="11">
        <v>0</v>
      </c>
      <c r="K1357" s="7">
        <f t="shared" si="42"/>
        <v>25.798703750000001</v>
      </c>
      <c r="L1357" s="8">
        <f t="shared" si="43"/>
        <v>0</v>
      </c>
      <c r="M1357" s="9">
        <v>2.73585963681393E-54</v>
      </c>
      <c r="N1357" s="9">
        <v>3.0625534640334799E-51</v>
      </c>
      <c r="O1357" s="2">
        <v>-6.5579647370170502</v>
      </c>
      <c r="P1357" t="s">
        <v>4919</v>
      </c>
      <c r="Q1357" s="10">
        <f>IF(N1357&lt;='[1]statistical criteria'!$B$2,IF(O1357&gt;=LOG('[1]statistical criteria'!$B$3,2),1,IF(O1357&lt;=-1*LOG('[1]statistical criteria'!$B$3,2),2,"-")),"-")</f>
        <v>2</v>
      </c>
      <c r="R1357" t="s">
        <v>404</v>
      </c>
      <c r="S1357" t="s">
        <v>5021</v>
      </c>
      <c r="U1357" s="24" t="s">
        <v>425</v>
      </c>
    </row>
    <row r="1358" spans="1:21" x14ac:dyDescent="0.35">
      <c r="A1358" t="s">
        <v>4921</v>
      </c>
      <c r="B1358" t="s">
        <v>4922</v>
      </c>
      <c r="C1358">
        <v>2760</v>
      </c>
      <c r="D1358" s="5">
        <v>13.078013</v>
      </c>
      <c r="E1358" s="5">
        <v>15.034784999999999</v>
      </c>
      <c r="F1358" s="5">
        <v>20.698618</v>
      </c>
      <c r="G1358" s="5">
        <v>10.792569</v>
      </c>
      <c r="H1358" s="11">
        <v>0</v>
      </c>
      <c r="I1358" s="11">
        <v>0</v>
      </c>
      <c r="J1358" s="11">
        <v>0</v>
      </c>
      <c r="K1358" s="7">
        <f t="shared" si="42"/>
        <v>14.900996249999999</v>
      </c>
      <c r="L1358" s="8">
        <f t="shared" si="43"/>
        <v>0</v>
      </c>
      <c r="M1358" s="9">
        <v>7.8608782147805502E-59</v>
      </c>
      <c r="N1358" s="9">
        <v>1.0316724994984399E-55</v>
      </c>
      <c r="O1358" s="2">
        <v>-6.5594109608293003</v>
      </c>
      <c r="P1358" t="s">
        <v>4921</v>
      </c>
      <c r="Q1358" s="10">
        <f>IF(N1358&lt;='[1]statistical criteria'!$B$2,IF(O1358&gt;=LOG('[1]statistical criteria'!$B$3,2),1,IF(O1358&lt;=-1*LOG('[1]statistical criteria'!$B$3,2),2,"-")),"-")</f>
        <v>2</v>
      </c>
      <c r="R1358" t="s">
        <v>5025</v>
      </c>
      <c r="S1358" t="s">
        <v>4923</v>
      </c>
      <c r="T1358" s="24" t="s">
        <v>5026</v>
      </c>
      <c r="U1358" s="24" t="s">
        <v>425</v>
      </c>
    </row>
    <row r="1359" spans="1:21" x14ac:dyDescent="0.35">
      <c r="A1359" t="s">
        <v>4924</v>
      </c>
      <c r="B1359" t="s">
        <v>4925</v>
      </c>
      <c r="C1359">
        <v>906</v>
      </c>
      <c r="D1359" s="5">
        <v>20.029312000000001</v>
      </c>
      <c r="E1359" s="5">
        <v>23.847930000000002</v>
      </c>
      <c r="F1359" s="5">
        <v>21.01539</v>
      </c>
      <c r="G1359" s="5">
        <v>21.935507000000001</v>
      </c>
      <c r="H1359" s="11">
        <v>0</v>
      </c>
      <c r="I1359" s="11">
        <v>0</v>
      </c>
      <c r="J1359" s="11">
        <v>0</v>
      </c>
      <c r="K1359" s="7">
        <f t="shared" si="42"/>
        <v>21.707034750000002</v>
      </c>
      <c r="L1359" s="8">
        <f t="shared" si="43"/>
        <v>0</v>
      </c>
      <c r="M1359" s="9">
        <v>7.1261823093249095E-30</v>
      </c>
      <c r="N1359" s="9">
        <v>1.6951406168306598E-27</v>
      </c>
      <c r="O1359" s="2">
        <v>-6.57587829658224</v>
      </c>
      <c r="P1359" t="s">
        <v>4924</v>
      </c>
      <c r="Q1359" s="10">
        <f>IF(N1359&lt;='[1]statistical criteria'!$B$2,IF(O1359&gt;=LOG('[1]statistical criteria'!$B$3,2),1,IF(O1359&lt;=-1*LOG('[1]statistical criteria'!$B$3,2),2,"-")),"-")</f>
        <v>2</v>
      </c>
      <c r="R1359" t="s">
        <v>4926</v>
      </c>
      <c r="S1359" t="s">
        <v>4927</v>
      </c>
      <c r="T1359" s="9">
        <v>4.0000000000000001E-54</v>
      </c>
      <c r="U1359" s="24" t="s">
        <v>425</v>
      </c>
    </row>
    <row r="1360" spans="1:21" x14ac:dyDescent="0.35">
      <c r="A1360" t="s">
        <v>4928</v>
      </c>
      <c r="B1360" t="s">
        <v>4929</v>
      </c>
      <c r="C1360">
        <v>561</v>
      </c>
      <c r="D1360" s="5">
        <v>66.390246000000005</v>
      </c>
      <c r="E1360" s="5">
        <v>58.858826000000001</v>
      </c>
      <c r="F1360" s="5">
        <v>40.561523999999999</v>
      </c>
      <c r="G1360" s="5">
        <v>29.378191000000001</v>
      </c>
      <c r="H1360" s="11">
        <v>0</v>
      </c>
      <c r="I1360" s="11">
        <v>0</v>
      </c>
      <c r="J1360" s="11">
        <v>0</v>
      </c>
      <c r="K1360" s="7">
        <f t="shared" si="42"/>
        <v>48.797196749999998</v>
      </c>
      <c r="L1360" s="8">
        <f t="shared" si="43"/>
        <v>0</v>
      </c>
      <c r="M1360" s="9">
        <v>6.2348725025639602E-106</v>
      </c>
      <c r="N1360" s="9">
        <v>2.6366583049731602E-102</v>
      </c>
      <c r="O1360" s="2">
        <v>-6.5844743406722097</v>
      </c>
      <c r="P1360" t="s">
        <v>4928</v>
      </c>
      <c r="Q1360" s="10">
        <f>IF(N1360&lt;='[1]statistical criteria'!$B$2,IF(O1360&gt;=LOG('[1]statistical criteria'!$B$3,2),1,IF(O1360&lt;=-1*LOG('[1]statistical criteria'!$B$3,2),2,"-")),"-")</f>
        <v>2</v>
      </c>
      <c r="R1360" t="s">
        <v>5028</v>
      </c>
      <c r="S1360" t="s">
        <v>5027</v>
      </c>
      <c r="T1360" s="24" t="s">
        <v>5029</v>
      </c>
      <c r="U1360" s="24" t="s">
        <v>425</v>
      </c>
    </row>
    <row r="1361" spans="1:21" x14ac:dyDescent="0.35">
      <c r="A1361" t="s">
        <v>4930</v>
      </c>
      <c r="B1361" t="s">
        <v>4931</v>
      </c>
      <c r="C1361">
        <v>1362</v>
      </c>
      <c r="D1361" s="5">
        <v>17.722408999999999</v>
      </c>
      <c r="E1361" s="5">
        <v>41.858978999999998</v>
      </c>
      <c r="F1361" s="5">
        <v>35.846781999999997</v>
      </c>
      <c r="G1361" s="5">
        <v>30.673614000000001</v>
      </c>
      <c r="H1361" s="11">
        <v>0</v>
      </c>
      <c r="I1361" s="11">
        <v>0</v>
      </c>
      <c r="J1361" s="11">
        <v>0</v>
      </c>
      <c r="K1361" s="7">
        <f t="shared" si="42"/>
        <v>31.525445999999999</v>
      </c>
      <c r="L1361" s="8">
        <f t="shared" si="43"/>
        <v>0</v>
      </c>
      <c r="M1361" s="9">
        <v>2.2971509081527E-30</v>
      </c>
      <c r="N1361" s="9">
        <v>5.75194497133499E-28</v>
      </c>
      <c r="O1361" s="2">
        <v>-6.5852634098253597</v>
      </c>
      <c r="P1361" t="s">
        <v>4930</v>
      </c>
      <c r="Q1361" s="10">
        <f>IF(N1361&lt;='[1]statistical criteria'!$B$2,IF(O1361&gt;=LOG('[1]statistical criteria'!$B$3,2),1,IF(O1361&lt;=-1*LOG('[1]statistical criteria'!$B$3,2),2,"-")),"-")</f>
        <v>2</v>
      </c>
      <c r="R1361" t="s">
        <v>3707</v>
      </c>
      <c r="S1361" t="s">
        <v>3708</v>
      </c>
      <c r="T1361" s="24" t="s">
        <v>5030</v>
      </c>
      <c r="U1361" s="24" t="s">
        <v>425</v>
      </c>
    </row>
    <row r="1362" spans="1:21" x14ac:dyDescent="0.35">
      <c r="A1362" t="s">
        <v>4932</v>
      </c>
      <c r="B1362" t="s">
        <v>4933</v>
      </c>
      <c r="C1362">
        <v>905</v>
      </c>
      <c r="D1362" s="5">
        <v>21.631125999999998</v>
      </c>
      <c r="E1362" s="5">
        <v>25.978501999999999</v>
      </c>
      <c r="F1362" s="5">
        <v>25.490241000000001</v>
      </c>
      <c r="G1362" s="5">
        <v>20.627780999999999</v>
      </c>
      <c r="H1362" s="11">
        <v>0</v>
      </c>
      <c r="I1362" s="11">
        <v>0</v>
      </c>
      <c r="J1362" s="11">
        <v>0</v>
      </c>
      <c r="K1362" s="7">
        <f t="shared" si="42"/>
        <v>23.431912499999999</v>
      </c>
      <c r="L1362" s="8">
        <f t="shared" si="43"/>
        <v>0</v>
      </c>
      <c r="M1362" s="9">
        <v>7.1944271765816896E-35</v>
      </c>
      <c r="N1362" s="9">
        <v>2.4448205208991E-32</v>
      </c>
      <c r="O1362" s="2">
        <v>-6.5903856242740302</v>
      </c>
      <c r="P1362" t="s">
        <v>4932</v>
      </c>
      <c r="Q1362" s="10">
        <f>IF(N1362&lt;='[1]statistical criteria'!$B$2,IF(O1362&gt;=LOG('[1]statistical criteria'!$B$3,2),1,IF(O1362&lt;=-1*LOG('[1]statistical criteria'!$B$3,2),2,"-")),"-")</f>
        <v>2</v>
      </c>
      <c r="R1362" t="s">
        <v>5022</v>
      </c>
      <c r="S1362" t="s">
        <v>4927</v>
      </c>
      <c r="T1362" s="9">
        <v>8.9999999999999997E-54</v>
      </c>
      <c r="U1362" s="24" t="s">
        <v>425</v>
      </c>
    </row>
    <row r="1363" spans="1:21" x14ac:dyDescent="0.35">
      <c r="A1363" t="s">
        <v>4934</v>
      </c>
      <c r="B1363" t="s">
        <v>4935</v>
      </c>
      <c r="C1363">
        <v>1032</v>
      </c>
      <c r="D1363" s="5">
        <v>195.719112</v>
      </c>
      <c r="E1363" s="5">
        <v>302.62965500000001</v>
      </c>
      <c r="F1363" s="5">
        <v>178.441506</v>
      </c>
      <c r="G1363" s="5">
        <v>119.880576</v>
      </c>
      <c r="H1363" s="6">
        <v>1.3557680000000001</v>
      </c>
      <c r="I1363" s="6">
        <v>1.5950089999999999</v>
      </c>
      <c r="J1363" s="11">
        <v>0</v>
      </c>
      <c r="K1363" s="7">
        <f t="shared" si="42"/>
        <v>199.16771225000002</v>
      </c>
      <c r="L1363" s="8">
        <f t="shared" si="43"/>
        <v>0.98359233333333329</v>
      </c>
      <c r="M1363" s="9">
        <v>1.3134063012684799E-22</v>
      </c>
      <c r="N1363" s="9">
        <v>1.70028040225437E-20</v>
      </c>
      <c r="O1363" s="2">
        <v>-6.6300788336313703</v>
      </c>
      <c r="P1363" t="s">
        <v>4934</v>
      </c>
      <c r="Q1363" s="10">
        <f>IF(N1363&lt;='[1]statistical criteria'!$B$2,IF(O1363&gt;=LOG('[1]statistical criteria'!$B$3,2),1,IF(O1363&lt;=-1*LOG('[1]statistical criteria'!$B$3,2),2,"-")),"-")</f>
        <v>2</v>
      </c>
      <c r="R1363" t="s">
        <v>4022</v>
      </c>
      <c r="S1363" t="s">
        <v>4023</v>
      </c>
      <c r="T1363" s="9">
        <v>9.9999999999999998E-86</v>
      </c>
      <c r="U1363" s="24" t="s">
        <v>425</v>
      </c>
    </row>
    <row r="1364" spans="1:21" x14ac:dyDescent="0.35">
      <c r="A1364" t="s">
        <v>377</v>
      </c>
      <c r="B1364" t="s">
        <v>378</v>
      </c>
      <c r="C1364">
        <v>1884</v>
      </c>
      <c r="D1364" s="5">
        <v>22.731998000000001</v>
      </c>
      <c r="E1364" s="5">
        <v>39.825394000000003</v>
      </c>
      <c r="F1364" s="5">
        <v>25.906980000000001</v>
      </c>
      <c r="G1364" s="5">
        <v>20.728086000000001</v>
      </c>
      <c r="H1364" s="11">
        <v>0</v>
      </c>
      <c r="I1364" s="11">
        <v>0</v>
      </c>
      <c r="J1364" s="11">
        <v>0</v>
      </c>
      <c r="K1364" s="7">
        <f t="shared" si="42"/>
        <v>27.298114500000004</v>
      </c>
      <c r="L1364" s="8">
        <f t="shared" si="43"/>
        <v>0</v>
      </c>
      <c r="M1364" s="9">
        <v>4.8277383330029803E-18</v>
      </c>
      <c r="N1364" s="9">
        <v>3.6896329508854099E-16</v>
      </c>
      <c r="O1364" s="2">
        <v>-6.6434228643223001</v>
      </c>
      <c r="P1364" t="s">
        <v>377</v>
      </c>
      <c r="Q1364" s="10">
        <f>IF(N1364&lt;='[1]statistical criteria'!$B$2,IF(O1364&gt;=LOG('[1]statistical criteria'!$B$3,2),1,IF(O1364&lt;=-1*LOG('[1]statistical criteria'!$B$3,2),2,"-")),"-")</f>
        <v>2</v>
      </c>
      <c r="R1364" t="s">
        <v>404</v>
      </c>
      <c r="S1364" t="s">
        <v>414</v>
      </c>
      <c r="T1364" s="9">
        <v>9E-153</v>
      </c>
      <c r="U1364" s="24" t="s">
        <v>425</v>
      </c>
    </row>
    <row r="1365" spans="1:21" x14ac:dyDescent="0.35">
      <c r="A1365" t="s">
        <v>4936</v>
      </c>
      <c r="B1365" t="s">
        <v>4652</v>
      </c>
      <c r="C1365">
        <v>2025</v>
      </c>
      <c r="D1365" s="5">
        <v>23.177913</v>
      </c>
      <c r="E1365" s="5">
        <v>34.723000999999996</v>
      </c>
      <c r="F1365" s="5">
        <v>26.200765000000001</v>
      </c>
      <c r="G1365" s="5">
        <v>27.212064000000002</v>
      </c>
      <c r="H1365" s="11">
        <v>0</v>
      </c>
      <c r="I1365" s="11">
        <v>0</v>
      </c>
      <c r="J1365" s="11">
        <v>0</v>
      </c>
      <c r="K1365" s="7">
        <f t="shared" si="42"/>
        <v>27.828435750000001</v>
      </c>
      <c r="L1365" s="8">
        <f t="shared" si="43"/>
        <v>0</v>
      </c>
      <c r="M1365" s="9">
        <v>2.0027921768805E-24</v>
      </c>
      <c r="N1365" s="9">
        <v>3.0248519941298398E-22</v>
      </c>
      <c r="O1365" s="2">
        <v>-6.6519483931746803</v>
      </c>
      <c r="P1365" t="s">
        <v>4936</v>
      </c>
      <c r="Q1365" s="10">
        <f>IF(N1365&lt;='[1]statistical criteria'!$B$2,IF(O1365&gt;=LOG('[1]statistical criteria'!$B$3,2),1,IF(O1365&lt;=-1*LOG('[1]statistical criteria'!$B$3,2),2,"-")),"-")</f>
        <v>2</v>
      </c>
      <c r="R1365" t="s">
        <v>2131</v>
      </c>
      <c r="S1365" t="s">
        <v>5020</v>
      </c>
      <c r="U1365" s="24" t="s">
        <v>425</v>
      </c>
    </row>
    <row r="1366" spans="1:21" x14ac:dyDescent="0.35">
      <c r="A1366" t="s">
        <v>4937</v>
      </c>
      <c r="B1366" t="s">
        <v>4938</v>
      </c>
      <c r="C1366">
        <v>2241</v>
      </c>
      <c r="D1366" s="5">
        <v>18.948656</v>
      </c>
      <c r="E1366" s="5">
        <v>20.418051999999999</v>
      </c>
      <c r="F1366" s="5">
        <v>21.774920000000002</v>
      </c>
      <c r="G1366" s="5">
        <v>17.868248000000001</v>
      </c>
      <c r="H1366" s="11">
        <v>0</v>
      </c>
      <c r="I1366" s="11">
        <v>0</v>
      </c>
      <c r="J1366" s="11">
        <v>0</v>
      </c>
      <c r="K1366" s="7">
        <f t="shared" si="42"/>
        <v>19.752469000000001</v>
      </c>
      <c r="L1366" s="8">
        <f t="shared" si="43"/>
        <v>0</v>
      </c>
      <c r="M1366" s="9">
        <v>1.9286179745728999E-30</v>
      </c>
      <c r="N1366" s="9">
        <v>4.9263892692781604E-28</v>
      </c>
      <c r="O1366" s="2">
        <v>-6.6991602105776398</v>
      </c>
      <c r="P1366" t="s">
        <v>4937</v>
      </c>
      <c r="Q1366" s="10">
        <f>IF(N1366&lt;='[1]statistical criteria'!$B$2,IF(O1366&gt;=LOG('[1]statistical criteria'!$B$3,2),1,IF(O1366&lt;=-1*LOG('[1]statistical criteria'!$B$3,2),2,"-")),"-")</f>
        <v>2</v>
      </c>
      <c r="R1366" t="s">
        <v>4939</v>
      </c>
      <c r="S1366" t="s">
        <v>4940</v>
      </c>
      <c r="T1366" s="9">
        <v>9.9999999999999991E-146</v>
      </c>
      <c r="U1366" s="24" t="s">
        <v>425</v>
      </c>
    </row>
    <row r="1367" spans="1:21" x14ac:dyDescent="0.35">
      <c r="A1367" t="s">
        <v>4941</v>
      </c>
      <c r="B1367" t="s">
        <v>4392</v>
      </c>
      <c r="C1367">
        <v>1140</v>
      </c>
      <c r="D1367" s="5">
        <v>65.521707000000006</v>
      </c>
      <c r="E1367" s="5">
        <v>60.492905999999998</v>
      </c>
      <c r="F1367" s="5">
        <v>57.070917999999999</v>
      </c>
      <c r="G1367" s="5">
        <v>29.937718</v>
      </c>
      <c r="H1367" s="11">
        <v>0</v>
      </c>
      <c r="I1367" s="11">
        <v>0</v>
      </c>
      <c r="J1367" s="11">
        <v>0</v>
      </c>
      <c r="K1367" s="7">
        <f t="shared" si="42"/>
        <v>53.255812249999998</v>
      </c>
      <c r="L1367" s="8">
        <f t="shared" si="43"/>
        <v>0</v>
      </c>
      <c r="M1367" s="9">
        <v>2.2857624918185799E-54</v>
      </c>
      <c r="N1367" s="9">
        <v>2.63624607389743E-51</v>
      </c>
      <c r="O1367" s="2">
        <v>-6.7177894719154398</v>
      </c>
      <c r="P1367" t="s">
        <v>4941</v>
      </c>
      <c r="Q1367" s="10">
        <f>IF(N1367&lt;='[1]statistical criteria'!$B$2,IF(O1367&gt;=LOG('[1]statistical criteria'!$B$3,2),1,IF(O1367&lt;=-1*LOG('[1]statistical criteria'!$B$3,2),2,"-")),"-")</f>
        <v>2</v>
      </c>
      <c r="R1367" t="s">
        <v>3370</v>
      </c>
      <c r="S1367" s="31" t="s">
        <v>5019</v>
      </c>
      <c r="U1367" s="24" t="s">
        <v>425</v>
      </c>
    </row>
    <row r="1368" spans="1:21" x14ac:dyDescent="0.35">
      <c r="A1368" t="s">
        <v>4942</v>
      </c>
      <c r="B1368" t="s">
        <v>4943</v>
      </c>
      <c r="C1368">
        <v>2220</v>
      </c>
      <c r="D1368" s="5">
        <v>18.259367999999998</v>
      </c>
      <c r="E1368" s="5">
        <v>19.846730999999998</v>
      </c>
      <c r="F1368" s="5">
        <v>27.214383999999999</v>
      </c>
      <c r="G1368" s="5">
        <v>19.035346000000001</v>
      </c>
      <c r="H1368" s="11">
        <v>0</v>
      </c>
      <c r="I1368" s="11">
        <v>0</v>
      </c>
      <c r="J1368" s="11">
        <v>0</v>
      </c>
      <c r="K1368" s="7">
        <f t="shared" si="42"/>
        <v>21.08895725</v>
      </c>
      <c r="L1368" s="8">
        <f t="shared" si="43"/>
        <v>0</v>
      </c>
      <c r="M1368" s="9">
        <v>1.9684467460840399E-20</v>
      </c>
      <c r="N1368" s="9">
        <v>1.93090420505048E-18</v>
      </c>
      <c r="O1368" s="2">
        <v>-6.7311872002183897</v>
      </c>
      <c r="P1368" t="s">
        <v>4942</v>
      </c>
      <c r="Q1368" s="10">
        <f>IF(N1368&lt;='[1]statistical criteria'!$B$2,IF(O1368&gt;=LOG('[1]statistical criteria'!$B$3,2),1,IF(O1368&lt;=-1*LOG('[1]statistical criteria'!$B$3,2),2,"-")),"-")</f>
        <v>2</v>
      </c>
      <c r="R1368" t="s">
        <v>5018</v>
      </c>
      <c r="S1368" t="s">
        <v>4799</v>
      </c>
      <c r="T1368">
        <v>2.7</v>
      </c>
      <c r="U1368" s="24" t="s">
        <v>425</v>
      </c>
    </row>
    <row r="1369" spans="1:21" x14ac:dyDescent="0.35">
      <c r="A1369" t="s">
        <v>4944</v>
      </c>
      <c r="B1369" t="s">
        <v>4945</v>
      </c>
      <c r="C1369">
        <v>1449</v>
      </c>
      <c r="D1369" s="5">
        <v>308.67815400000001</v>
      </c>
      <c r="E1369" s="5">
        <v>405.28012799999999</v>
      </c>
      <c r="F1369" s="5">
        <v>404.60808300000002</v>
      </c>
      <c r="G1369" s="5">
        <v>304.08246700000001</v>
      </c>
      <c r="H1369" s="6">
        <v>1.2758499999999999</v>
      </c>
      <c r="I1369" s="6">
        <v>3.4306640000000002</v>
      </c>
      <c r="J1369" s="11">
        <v>0</v>
      </c>
      <c r="K1369" s="7">
        <f t="shared" si="42"/>
        <v>355.66220800000002</v>
      </c>
      <c r="L1369" s="8">
        <f t="shared" si="43"/>
        <v>1.5688380000000002</v>
      </c>
      <c r="M1369" s="9">
        <v>4.6404420388585099E-16</v>
      </c>
      <c r="N1369" s="9">
        <v>2.62820273807968E-14</v>
      </c>
      <c r="O1369" s="2">
        <v>-6.7441931896540197</v>
      </c>
      <c r="P1369" t="s">
        <v>4944</v>
      </c>
      <c r="Q1369" s="10">
        <f>IF(N1369&lt;='[1]statistical criteria'!$B$2,IF(O1369&gt;=LOG('[1]statistical criteria'!$B$3,2),1,IF(O1369&lt;=-1*LOG('[1]statistical criteria'!$B$3,2),2,"-")),"-")</f>
        <v>2</v>
      </c>
      <c r="R1369" t="s">
        <v>4905</v>
      </c>
      <c r="S1369" t="s">
        <v>4906</v>
      </c>
      <c r="T1369" s="24" t="s">
        <v>5017</v>
      </c>
      <c r="U1369" s="24" t="s">
        <v>425</v>
      </c>
    </row>
    <row r="1370" spans="1:21" x14ac:dyDescent="0.35">
      <c r="A1370" t="s">
        <v>4946</v>
      </c>
      <c r="B1370" t="s">
        <v>4947</v>
      </c>
      <c r="C1370">
        <v>1302</v>
      </c>
      <c r="D1370" s="5">
        <v>36.624037000000001</v>
      </c>
      <c r="E1370" s="5">
        <v>33.119546999999997</v>
      </c>
      <c r="F1370" s="5">
        <v>33.426929999999999</v>
      </c>
      <c r="G1370" s="5">
        <v>33.534447</v>
      </c>
      <c r="H1370" s="11">
        <v>0</v>
      </c>
      <c r="I1370" s="11">
        <v>0</v>
      </c>
      <c r="J1370" s="11">
        <v>0</v>
      </c>
      <c r="K1370" s="7">
        <f t="shared" si="42"/>
        <v>34.176240249999999</v>
      </c>
      <c r="L1370" s="8">
        <f t="shared" si="43"/>
        <v>0</v>
      </c>
      <c r="M1370" s="9">
        <v>5.7772552479560097E-36</v>
      </c>
      <c r="N1370" s="9">
        <v>2.1347799489049098E-33</v>
      </c>
      <c r="O1370" s="2">
        <v>-6.7466166127040097</v>
      </c>
      <c r="P1370" t="s">
        <v>4946</v>
      </c>
      <c r="Q1370" s="10">
        <f>IF(N1370&lt;='[1]statistical criteria'!$B$2,IF(O1370&gt;=LOG('[1]statistical criteria'!$B$3,2),1,IF(O1370&lt;=-1*LOG('[1]statistical criteria'!$B$3,2),2,"-")),"-")</f>
        <v>2</v>
      </c>
      <c r="R1370" t="s">
        <v>3191</v>
      </c>
      <c r="S1370" t="s">
        <v>3192</v>
      </c>
      <c r="T1370" s="9">
        <v>4.0000000000000002E-173</v>
      </c>
      <c r="U1370" s="24" t="s">
        <v>425</v>
      </c>
    </row>
    <row r="1371" spans="1:21" x14ac:dyDescent="0.35">
      <c r="A1371" t="s">
        <v>4948</v>
      </c>
      <c r="B1371" t="s">
        <v>3897</v>
      </c>
      <c r="C1371">
        <v>1221</v>
      </c>
      <c r="D1371" s="5">
        <v>25.444210999999999</v>
      </c>
      <c r="E1371" s="5">
        <v>29.101233000000001</v>
      </c>
      <c r="F1371" s="5">
        <v>34.614536000000001</v>
      </c>
      <c r="G1371" s="5">
        <v>15.389383</v>
      </c>
      <c r="H1371" s="11">
        <v>0</v>
      </c>
      <c r="I1371" s="11">
        <v>0</v>
      </c>
      <c r="J1371" s="11">
        <v>0</v>
      </c>
      <c r="K1371" s="7">
        <f t="shared" si="42"/>
        <v>26.13734075</v>
      </c>
      <c r="L1371" s="8">
        <f t="shared" si="43"/>
        <v>0</v>
      </c>
      <c r="M1371" s="9">
        <v>9.5437428193548501E-16</v>
      </c>
      <c r="N1371" s="9">
        <v>5.13769238620432E-14</v>
      </c>
      <c r="O1371" s="2">
        <v>-6.7494251566099601</v>
      </c>
      <c r="P1371" t="s">
        <v>4948</v>
      </c>
      <c r="Q1371" s="10">
        <f>IF(N1371&lt;='[1]statistical criteria'!$B$2,IF(O1371&gt;=LOG('[1]statistical criteria'!$B$3,2),1,IF(O1371&lt;=-1*LOG('[1]statistical criteria'!$B$3,2),2,"-")),"-")</f>
        <v>2</v>
      </c>
      <c r="R1371" t="s">
        <v>3898</v>
      </c>
      <c r="S1371" t="s">
        <v>3899</v>
      </c>
      <c r="T1371" s="9">
        <v>2.0000000000000002E-15</v>
      </c>
      <c r="U1371" s="24" t="s">
        <v>425</v>
      </c>
    </row>
    <row r="1372" spans="1:21" x14ac:dyDescent="0.35">
      <c r="A1372" t="s">
        <v>4949</v>
      </c>
      <c r="B1372" t="s">
        <v>4950</v>
      </c>
      <c r="C1372">
        <v>453</v>
      </c>
      <c r="D1372" s="5">
        <v>78.413110000000003</v>
      </c>
      <c r="E1372" s="5">
        <v>214.67943700000001</v>
      </c>
      <c r="F1372" s="5">
        <v>120.59801299999999</v>
      </c>
      <c r="G1372" s="5">
        <v>87.674819999999997</v>
      </c>
      <c r="H1372" s="11">
        <v>0</v>
      </c>
      <c r="I1372" s="11">
        <v>0</v>
      </c>
      <c r="J1372" s="11">
        <v>0</v>
      </c>
      <c r="K1372" s="7">
        <f t="shared" si="42"/>
        <v>125.341345</v>
      </c>
      <c r="L1372" s="8">
        <f t="shared" si="43"/>
        <v>0</v>
      </c>
      <c r="M1372" s="9">
        <v>2.57941268569724E-206</v>
      </c>
      <c r="N1372" s="9">
        <v>3.2724148939212401E-202</v>
      </c>
      <c r="O1372" s="2">
        <v>-6.7548522656349697</v>
      </c>
      <c r="P1372" t="s">
        <v>4949</v>
      </c>
      <c r="Q1372" s="10">
        <f>IF(N1372&lt;='[1]statistical criteria'!$B$2,IF(O1372&gt;=LOG('[1]statistical criteria'!$B$3,2),1,IF(O1372&lt;=-1*LOG('[1]statistical criteria'!$B$3,2),2,"-")),"-")</f>
        <v>2</v>
      </c>
      <c r="R1372" t="s">
        <v>5016</v>
      </c>
      <c r="U1372" s="24" t="s">
        <v>425</v>
      </c>
    </row>
    <row r="1373" spans="1:21" x14ac:dyDescent="0.35">
      <c r="A1373" t="s">
        <v>4951</v>
      </c>
      <c r="B1373" t="s">
        <v>4952</v>
      </c>
      <c r="C1373">
        <v>1299</v>
      </c>
      <c r="D1373" s="5">
        <v>24.528832000000001</v>
      </c>
      <c r="E1373" s="5">
        <v>44.700329000000004</v>
      </c>
      <c r="F1373" s="5">
        <v>30.956374</v>
      </c>
      <c r="G1373" s="5">
        <v>22.482064999999999</v>
      </c>
      <c r="H1373" s="11">
        <v>0</v>
      </c>
      <c r="I1373" s="11">
        <v>0</v>
      </c>
      <c r="J1373" s="11">
        <v>0</v>
      </c>
      <c r="K1373" s="7">
        <f t="shared" si="42"/>
        <v>30.666899999999998</v>
      </c>
      <c r="L1373" s="8">
        <f t="shared" si="43"/>
        <v>0</v>
      </c>
      <c r="M1373" s="9">
        <v>8.19904748291864E-42</v>
      </c>
      <c r="N1373" s="9">
        <v>4.3341075999983801E-39</v>
      </c>
      <c r="O1373" s="2">
        <v>-6.7721823688705296</v>
      </c>
      <c r="P1373" t="s">
        <v>4951</v>
      </c>
      <c r="Q1373" s="10">
        <f>IF(N1373&lt;='[1]statistical criteria'!$B$2,IF(O1373&gt;=LOG('[1]statistical criteria'!$B$3,2),1,IF(O1373&lt;=-1*LOG('[1]statistical criteria'!$B$3,2),2,"-")),"-")</f>
        <v>2</v>
      </c>
      <c r="R1373" t="s">
        <v>5014</v>
      </c>
      <c r="S1373" t="s">
        <v>4730</v>
      </c>
      <c r="T1373" s="24" t="s">
        <v>5015</v>
      </c>
      <c r="U1373" s="24" t="s">
        <v>425</v>
      </c>
    </row>
    <row r="1374" spans="1:21" x14ac:dyDescent="0.35">
      <c r="A1374" t="s">
        <v>4953</v>
      </c>
      <c r="B1374" t="s">
        <v>4954</v>
      </c>
      <c r="C1374">
        <v>1631</v>
      </c>
      <c r="D1374" s="5">
        <v>181.675276</v>
      </c>
      <c r="E1374" s="5">
        <v>170.811612</v>
      </c>
      <c r="F1374" s="5">
        <v>187.39780099999999</v>
      </c>
      <c r="G1374" s="5">
        <v>184.48412300000001</v>
      </c>
      <c r="H1374" s="6">
        <v>0.59869799999999995</v>
      </c>
      <c r="I1374" s="6">
        <v>0.269702</v>
      </c>
      <c r="J1374" s="11">
        <v>0</v>
      </c>
      <c r="K1374" s="7">
        <f t="shared" si="42"/>
        <v>181.09220299999998</v>
      </c>
      <c r="L1374" s="8">
        <f t="shared" si="43"/>
        <v>0.28946666666666665</v>
      </c>
      <c r="M1374" s="9">
        <v>2.4634908532798301E-36</v>
      </c>
      <c r="N1374" s="9">
        <v>9.4707537248313496E-34</v>
      </c>
      <c r="O1374" s="2">
        <v>-6.7928706298747903</v>
      </c>
      <c r="P1374" t="s">
        <v>4953</v>
      </c>
      <c r="Q1374" s="10">
        <f>IF(N1374&lt;='[1]statistical criteria'!$B$2,IF(O1374&gt;=LOG('[1]statistical criteria'!$B$3,2),1,IF(O1374&lt;=-1*LOG('[1]statistical criteria'!$B$3,2),2,"-")),"-")</f>
        <v>2</v>
      </c>
      <c r="R1374" t="s">
        <v>5013</v>
      </c>
      <c r="S1374" t="s">
        <v>4955</v>
      </c>
      <c r="T1374" s="24" t="s">
        <v>5012</v>
      </c>
      <c r="U1374" s="24" t="s">
        <v>425</v>
      </c>
    </row>
    <row r="1375" spans="1:21" x14ac:dyDescent="0.35">
      <c r="A1375" t="s">
        <v>4956</v>
      </c>
      <c r="B1375" t="s">
        <v>4957</v>
      </c>
      <c r="C1375">
        <v>1140</v>
      </c>
      <c r="D1375" s="5">
        <v>32.790039</v>
      </c>
      <c r="E1375" s="5">
        <v>33.011747999999997</v>
      </c>
      <c r="F1375" s="5">
        <v>48.703380000000003</v>
      </c>
      <c r="G1375" s="5">
        <v>36.306109999999997</v>
      </c>
      <c r="H1375" s="11">
        <v>0</v>
      </c>
      <c r="I1375" s="11">
        <v>0</v>
      </c>
      <c r="J1375" s="11">
        <v>0</v>
      </c>
      <c r="K1375" s="7">
        <f t="shared" si="42"/>
        <v>37.702819249999997</v>
      </c>
      <c r="L1375" s="8">
        <f t="shared" si="43"/>
        <v>0</v>
      </c>
      <c r="M1375" s="9">
        <v>1.26340131102328E-16</v>
      </c>
      <c r="N1375" s="9">
        <v>7.8827957209092003E-15</v>
      </c>
      <c r="O1375" s="2">
        <v>-6.8115579890927398</v>
      </c>
      <c r="P1375" t="s">
        <v>4956</v>
      </c>
      <c r="Q1375" s="10">
        <f>IF(N1375&lt;='[1]statistical criteria'!$B$2,IF(O1375&gt;=LOG('[1]statistical criteria'!$B$3,2),1,IF(O1375&lt;=-1*LOG('[1]statistical criteria'!$B$3,2),2,"-")),"-")</f>
        <v>2</v>
      </c>
      <c r="R1375" t="s">
        <v>5011</v>
      </c>
      <c r="S1375" t="s">
        <v>4014</v>
      </c>
      <c r="T1375" s="9">
        <v>2E-79</v>
      </c>
      <c r="U1375" s="24" t="s">
        <v>425</v>
      </c>
    </row>
    <row r="1376" spans="1:21" x14ac:dyDescent="0.35">
      <c r="A1376" t="s">
        <v>4958</v>
      </c>
      <c r="C1376">
        <v>912</v>
      </c>
      <c r="D1376" s="5">
        <v>67.323798999999994</v>
      </c>
      <c r="E1376" s="5">
        <v>87.920754000000002</v>
      </c>
      <c r="F1376" s="5">
        <v>46.807876</v>
      </c>
      <c r="G1376" s="5">
        <v>64.382594999999995</v>
      </c>
      <c r="H1376" s="6">
        <v>0.175515</v>
      </c>
      <c r="I1376" s="11">
        <v>0</v>
      </c>
      <c r="J1376" s="11">
        <v>0</v>
      </c>
      <c r="K1376" s="7">
        <f t="shared" si="42"/>
        <v>66.608756</v>
      </c>
      <c r="L1376" s="8">
        <f t="shared" si="43"/>
        <v>5.8505000000000001E-2</v>
      </c>
      <c r="M1376" s="9">
        <v>4.0660783311851898E-122</v>
      </c>
      <c r="N1376" s="9">
        <v>2.21078487549869E-118</v>
      </c>
      <c r="O1376" s="2">
        <v>-6.8162908815944299</v>
      </c>
      <c r="P1376" t="s">
        <v>4958</v>
      </c>
      <c r="Q1376" s="10">
        <f>IF(N1376&lt;='[1]statistical criteria'!$B$2,IF(O1376&gt;=LOG('[1]statistical criteria'!$B$3,2),1,IF(O1376&lt;=-1*LOG('[1]statistical criteria'!$B$3,2),2,"-")),"-")</f>
        <v>2</v>
      </c>
      <c r="R1376" t="s">
        <v>4724</v>
      </c>
      <c r="S1376" t="s">
        <v>4725</v>
      </c>
      <c r="T1376">
        <v>0</v>
      </c>
      <c r="U1376" s="24" t="s">
        <v>425</v>
      </c>
    </row>
    <row r="1377" spans="1:25" x14ac:dyDescent="0.35">
      <c r="A1377" t="s">
        <v>4959</v>
      </c>
      <c r="B1377" t="s">
        <v>4960</v>
      </c>
      <c r="C1377">
        <v>543</v>
      </c>
      <c r="D1377" s="5">
        <v>102.945415</v>
      </c>
      <c r="E1377" s="5">
        <v>120.448356</v>
      </c>
      <c r="F1377" s="5">
        <v>60.254333000000003</v>
      </c>
      <c r="G1377" s="5">
        <v>68.508232000000007</v>
      </c>
      <c r="H1377" s="11">
        <v>0</v>
      </c>
      <c r="I1377" s="11">
        <v>0</v>
      </c>
      <c r="J1377" s="11">
        <v>0</v>
      </c>
      <c r="K1377" s="7">
        <f t="shared" si="42"/>
        <v>88.039084000000003</v>
      </c>
      <c r="L1377" s="8">
        <f t="shared" si="43"/>
        <v>0</v>
      </c>
      <c r="M1377" s="9">
        <v>2.3228209943608E-29</v>
      </c>
      <c r="N1377" s="9">
        <v>5.3256968099621604E-27</v>
      </c>
      <c r="O1377" s="2">
        <v>-6.9591807894709303</v>
      </c>
      <c r="P1377" t="s">
        <v>4959</v>
      </c>
      <c r="Q1377" s="10">
        <f>IF(N1377&lt;='[1]statistical criteria'!$B$2,IF(O1377&gt;=LOG('[1]statistical criteria'!$B$3,2),1,IF(O1377&lt;=-1*LOG('[1]statistical criteria'!$B$3,2),2,"-")),"-")</f>
        <v>2</v>
      </c>
      <c r="R1377" t="s">
        <v>5009</v>
      </c>
      <c r="S1377" t="s">
        <v>4447</v>
      </c>
      <c r="T1377" s="24" t="s">
        <v>5008</v>
      </c>
      <c r="U1377" s="24" t="s">
        <v>425</v>
      </c>
    </row>
    <row r="1378" spans="1:25" x14ac:dyDescent="0.35">
      <c r="A1378" t="s">
        <v>4961</v>
      </c>
      <c r="B1378" t="s">
        <v>4962</v>
      </c>
      <c r="C1378">
        <v>1577</v>
      </c>
      <c r="D1378" s="5">
        <v>64.705438000000001</v>
      </c>
      <c r="E1378" s="5">
        <v>61.668083000000003</v>
      </c>
      <c r="F1378" s="5">
        <v>80.688490000000002</v>
      </c>
      <c r="G1378" s="5">
        <v>61.480600000000003</v>
      </c>
      <c r="H1378" s="6">
        <v>0.12073</v>
      </c>
      <c r="I1378" s="11">
        <v>0</v>
      </c>
      <c r="J1378" s="11">
        <v>0</v>
      </c>
      <c r="K1378" s="7">
        <f t="shared" si="42"/>
        <v>67.135652750000006</v>
      </c>
      <c r="L1378" s="8">
        <f t="shared" si="43"/>
        <v>4.0243333333333332E-2</v>
      </c>
      <c r="M1378" s="9">
        <v>1.3669000517078E-104</v>
      </c>
      <c r="N1378" s="9">
        <v>5.20242159679989E-101</v>
      </c>
      <c r="O1378" s="2">
        <v>-6.9955545572381297</v>
      </c>
      <c r="P1378" t="s">
        <v>4961</v>
      </c>
      <c r="Q1378" s="10">
        <f>IF(N1378&lt;='[1]statistical criteria'!$B$2,IF(O1378&gt;=LOG('[1]statistical criteria'!$B$3,2),1,IF(O1378&lt;=-1*LOG('[1]statistical criteria'!$B$3,2),2,"-")),"-")</f>
        <v>2</v>
      </c>
      <c r="R1378" t="s">
        <v>5010</v>
      </c>
      <c r="S1378" t="s">
        <v>4804</v>
      </c>
      <c r="T1378" s="9">
        <v>9.0000000000000005E-151</v>
      </c>
      <c r="U1378" s="24" t="s">
        <v>425</v>
      </c>
    </row>
    <row r="1379" spans="1:25" x14ac:dyDescent="0.35">
      <c r="A1379" t="s">
        <v>4963</v>
      </c>
      <c r="B1379" t="s">
        <v>4964</v>
      </c>
      <c r="C1379">
        <v>2232</v>
      </c>
      <c r="D1379" s="5">
        <v>24.836690000000001</v>
      </c>
      <c r="E1379" s="5">
        <v>19.235492000000001</v>
      </c>
      <c r="F1379" s="5">
        <v>47.205329999999996</v>
      </c>
      <c r="G1379" s="5">
        <v>30.663412999999998</v>
      </c>
      <c r="H1379" s="11">
        <v>0</v>
      </c>
      <c r="I1379" s="11">
        <v>0</v>
      </c>
      <c r="J1379" s="11">
        <v>0</v>
      </c>
      <c r="K1379" s="7">
        <f t="shared" si="42"/>
        <v>30.485231249999998</v>
      </c>
      <c r="L1379" s="8">
        <f t="shared" si="43"/>
        <v>0</v>
      </c>
      <c r="M1379" s="9">
        <v>1.2867253237775201E-72</v>
      </c>
      <c r="N1379" s="9">
        <v>2.88075093076309E-69</v>
      </c>
      <c r="O1379" s="2">
        <v>-6.9960065294359701</v>
      </c>
      <c r="P1379" t="s">
        <v>4963</v>
      </c>
      <c r="Q1379" s="10">
        <f>IF(N1379&lt;='[1]statistical criteria'!$B$2,IF(O1379&gt;=LOG('[1]statistical criteria'!$B$3,2),1,IF(O1379&lt;=-1*LOG('[1]statistical criteria'!$B$3,2),2,"-")),"-")</f>
        <v>2</v>
      </c>
      <c r="R1379" t="s">
        <v>5007</v>
      </c>
      <c r="S1379" t="s">
        <v>4244</v>
      </c>
      <c r="T1379">
        <v>0</v>
      </c>
      <c r="U1379" s="24" t="s">
        <v>425</v>
      </c>
    </row>
    <row r="1380" spans="1:25" x14ac:dyDescent="0.35">
      <c r="A1380" t="s">
        <v>4965</v>
      </c>
      <c r="B1380" t="s">
        <v>4966</v>
      </c>
      <c r="C1380">
        <v>1341</v>
      </c>
      <c r="D1380" s="5">
        <v>56.548017000000002</v>
      </c>
      <c r="E1380" s="5">
        <v>52.621828999999998</v>
      </c>
      <c r="F1380" s="5">
        <v>56.328282000000002</v>
      </c>
      <c r="G1380" s="5">
        <v>60.850803999999997</v>
      </c>
      <c r="H1380" s="11">
        <v>0</v>
      </c>
      <c r="I1380" s="11">
        <v>0</v>
      </c>
      <c r="J1380" s="11">
        <v>0</v>
      </c>
      <c r="K1380" s="7">
        <f t="shared" si="42"/>
        <v>56.587232999999998</v>
      </c>
      <c r="L1380" s="8">
        <f t="shared" si="43"/>
        <v>0</v>
      </c>
      <c r="M1380" s="9">
        <v>1.29392092909022E-92</v>
      </c>
      <c r="N1380" s="9">
        <v>4.10388588009783E-89</v>
      </c>
      <c r="O1380" s="2">
        <v>-7.0716479159973202</v>
      </c>
      <c r="P1380" t="s">
        <v>4965</v>
      </c>
      <c r="Q1380" s="10">
        <f>IF(N1380&lt;='[1]statistical criteria'!$B$2,IF(O1380&gt;=LOG('[1]statistical criteria'!$B$3,2),1,IF(O1380&lt;=-1*LOG('[1]statistical criteria'!$B$3,2),2,"-")),"-")</f>
        <v>2</v>
      </c>
      <c r="R1380" t="s">
        <v>4506</v>
      </c>
      <c r="S1380" t="s">
        <v>4860</v>
      </c>
      <c r="T1380" s="9">
        <v>9.0000000000000008E-152</v>
      </c>
      <c r="U1380" s="24" t="s">
        <v>425</v>
      </c>
    </row>
    <row r="1381" spans="1:25" x14ac:dyDescent="0.35">
      <c r="A1381" t="s">
        <v>4967</v>
      </c>
      <c r="B1381" t="s">
        <v>4968</v>
      </c>
      <c r="C1381">
        <v>1450</v>
      </c>
      <c r="D1381" s="5">
        <v>47.269480000000001</v>
      </c>
      <c r="E1381" s="5">
        <v>54.571429999999999</v>
      </c>
      <c r="F1381" s="5">
        <v>47.920484999999999</v>
      </c>
      <c r="G1381" s="5">
        <v>30.936955999999999</v>
      </c>
      <c r="H1381" s="11">
        <v>0</v>
      </c>
      <c r="I1381" s="11">
        <v>0</v>
      </c>
      <c r="J1381" s="11">
        <v>0</v>
      </c>
      <c r="K1381" s="7">
        <f t="shared" si="42"/>
        <v>45.174587750000001</v>
      </c>
      <c r="L1381" s="8">
        <f t="shared" si="43"/>
        <v>0</v>
      </c>
      <c r="M1381" s="9">
        <v>5.4443239834063501E-104</v>
      </c>
      <c r="N1381" s="9">
        <v>1.8837360982586001E-100</v>
      </c>
      <c r="O1381" s="2">
        <v>-7.07606202036858</v>
      </c>
      <c r="P1381" t="s">
        <v>4967</v>
      </c>
      <c r="Q1381" s="10">
        <f>IF(N1381&lt;='[1]statistical criteria'!$B$2,IF(O1381&gt;=LOG('[1]statistical criteria'!$B$3,2),1,IF(O1381&lt;=-1*LOG('[1]statistical criteria'!$B$3,2),2,"-")),"-")</f>
        <v>2</v>
      </c>
      <c r="R1381" t="s">
        <v>495</v>
      </c>
      <c r="S1381" t="s">
        <v>4969</v>
      </c>
      <c r="T1381" s="9">
        <v>1.0000000000000001E-138</v>
      </c>
      <c r="U1381" s="24" t="s">
        <v>425</v>
      </c>
    </row>
    <row r="1382" spans="1:25" x14ac:dyDescent="0.35">
      <c r="A1382" t="s">
        <v>4970</v>
      </c>
      <c r="B1382" t="s">
        <v>4971</v>
      </c>
      <c r="C1382">
        <v>3585</v>
      </c>
      <c r="D1382" s="5">
        <v>14.153312</v>
      </c>
      <c r="E1382" s="5">
        <v>18.141490999999998</v>
      </c>
      <c r="F1382" s="5">
        <v>18.487853000000001</v>
      </c>
      <c r="G1382" s="5">
        <v>17.200044999999999</v>
      </c>
      <c r="H1382" s="11">
        <v>0</v>
      </c>
      <c r="I1382" s="11">
        <v>0</v>
      </c>
      <c r="J1382" s="11">
        <v>0</v>
      </c>
      <c r="K1382" s="7">
        <f t="shared" si="42"/>
        <v>16.995675250000001</v>
      </c>
      <c r="L1382" s="8">
        <f t="shared" si="43"/>
        <v>0</v>
      </c>
      <c r="M1382" s="9">
        <v>5.5269289928683501E-23</v>
      </c>
      <c r="N1382" s="9">
        <v>7.4859401234366395E-21</v>
      </c>
      <c r="O1382" s="2">
        <v>-7.1515465478025799</v>
      </c>
      <c r="P1382" t="s">
        <v>4970</v>
      </c>
      <c r="Q1382" s="10">
        <f>IF(N1382&lt;='[1]statistical criteria'!$B$2,IF(O1382&gt;=LOG('[1]statistical criteria'!$B$3,2),1,IF(O1382&lt;=-1*LOG('[1]statistical criteria'!$B$3,2),2,"-")),"-")</f>
        <v>2</v>
      </c>
      <c r="R1382" t="s">
        <v>3719</v>
      </c>
      <c r="S1382" t="s">
        <v>4972</v>
      </c>
      <c r="T1382">
        <v>0</v>
      </c>
      <c r="U1382" s="24" t="s">
        <v>425</v>
      </c>
    </row>
    <row r="1383" spans="1:25" x14ac:dyDescent="0.35">
      <c r="A1383" t="s">
        <v>4973</v>
      </c>
      <c r="B1383" t="s">
        <v>3036</v>
      </c>
      <c r="C1383">
        <v>2184</v>
      </c>
      <c r="D1383" s="5">
        <v>28.476115</v>
      </c>
      <c r="E1383" s="5">
        <v>34.745288000000002</v>
      </c>
      <c r="F1383" s="5">
        <v>74.805120000000002</v>
      </c>
      <c r="G1383" s="5">
        <v>68.182871000000006</v>
      </c>
      <c r="H1383" s="11">
        <v>0</v>
      </c>
      <c r="I1383" s="11">
        <v>0</v>
      </c>
      <c r="J1383" s="11">
        <v>0</v>
      </c>
      <c r="K1383" s="7">
        <f t="shared" ref="K1383:K1392" si="44">AVERAGE(D1383:G1383)</f>
        <v>51.552348500000001</v>
      </c>
      <c r="L1383" s="8">
        <f t="shared" ref="L1383:L1392" si="45">AVERAGE(H1383:J1383)</f>
        <v>0</v>
      </c>
      <c r="M1383" s="9">
        <v>1.23805790597924E-126</v>
      </c>
      <c r="N1383" s="9">
        <v>7.85341398359497E-123</v>
      </c>
      <c r="O1383" s="2">
        <v>-7.1698860349887896</v>
      </c>
      <c r="P1383" t="s">
        <v>4973</v>
      </c>
      <c r="Q1383" s="10">
        <f>IF(N1383&lt;='[1]statistical criteria'!$B$2,IF(O1383&gt;=LOG('[1]statistical criteria'!$B$3,2),1,IF(O1383&lt;=-1*LOG('[1]statistical criteria'!$B$3,2),2,"-")),"-")</f>
        <v>2</v>
      </c>
      <c r="R1383" t="s">
        <v>3037</v>
      </c>
      <c r="S1383" t="s">
        <v>3038</v>
      </c>
      <c r="T1383" s="24" t="s">
        <v>5006</v>
      </c>
      <c r="U1383" s="24" t="s">
        <v>425</v>
      </c>
    </row>
    <row r="1384" spans="1:25" x14ac:dyDescent="0.35">
      <c r="A1384" t="s">
        <v>4974</v>
      </c>
      <c r="B1384" t="s">
        <v>4631</v>
      </c>
      <c r="C1384">
        <v>1491</v>
      </c>
      <c r="D1384" s="5">
        <v>51.302180999999997</v>
      </c>
      <c r="E1384" s="5">
        <v>43.610467999999997</v>
      </c>
      <c r="F1384" s="5">
        <v>58.027329000000002</v>
      </c>
      <c r="G1384" s="5">
        <v>58.105206000000003</v>
      </c>
      <c r="H1384" s="11">
        <v>0</v>
      </c>
      <c r="I1384" s="11">
        <v>0</v>
      </c>
      <c r="J1384" s="11">
        <v>0</v>
      </c>
      <c r="K1384" s="7">
        <f t="shared" si="44"/>
        <v>52.761296000000002</v>
      </c>
      <c r="L1384" s="8">
        <f t="shared" si="45"/>
        <v>0</v>
      </c>
      <c r="M1384" s="9">
        <v>2.39774719846148E-64</v>
      </c>
      <c r="N1384" s="9">
        <v>3.8024274322268402E-61</v>
      </c>
      <c r="O1384" s="2">
        <v>-7.2219130085391798</v>
      </c>
      <c r="P1384" t="s">
        <v>4974</v>
      </c>
      <c r="Q1384" s="10">
        <f>IF(N1384&lt;='[1]statistical criteria'!$B$2,IF(O1384&gt;=LOG('[1]statistical criteria'!$B$3,2),1,IF(O1384&lt;=-1*LOG('[1]statistical criteria'!$B$3,2),2,"-")),"-")</f>
        <v>2</v>
      </c>
      <c r="R1384" t="s">
        <v>5005</v>
      </c>
      <c r="S1384" t="s">
        <v>4633</v>
      </c>
      <c r="T1384" s="24" t="s">
        <v>5004</v>
      </c>
      <c r="U1384" s="24" t="s">
        <v>425</v>
      </c>
    </row>
    <row r="1385" spans="1:25" x14ac:dyDescent="0.35">
      <c r="A1385" t="s">
        <v>4975</v>
      </c>
      <c r="B1385" t="s">
        <v>4966</v>
      </c>
      <c r="C1385">
        <v>1299</v>
      </c>
      <c r="D1385" s="5">
        <v>55.531497999999999</v>
      </c>
      <c r="E1385" s="5">
        <v>90.278025999999997</v>
      </c>
      <c r="F1385" s="5">
        <v>63.557955</v>
      </c>
      <c r="G1385" s="5">
        <v>74.267757000000003</v>
      </c>
      <c r="H1385" s="11">
        <v>0</v>
      </c>
      <c r="I1385" s="11">
        <v>0</v>
      </c>
      <c r="J1385" s="11">
        <v>0</v>
      </c>
      <c r="K1385" s="7">
        <f t="shared" si="44"/>
        <v>70.908809000000005</v>
      </c>
      <c r="L1385" s="8">
        <f t="shared" si="45"/>
        <v>0</v>
      </c>
      <c r="M1385" s="9">
        <v>7.1212779638817405E-136</v>
      </c>
      <c r="N1385" s="9">
        <v>5.4207167861067798E-132</v>
      </c>
      <c r="O1385" s="2">
        <v>-7.2854174311594297</v>
      </c>
      <c r="P1385" t="s">
        <v>4975</v>
      </c>
      <c r="Q1385" s="10">
        <f>IF(N1385&lt;='[1]statistical criteria'!$B$2,IF(O1385&gt;=LOG('[1]statistical criteria'!$B$3,2),1,IF(O1385&lt;=-1*LOG('[1]statistical criteria'!$B$3,2),2,"-")),"-")</f>
        <v>2</v>
      </c>
      <c r="R1385" t="s">
        <v>5003</v>
      </c>
      <c r="S1385" t="s">
        <v>4860</v>
      </c>
      <c r="T1385" s="9">
        <v>2.0000000000000001E-153</v>
      </c>
      <c r="U1385" s="24" t="s">
        <v>425</v>
      </c>
    </row>
    <row r="1386" spans="1:25" x14ac:dyDescent="0.35">
      <c r="A1386" t="s">
        <v>4976</v>
      </c>
      <c r="B1386" t="s">
        <v>4590</v>
      </c>
      <c r="C1386">
        <v>633</v>
      </c>
      <c r="D1386" s="5">
        <v>139.59767099999999</v>
      </c>
      <c r="E1386" s="5">
        <v>132.08453</v>
      </c>
      <c r="F1386" s="5">
        <v>111.283407</v>
      </c>
      <c r="G1386" s="5">
        <v>221.01983100000001</v>
      </c>
      <c r="H1386" s="11">
        <v>0</v>
      </c>
      <c r="I1386" s="11">
        <v>0</v>
      </c>
      <c r="J1386" s="11">
        <v>0</v>
      </c>
      <c r="K1386" s="7">
        <f t="shared" si="44"/>
        <v>150.99635975000001</v>
      </c>
      <c r="L1386" s="8">
        <f t="shared" si="45"/>
        <v>0</v>
      </c>
      <c r="M1386" s="9">
        <v>9.4120305243104804E-119</v>
      </c>
      <c r="N1386" s="9">
        <v>4.4777735219407101E-115</v>
      </c>
      <c r="O1386" s="2">
        <v>-7.2949074257048503</v>
      </c>
      <c r="P1386" t="s">
        <v>4976</v>
      </c>
      <c r="Q1386" s="10">
        <f>IF(N1386&lt;='[1]statistical criteria'!$B$2,IF(O1386&gt;=LOG('[1]statistical criteria'!$B$3,2),1,IF(O1386&lt;=-1*LOG('[1]statistical criteria'!$B$3,2),2,"-")),"-")</f>
        <v>2</v>
      </c>
      <c r="U1386" s="24" t="s">
        <v>425</v>
      </c>
      <c r="Y1386" s="20"/>
    </row>
    <row r="1387" spans="1:25" x14ac:dyDescent="0.35">
      <c r="A1387" t="s">
        <v>4977</v>
      </c>
      <c r="B1387" t="s">
        <v>4978</v>
      </c>
      <c r="C1387">
        <v>4410</v>
      </c>
      <c r="D1387" s="5">
        <v>39.170174000000003</v>
      </c>
      <c r="E1387" s="5">
        <v>54.413404999999997</v>
      </c>
      <c r="F1387" s="5">
        <v>48.555466000000003</v>
      </c>
      <c r="G1387" s="5">
        <v>46.318451000000003</v>
      </c>
      <c r="H1387" s="6">
        <v>0.32569399999999998</v>
      </c>
      <c r="I1387" s="11">
        <v>0</v>
      </c>
      <c r="J1387" s="11">
        <v>0</v>
      </c>
      <c r="K1387" s="7">
        <f t="shared" si="44"/>
        <v>47.114374000000005</v>
      </c>
      <c r="L1387" s="8">
        <f t="shared" si="45"/>
        <v>0.10856466666666666</v>
      </c>
      <c r="M1387" s="9">
        <v>1.33578576837324E-34</v>
      </c>
      <c r="N1387" s="9">
        <v>4.4208701168944097E-32</v>
      </c>
      <c r="O1387" s="2">
        <v>-7.2956760233140798</v>
      </c>
      <c r="P1387" t="s">
        <v>4977</v>
      </c>
      <c r="Q1387" s="10">
        <f>IF(N1387&lt;='[1]statistical criteria'!$B$2,IF(O1387&gt;=LOG('[1]statistical criteria'!$B$3,2),1,IF(O1387&lt;=-1*LOG('[1]statistical criteria'!$B$3,2),2,"-")),"-")</f>
        <v>2</v>
      </c>
      <c r="R1387" t="s">
        <v>4979</v>
      </c>
      <c r="S1387" t="s">
        <v>4980</v>
      </c>
      <c r="T1387">
        <v>0</v>
      </c>
      <c r="U1387" s="24" t="s">
        <v>425</v>
      </c>
    </row>
    <row r="1388" spans="1:25" x14ac:dyDescent="0.35">
      <c r="A1388" t="s">
        <v>397</v>
      </c>
      <c r="B1388" t="s">
        <v>4981</v>
      </c>
      <c r="C1388">
        <v>545</v>
      </c>
      <c r="D1388" s="5">
        <v>51.329608</v>
      </c>
      <c r="E1388" s="5">
        <v>145.74906100000001</v>
      </c>
      <c r="F1388" s="5">
        <v>183.28027800000001</v>
      </c>
      <c r="G1388" s="5">
        <v>90.013925</v>
      </c>
      <c r="H1388" s="11">
        <v>0</v>
      </c>
      <c r="I1388" s="11">
        <v>0</v>
      </c>
      <c r="J1388" s="11">
        <v>0</v>
      </c>
      <c r="K1388" s="7">
        <f t="shared" si="44"/>
        <v>117.59321800000001</v>
      </c>
      <c r="L1388" s="8">
        <f t="shared" si="45"/>
        <v>0</v>
      </c>
      <c r="M1388" s="9">
        <v>5.7790649883151796E-15</v>
      </c>
      <c r="N1388" s="9">
        <v>2.7562808703668699E-13</v>
      </c>
      <c r="O1388" s="2">
        <v>-7.3226659031798</v>
      </c>
      <c r="P1388" t="s">
        <v>397</v>
      </c>
      <c r="Q1388" s="10">
        <f>IF(N1388&lt;='[1]statistical criteria'!$B$2,IF(O1388&gt;=LOG('[1]statistical criteria'!$B$3,2),1,IF(O1388&lt;=-1*LOG('[1]statistical criteria'!$B$3,2),2,"-")),"-")</f>
        <v>2</v>
      </c>
      <c r="U1388" s="24" t="s">
        <v>425</v>
      </c>
    </row>
    <row r="1389" spans="1:25" x14ac:dyDescent="0.35">
      <c r="A1389" t="s">
        <v>4982</v>
      </c>
      <c r="B1389" t="s">
        <v>4983</v>
      </c>
      <c r="C1389">
        <v>4386</v>
      </c>
      <c r="D1389" s="5">
        <v>69.102641000000006</v>
      </c>
      <c r="E1389" s="5">
        <v>80.769300999999999</v>
      </c>
      <c r="F1389" s="5">
        <v>82.186284999999998</v>
      </c>
      <c r="G1389" s="5">
        <v>58.681297000000001</v>
      </c>
      <c r="H1389" s="11">
        <v>0</v>
      </c>
      <c r="I1389" s="6">
        <v>5.2954000000000001E-2</v>
      </c>
      <c r="J1389" s="6">
        <v>0.10917200000000001</v>
      </c>
      <c r="K1389" s="7">
        <f t="shared" si="44"/>
        <v>72.68488099999999</v>
      </c>
      <c r="L1389" s="8">
        <f t="shared" si="45"/>
        <v>5.4042E-2</v>
      </c>
      <c r="M1389" s="9">
        <v>2.1803522853559301E-61</v>
      </c>
      <c r="N1389" s="9">
        <v>3.0734891844683999E-58</v>
      </c>
      <c r="O1389" s="2">
        <v>-7.5000290800028901</v>
      </c>
      <c r="P1389" t="s">
        <v>4982</v>
      </c>
      <c r="Q1389" s="10">
        <f>IF(N1389&lt;='[1]statistical criteria'!$B$2,IF(O1389&gt;=LOG('[1]statistical criteria'!$B$3,2),1,IF(O1389&lt;=-1*LOG('[1]statistical criteria'!$B$3,2),2,"-")),"-")</f>
        <v>2</v>
      </c>
      <c r="R1389" t="s">
        <v>4979</v>
      </c>
      <c r="S1389" t="s">
        <v>4980</v>
      </c>
      <c r="T1389">
        <v>0</v>
      </c>
      <c r="U1389" s="24" t="s">
        <v>425</v>
      </c>
    </row>
    <row r="1390" spans="1:25" x14ac:dyDescent="0.35">
      <c r="A1390" t="s">
        <v>4984</v>
      </c>
      <c r="B1390" t="s">
        <v>4985</v>
      </c>
      <c r="C1390">
        <v>1239</v>
      </c>
      <c r="D1390" s="5">
        <v>143.947442</v>
      </c>
      <c r="E1390" s="5">
        <v>121.312377</v>
      </c>
      <c r="F1390" s="5">
        <v>139.577618</v>
      </c>
      <c r="G1390" s="5">
        <v>94.089190000000002</v>
      </c>
      <c r="H1390" s="11">
        <v>0</v>
      </c>
      <c r="I1390" s="11">
        <v>0</v>
      </c>
      <c r="J1390" s="11">
        <v>0</v>
      </c>
      <c r="K1390" s="7">
        <f t="shared" si="44"/>
        <v>124.73165675000001</v>
      </c>
      <c r="L1390" s="8">
        <f t="shared" si="45"/>
        <v>0</v>
      </c>
      <c r="M1390" s="9">
        <v>3.4741896667183497E-253</v>
      </c>
      <c r="N1390" s="9">
        <v>1.322276587153E-248</v>
      </c>
      <c r="O1390" s="2">
        <v>-7.8884777872579699</v>
      </c>
      <c r="P1390" t="s">
        <v>4984</v>
      </c>
      <c r="Q1390" s="10">
        <f>IF(N1390&lt;='[1]statistical criteria'!$B$2,IF(O1390&gt;=LOG('[1]statistical criteria'!$B$3,2),1,IF(O1390&lt;=-1*LOG('[1]statistical criteria'!$B$3,2),2,"-")),"-")</f>
        <v>2</v>
      </c>
      <c r="R1390" t="s">
        <v>4986</v>
      </c>
      <c r="S1390" t="s">
        <v>4987</v>
      </c>
      <c r="T1390" s="9">
        <v>9.9999999999999995E-127</v>
      </c>
      <c r="U1390" s="24" t="s">
        <v>425</v>
      </c>
    </row>
    <row r="1391" spans="1:25" x14ac:dyDescent="0.35">
      <c r="A1391" t="s">
        <v>4988</v>
      </c>
      <c r="B1391" t="s">
        <v>4971</v>
      </c>
      <c r="C1391">
        <v>3594</v>
      </c>
      <c r="D1391" s="5">
        <v>31.141166999999999</v>
      </c>
      <c r="E1391" s="5">
        <v>47.797783000000003</v>
      </c>
      <c r="F1391" s="5">
        <v>42.234302999999997</v>
      </c>
      <c r="G1391" s="5">
        <v>33.572673000000002</v>
      </c>
      <c r="H1391" s="11">
        <v>0</v>
      </c>
      <c r="I1391" s="11">
        <v>0</v>
      </c>
      <c r="J1391" s="11">
        <v>0</v>
      </c>
      <c r="K1391" s="7">
        <f t="shared" si="44"/>
        <v>38.686481499999999</v>
      </c>
      <c r="L1391" s="8">
        <f t="shared" si="45"/>
        <v>0</v>
      </c>
      <c r="M1391" s="9">
        <v>8.5586691099007497E-227</v>
      </c>
      <c r="N1391" s="9">
        <v>1.6287147316141101E-222</v>
      </c>
      <c r="O1391" s="2">
        <v>-7.9681079019711696</v>
      </c>
      <c r="P1391" t="s">
        <v>4988</v>
      </c>
      <c r="Q1391" s="10">
        <f>IF(N1391&lt;='[1]statistical criteria'!$B$2,IF(O1391&gt;=LOG('[1]statistical criteria'!$B$3,2),1,IF(O1391&lt;=-1*LOG('[1]statistical criteria'!$B$3,2),2,"-")),"-")</f>
        <v>2</v>
      </c>
      <c r="R1391" t="s">
        <v>3719</v>
      </c>
      <c r="S1391" t="s">
        <v>4972</v>
      </c>
      <c r="T1391">
        <v>0</v>
      </c>
      <c r="U1391" s="24" t="s">
        <v>425</v>
      </c>
    </row>
    <row r="1392" spans="1:25" x14ac:dyDescent="0.35">
      <c r="A1392" t="s">
        <v>4989</v>
      </c>
      <c r="B1392" t="s">
        <v>4990</v>
      </c>
      <c r="C1392">
        <v>1014</v>
      </c>
      <c r="D1392" s="5">
        <v>91.656330999999994</v>
      </c>
      <c r="E1392" s="5">
        <v>88.715950000000007</v>
      </c>
      <c r="F1392" s="5">
        <v>68.114727000000002</v>
      </c>
      <c r="G1392" s="5">
        <v>46.301904</v>
      </c>
      <c r="H1392" s="11">
        <v>0</v>
      </c>
      <c r="I1392" s="11">
        <v>0</v>
      </c>
      <c r="J1392" s="11">
        <v>0</v>
      </c>
      <c r="K1392" s="7">
        <f t="shared" si="44"/>
        <v>73.697227999999996</v>
      </c>
      <c r="L1392" s="8">
        <f t="shared" si="45"/>
        <v>0</v>
      </c>
      <c r="M1392" s="9">
        <v>3.2811831538836401E-156</v>
      </c>
      <c r="N1392" s="9">
        <v>3.1220457709202798E-152</v>
      </c>
      <c r="O1392" s="2">
        <v>-8.0768907398714695</v>
      </c>
      <c r="P1392" t="s">
        <v>4989</v>
      </c>
      <c r="Q1392" s="10">
        <f>IF(N1392&lt;='[1]statistical criteria'!$B$2,IF(O1392&gt;=LOG('[1]statistical criteria'!$B$3,2),1,IF(O1392&lt;=-1*LOG('[1]statistical criteria'!$B$3,2),2,"-")),"-")</f>
        <v>2</v>
      </c>
      <c r="R1392" t="s">
        <v>4022</v>
      </c>
      <c r="S1392" t="s">
        <v>4023</v>
      </c>
      <c r="T1392" s="9">
        <v>3.9999999999999999E-85</v>
      </c>
      <c r="U1392" s="24" t="s">
        <v>425</v>
      </c>
    </row>
  </sheetData>
  <mergeCells count="3">
    <mergeCell ref="D1:J1"/>
    <mergeCell ref="K1:L1"/>
    <mergeCell ref="M1:P1"/>
  </mergeCells>
  <hyperlinks>
    <hyperlink ref="U3" r:id="rId1" xr:uid="{00000000-0004-0000-0100-000000000000}"/>
    <hyperlink ref="U4" r:id="rId2" display="https://bioinformatics.psb.ugent.be/plaza.dev/instances/dicots_05/genes/view/Nitab4.5_0022765g0010" xr:uid="{00000000-0004-0000-0100-000001000000}"/>
    <hyperlink ref="U5" r:id="rId3" display="https://bioinformatics.psb.ugent.be/plaza.dev/instances/dicots_05/genes/view/Nitab4.5_0000278g0010" xr:uid="{00000000-0004-0000-0100-000002000000}"/>
    <hyperlink ref="T5" r:id="rId4" display="https://bioinformatics.psb.ugent.be/plaza.dev/instances/dicots_05/genes/view/AT5G59720" xr:uid="{00000000-0004-0000-0100-000003000000}"/>
    <hyperlink ref="U6" r:id="rId5" display="https://bioinformatics.psb.ugent.be/plaza.dev/instances/dicots_05/genes/view/Nitab4.5_0009946g0020" xr:uid="{00000000-0004-0000-0100-000004000000}"/>
    <hyperlink ref="U7" r:id="rId6" display="https://bioinformatics.psb.ugent.be/plaza.dev/instances/dicots_05/genes/view/Nitab4.5_0000073g0350" xr:uid="{00000000-0004-0000-0100-000005000000}"/>
    <hyperlink ref="U8" r:id="rId7" display="https://bioinformatics.psb.ugent.be/plaza.dev/instances/dicots_05/genes/view/Nitab4.5_0014015g0010" xr:uid="{00000000-0004-0000-0100-000006000000}"/>
    <hyperlink ref="U9" r:id="rId8" display="https://bioinformatics.psb.ugent.be/plaza.dev/instances/dicots_05/genes/view/Nitab4.5_0000032g0010" xr:uid="{00000000-0004-0000-0100-000007000000}"/>
    <hyperlink ref="U10" r:id="rId9" display="https://bioinformatics.psb.ugent.be/plaza.dev/instances/dicots_05/genes/view/Nitab4.5_0009672g0010" xr:uid="{00000000-0004-0000-0100-000008000000}"/>
    <hyperlink ref="U11" r:id="rId10" display="https://bioinformatics.psb.ugent.be/plaza.dev/instances/dicots_05/genes/view/Nitab4.5_0005255g0010" xr:uid="{00000000-0004-0000-0100-000009000000}"/>
    <hyperlink ref="U12" r:id="rId11" display="https://bioinformatics.psb.ugent.be/plaza.dev/instances/dicots_05/genes/view/Nitab4.5_0001904g0070" xr:uid="{00000000-0004-0000-0100-00000A000000}"/>
    <hyperlink ref="U13" r:id="rId12" display="https://bioinformatics.psb.ugent.be/plaza.dev/instances/dicots_05/genes/view/Nitab4.5_0000662g0180" xr:uid="{00000000-0004-0000-0100-00000B000000}"/>
    <hyperlink ref="U14" r:id="rId13" xr:uid="{00000000-0004-0000-0100-00000C000000}"/>
    <hyperlink ref="U15" r:id="rId14" display="https://bioinformatics.psb.ugent.be/plaza.dev/instances/dicots_05/genes/view/Nitab4.5_0002066g0110" xr:uid="{00000000-0004-0000-0100-00000D000000}"/>
    <hyperlink ref="U16" r:id="rId15" display="https://bioinformatics.psb.ugent.be/plaza.dev/instances/dicots_05/genes/view/Nitab4.5_0000500g0190" xr:uid="{00000000-0004-0000-0100-00000E000000}"/>
    <hyperlink ref="U17" r:id="rId16" display="https://bioinformatics.psb.ugent.be/plaza.dev/instances/dicots_05/genes/view/Nitab4.5_0009648g0020" xr:uid="{00000000-0004-0000-0100-00000F000000}"/>
    <hyperlink ref="U18" r:id="rId17" display="https://bioinformatics.psb.ugent.be/plaza.dev/instances/dicots_05/genes/view/Nitab4.5_0001301g0090" xr:uid="{00000000-0004-0000-0100-000010000000}"/>
    <hyperlink ref="U19" r:id="rId18" display="https://bioinformatics.psb.ugent.be/plaza.dev/instances/dicots_05/genes/view/Nitab4.5_0010009g0010" xr:uid="{00000000-0004-0000-0100-000011000000}"/>
    <hyperlink ref="U20" r:id="rId19" display="https://bioinformatics.psb.ugent.be/plaza.dev/instances/dicots_05/genes/view/Nitab4.5_0003893g0030" xr:uid="{00000000-0004-0000-0100-000012000000}"/>
    <hyperlink ref="U21" r:id="rId20" display="https://bioinformatics.psb.ugent.be/plaza.dev/instances/dicots_05/genes/view/Nitab4.5_0002537g0010" xr:uid="{00000000-0004-0000-0100-000013000000}"/>
    <hyperlink ref="U22" r:id="rId21" display="https://bioinformatics.psb.ugent.be/plaza.dev/instances/dicots_05/genes/view/Nitab4.5_0002537g0030" xr:uid="{00000000-0004-0000-0100-000014000000}"/>
    <hyperlink ref="U23" r:id="rId22" display="https://bioinformatics.psb.ugent.be/plaza.dev/instances/dicots_05/genes/view/Nitab4.5_0000040g0340" xr:uid="{00000000-0004-0000-0100-000015000000}"/>
    <hyperlink ref="U24" r:id="rId23" display="https://bioinformatics.psb.ugent.be/plaza.dev/instances/dicots_05/genes/view/Nitab4.5_0006895g0010" xr:uid="{00000000-0004-0000-0100-000016000000}"/>
    <hyperlink ref="U25" r:id="rId24" display="https://bioinformatics.psb.ugent.be/plaza.dev/instances/dicots_05/genes/view/Nitab4.5_0001488g0020" xr:uid="{00000000-0004-0000-0100-000017000000}"/>
    <hyperlink ref="U26" r:id="rId25" display="https://bioinformatics.psb.ugent.be/plaza.dev/instances/dicots_05/genes/view/Nitab4.5_0006888g0010" xr:uid="{00000000-0004-0000-0100-000018000000}"/>
    <hyperlink ref="U27" r:id="rId26" display="https://bioinformatics.psb.ugent.be/plaza.dev/instances/dicots_05/genes/view/Nitab4.5_0005100g0050" xr:uid="{00000000-0004-0000-0100-000019000000}"/>
    <hyperlink ref="U28" r:id="rId27" display="https://bioinformatics.psb.ugent.be/plaza.dev/instances/dicots_05/genes/view/Nitab4.5_0000036g0420" xr:uid="{00000000-0004-0000-0100-00001A000000}"/>
    <hyperlink ref="U29" r:id="rId28" display="https://bioinformatics.psb.ugent.be/plaza.dev/instances/dicots_05/genes/view/Nitab4.5_0001114g0030" xr:uid="{00000000-0004-0000-0100-00001B000000}"/>
    <hyperlink ref="U30" r:id="rId29" display="https://bioinformatics.psb.ugent.be/plaza.dev/instances/dicots_05/genes/view/Nitab4.5_0000365g0160" xr:uid="{00000000-0004-0000-0100-00001C000000}"/>
    <hyperlink ref="U31" r:id="rId30" display="https://bioinformatics.psb.ugent.be/plaza.dev/instances/dicots_05/genes/view/Nitab4.5_0002498g0070" xr:uid="{00000000-0004-0000-0100-00001D000000}"/>
    <hyperlink ref="U32" r:id="rId31" display="https://bioinformatics.psb.ugent.be/plaza.dev/instances/dicots_05/genes/view/Nitab4.5_0007276g0010" xr:uid="{00000000-0004-0000-0100-00001E000000}"/>
    <hyperlink ref="U33" r:id="rId32" display="https://bioinformatics.psb.ugent.be/plaza.dev/instances/dicots_05/genes/view/Nitab4.5_0001357g0030" xr:uid="{00000000-0004-0000-0100-00001F000000}"/>
    <hyperlink ref="U34" r:id="rId33" display="https://bioinformatics.psb.ugent.be/plaza.dev/instances/dicots_05/genes/view/Nitab4.5_0001646g0050" xr:uid="{00000000-0004-0000-0100-000020000000}"/>
    <hyperlink ref="U35" r:id="rId34" display="https://bioinformatics.psb.ugent.be/plaza.dev/instances/dicots_05/genes/view/Nitab4.5_0004937g0030" xr:uid="{00000000-0004-0000-0100-000021000000}"/>
    <hyperlink ref="U36" r:id="rId35" display="https://bioinformatics.psb.ugent.be/plaza.dev/instances/dicots_05/genes/view/Nitab4.5_0002302g0040" xr:uid="{00000000-0004-0000-0100-000022000000}"/>
    <hyperlink ref="U37" r:id="rId36" display="https://bioinformatics.psb.ugent.be/plaza.dev/instances/dicots_05/genes/view/Nitab4.5_0005743g0010" xr:uid="{00000000-0004-0000-0100-000023000000}"/>
    <hyperlink ref="U38" r:id="rId37" display="https://bioinformatics.psb.ugent.be/plaza.dev/instances/dicots_05/genes/view/Nitab4.5_0003247g0010" xr:uid="{00000000-0004-0000-0100-000024000000}"/>
    <hyperlink ref="U39" r:id="rId38" display="https://bioinformatics.psb.ugent.be/plaza.dev/instances/dicots_05/genes/view/Nitab4.5_0012887g0010" xr:uid="{00000000-0004-0000-0100-000025000000}"/>
    <hyperlink ref="U40" r:id="rId39" display="https://bioinformatics.psb.ugent.be/plaza.dev/instances/dicots_05/genes/view/Nitab4.5_0002498g0080" xr:uid="{00000000-0004-0000-0100-000026000000}"/>
    <hyperlink ref="U41" r:id="rId40" display="https://bioinformatics.psb.ugent.be/plaza.dev/instances/dicots_05/genes/view/Nitab4.5_0000753g0140" xr:uid="{00000000-0004-0000-0100-000027000000}"/>
    <hyperlink ref="U42" r:id="rId41" display="https://bioinformatics.psb.ugent.be/plaza.dev/instances/dicots_05/genes/view/Nitab4.5_0005181g0060" xr:uid="{00000000-0004-0000-0100-000028000000}"/>
    <hyperlink ref="U43" r:id="rId42" display="https://bioinformatics.psb.ugent.be/plaza.dev/instances/dicots_05/genes/view/Nitab4.5_0003722g0030" xr:uid="{00000000-0004-0000-0100-000029000000}"/>
    <hyperlink ref="U1392" r:id="rId43" display="https://bioinformatics.psb.ugent.be/plaza.dev/instances/dicots_05/genes/view/Nitab4.5_0003382g0020" xr:uid="{00000000-0004-0000-0100-00002A000000}"/>
    <hyperlink ref="U1391" r:id="rId44" display="https://bioinformatics.psb.ugent.be/plaza.dev/instances/dicots_05/genes/view/Nitab4.5_0008232g0020" xr:uid="{00000000-0004-0000-0100-00002B000000}"/>
    <hyperlink ref="U1390" r:id="rId45" display="https://bioinformatics.psb.ugent.be/plaza.dev/instances/dicots_05/genes/view/Nitab4.5_0021283g0010" xr:uid="{00000000-0004-0000-0100-00002C000000}"/>
    <hyperlink ref="U1389" r:id="rId46" display="https://bioinformatics.psb.ugent.be/plaza.dev/instances/dicots_05/genes/view/Nitab4.5_0002918g0080" xr:uid="{00000000-0004-0000-0100-00002D000000}"/>
    <hyperlink ref="U1387" r:id="rId47" display="https://bioinformatics.psb.ugent.be/plaza.dev/instances/dicots_05/genes/view/Nitab4.5_0000707g0240" xr:uid="{00000000-0004-0000-0100-00002E000000}"/>
    <hyperlink ref="U1388" r:id="rId48" display="https://bioinformatics.psb.ugent.be/plaza.dev/instances/dicots_05/genes/view/Nitab4.5_0016299g0010" xr:uid="{00000000-0004-0000-0100-00002F000000}"/>
    <hyperlink ref="U1386" r:id="rId49" display="https://bioinformatics.psb.ugent.be/plaza.dev/instances/dicots_05/genes/view/Nitab4.5_0000461g0300" xr:uid="{00000000-0004-0000-0100-000030000000}"/>
    <hyperlink ref="U1385" r:id="rId50" display="https://bioinformatics.psb.ugent.be/plaza.dev/instances/dicots_05/genes/view/Nitab4.5_0000062g0170" xr:uid="{00000000-0004-0000-0100-000031000000}"/>
    <hyperlink ref="U1384" r:id="rId51" display="https://bioinformatics.psb.ugent.be/plaza.dev/instances/dicots_05/genes/view/Nitab4.5_0004559g0010" xr:uid="{00000000-0004-0000-0100-000032000000}"/>
    <hyperlink ref="T1384" r:id="rId52" display="https://www.arabidopsis.org/publication?key=501778089" xr:uid="{00000000-0004-0000-0100-000033000000}"/>
    <hyperlink ref="U1383" r:id="rId53" display="https://bioinformatics.psb.ugent.be/plaza.dev/instances/dicots_05/genes/view/Nitab4.5_0001232g0040" xr:uid="{00000000-0004-0000-0100-000034000000}"/>
    <hyperlink ref="T1383" r:id="rId54" display="https://www.nature.com/articles/ncb1754" xr:uid="{00000000-0004-0000-0100-000035000000}"/>
    <hyperlink ref="U1382" r:id="rId55" display="https://bioinformatics.psb.ugent.be/plaza.dev/instances/dicots_05/genes/view/Nitab4.5_0000461g0040" xr:uid="{00000000-0004-0000-0100-000036000000}"/>
    <hyperlink ref="U1381" r:id="rId56" display="https://bioinformatics.psb.ugent.be/plaza.dev/instances/dicots_05/genes/view/Nitab4.5_0001891g0100" xr:uid="{00000000-0004-0000-0100-000037000000}"/>
    <hyperlink ref="U1380" r:id="rId57" display="https://bioinformatics.psb.ugent.be/plaza.dev/instances/dicots_05/genes/view/Nitab4.5_0002606g0030" xr:uid="{00000000-0004-0000-0100-000038000000}"/>
    <hyperlink ref="U1379" r:id="rId58" display="https://bioinformatics.psb.ugent.be/plaza.dev/instances/dicots_05/genes/view/Nitab4.5_0006721g0030" xr:uid="{00000000-0004-0000-0100-000039000000}"/>
    <hyperlink ref="T1377" r:id="rId59" display="https://www.sciencedirect.com/science/article/pii/S0960982216306947?via%3Dihub" xr:uid="{00000000-0004-0000-0100-00003A000000}"/>
    <hyperlink ref="U1377" r:id="rId60" display="https://bioinformatics.psb.ugent.be/plaza.dev/instances/dicots_05/genes/view/Nitab4.5_0002011g0060" xr:uid="{00000000-0004-0000-0100-00003B000000}"/>
    <hyperlink ref="U1378" r:id="rId61" display="https://bioinformatics.psb.ugent.be/plaza.dev/instances/dicots_05/genes/view/Nitab4.5_0004637g0030" xr:uid="{00000000-0004-0000-0100-00003C000000}"/>
    <hyperlink ref="U1375" r:id="rId62" display="https://bioinformatics.psb.ugent.be/plaza.dev/instances/dicots_05/genes/view/Nitab4.5_0002477g0020" xr:uid="{00000000-0004-0000-0100-00003D000000}"/>
    <hyperlink ref="U1376" r:id="rId63" display="https://bioinformatics.psb.ugent.be/plaza.dev/instances/dicots_05/genes/view/Nitab4.5_0002139g0020" xr:uid="{00000000-0004-0000-0100-00003E000000}"/>
    <hyperlink ref="T1374" r:id="rId64" display="https://www.sciencedirect.com/science/article/pii/S1360138525002213?via%3Dihub" xr:uid="{00000000-0004-0000-0100-00003F000000}"/>
    <hyperlink ref="U1374" r:id="rId65" display="https://bioinformatics.psb.ugent.be/plaza.dev/instances/dicots_05/genes/view/Nitab4.5_0011416g0010" xr:uid="{00000000-0004-0000-0100-000040000000}"/>
    <hyperlink ref="U1373" r:id="rId66" display="https://bioinformatics.psb.ugent.be/plaza.dev/instances/dicots_05/genes/view/Nitab4.5_0003076g0050" xr:uid="{00000000-0004-0000-0100-000041000000}"/>
    <hyperlink ref="T1373" r:id="rId67" display="https://www.nature.com/articles/s41598-018-20840-0" xr:uid="{00000000-0004-0000-0100-000042000000}"/>
    <hyperlink ref="U1372" r:id="rId68" display="https://bioinformatics.psb.ugent.be/plaza.dev/instances/dicots_05/genes/view/Nitab4.5_0006448g0020" xr:uid="{00000000-0004-0000-0100-000043000000}"/>
    <hyperlink ref="U1371" r:id="rId69" display="https://bioinformatics.psb.ugent.be/plaza.dev/instances/dicots_05/genes/view/Nitab4.5_0000410g0350" xr:uid="{00000000-0004-0000-0100-000044000000}"/>
    <hyperlink ref="U1370" r:id="rId70" display="https://bioinformatics.psb.ugent.be/plaza.dev/instances/dicots_05/genes/view/Nitab4.5_0000495g0180" xr:uid="{00000000-0004-0000-0100-000045000000}"/>
    <hyperlink ref="T1369" r:id="rId71" display="https://nph.onlinelibrary.wiley.com/doi/10.1111/j.1469-8137.2011.03828.x" xr:uid="{00000000-0004-0000-0100-000046000000}"/>
    <hyperlink ref="U1369" r:id="rId72" display="https://bioinformatics.psb.ugent.be/plaza.dev/instances/dicots_05/genes/view/Nitab4.5_0000223g0250" xr:uid="{00000000-0004-0000-0100-000047000000}"/>
    <hyperlink ref="U1368" r:id="rId73" display="https://bioinformatics.psb.ugent.be/plaza.dev/instances/dicots_05/genes/view/Nitab4.5_0005081g0100" xr:uid="{00000000-0004-0000-0100-000048000000}"/>
    <hyperlink ref="U1367" r:id="rId74" display="https://bioinformatics.psb.ugent.be/plaza.dev/instances/dicots_05/genes/view/Nitab4.5_0000048g0070" xr:uid="{00000000-0004-0000-0100-000049000000}"/>
    <hyperlink ref="U1366" r:id="rId75" display="https://bioinformatics.psb.ugent.be/plaza.dev/instances/dicots_05/genes/view/Nitab4.5_0000733g0160" xr:uid="{00000000-0004-0000-0100-00004A000000}"/>
    <hyperlink ref="U1365" r:id="rId76" display="https://bioinformatics.psb.ugent.be/plaza.dev/instances/dicots_05/genes/view/Nitab4.5_0002853g0080" xr:uid="{00000000-0004-0000-0100-00004B000000}"/>
    <hyperlink ref="U1364" r:id="rId77" display="https://bioinformatics.psb.ugent.be/plaza.dev/instances/dicots_05/genes/view/Nitab4.5_0003200g0100" xr:uid="{00000000-0004-0000-0100-00004C000000}"/>
    <hyperlink ref="U1357" r:id="rId78" display="https://bioinformatics.psb.ugent.be/plaza.dev/instances/dicots_05/genes/view/Nitab4.5_0014837g0010" xr:uid="{00000000-0004-0000-0100-00004D000000}"/>
    <hyperlink ref="U1363" r:id="rId79" display="https://bioinformatics.psb.ugent.be/plaza.dev/instances/dicots_05/genes/view/Nitab4.5_0005660g0010" xr:uid="{00000000-0004-0000-0100-00004E000000}"/>
    <hyperlink ref="U1362" r:id="rId80" display="https://bioinformatics.psb.ugent.be/plaza.dev/instances/dicots_05/genes/view/Nitab4.5_0000824g0080" xr:uid="{00000000-0004-0000-0100-00004F000000}"/>
    <hyperlink ref="U1353" r:id="rId81" display="https://bioinformatics.psb.ugent.be/plaza.dev/instances/dicots_05/genes/view/Nitab4.5_0004509g0030" xr:uid="{00000000-0004-0000-0100-000050000000}"/>
    <hyperlink ref="U1354" r:id="rId82" display="https://bioinformatics.psb.ugent.be/plaza.dev/instances/dicots_05/genes/view/Nitab4.5_0003194g0040" xr:uid="{00000000-0004-0000-0100-000051000000}"/>
    <hyperlink ref="U1355" r:id="rId83" display="https://bioinformatics.psb.ugent.be/plaza.dev/instances/dicots_05/genes/view/Nitab4.5_0008128g0030" xr:uid="{00000000-0004-0000-0100-000052000000}"/>
    <hyperlink ref="U1356" r:id="rId84" display="https://bioinformatics.psb.ugent.be/plaza.dev/instances/dicots_05/genes/view/Nitab4.5_0002949g0040" xr:uid="{00000000-0004-0000-0100-000053000000}"/>
    <hyperlink ref="U1358" r:id="rId85" display="https://bioinformatics.psb.ugent.be/plaza.dev/instances/dicots_05/genes/view/Nitab4.5_0001695g0010" xr:uid="{00000000-0004-0000-0100-000054000000}"/>
    <hyperlink ref="T1358" r:id="rId86" display="https://www.science.org/doi/10.1126/science.aal3016" xr:uid="{00000000-0004-0000-0100-000055000000}"/>
    <hyperlink ref="U1359" r:id="rId87" display="https://bioinformatics.psb.ugent.be/plaza.dev/instances/dicots_05/genes/view/Nitab4.5_0005155g0020" xr:uid="{00000000-0004-0000-0100-000056000000}"/>
    <hyperlink ref="U1360" r:id="rId88" display="https://bioinformatics.psb.ugent.be/plaza.dev/instances/dicots_05/genes/view/Nitab4.5_0001336g0090" xr:uid="{00000000-0004-0000-0100-000057000000}"/>
    <hyperlink ref="T1360" r:id="rId89" display="https://www.embopress.org/doi/full/10.15252/embj.201488582" xr:uid="{00000000-0004-0000-0100-000058000000}"/>
    <hyperlink ref="U1361" r:id="rId90" display="https://bioinformatics.psb.ugent.be/plaza.dev/instances/dicots_05/genes/view/Nitab4.5_0000671g0160" xr:uid="{00000000-0004-0000-0100-000059000000}"/>
    <hyperlink ref="T1361" r:id="rId91" display="https://link.springer.com/article/10.1186/s12870-014-0338-8" xr:uid="{00000000-0004-0000-0100-00005A000000}"/>
  </hyperlinks>
  <pageMargins left="0.7" right="0.7" top="0.75" bottom="0.75" header="0.3" footer="0.3"/>
  <pageSetup paperSize="9" orientation="portrait" r:id="rId9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86762b9d-db73-46e5-b2b7-f6207c35c59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50F11B375BE3E0449FFADFE2E4D5DB70" ma:contentTypeVersion="16" ma:contentTypeDescription="Vytvoří nový dokument" ma:contentTypeScope="" ma:versionID="b3fa6f6857b4c9430a8efeb7f4a8d606">
  <xsd:schema xmlns:xsd="http://www.w3.org/2001/XMLSchema" xmlns:xs="http://www.w3.org/2001/XMLSchema" xmlns:p="http://schemas.microsoft.com/office/2006/metadata/properties" xmlns:ns3="86762b9d-db73-46e5-b2b7-f6207c35c59b" xmlns:ns4="0e07a5f4-eec0-4c63-a0ee-74a533e09f29" targetNamespace="http://schemas.microsoft.com/office/2006/metadata/properties" ma:root="true" ma:fieldsID="6e753a8b58734eb24e121b2a5afa97f5" ns3:_="" ns4:_="">
    <xsd:import namespace="86762b9d-db73-46e5-b2b7-f6207c35c59b"/>
    <xsd:import namespace="0e07a5f4-eec0-4c63-a0ee-74a533e09f29"/>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LengthInSeconds" minOccurs="0"/>
                <xsd:element ref="ns3:MediaServiceDateTaken" minOccurs="0"/>
                <xsd:element ref="ns3:MediaServiceOCR" minOccurs="0"/>
                <xsd:element ref="ns3:MediaServiceGenerationTime" minOccurs="0"/>
                <xsd:element ref="ns3:MediaServiceEventHashCode" minOccurs="0"/>
                <xsd:element ref="ns3:MediaServiceLocation" minOccurs="0"/>
                <xsd:element ref="ns3:_activity" minOccurs="0"/>
                <xsd:element ref="ns4:SharedWithUsers" minOccurs="0"/>
                <xsd:element ref="ns4:SharedWithDetails" minOccurs="0"/>
                <xsd:element ref="ns4:SharingHintHash"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762b9d-db73-46e5-b2b7-f6207c35c5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e07a5f4-eec0-4c63-a0ee-74a533e09f29" elementFormDefault="qualified">
    <xsd:import namespace="http://schemas.microsoft.com/office/2006/documentManagement/types"/>
    <xsd:import namespace="http://schemas.microsoft.com/office/infopath/2007/PartnerControls"/>
    <xsd:element name="SharedWithUsers" ma:index="18" nillable="true" ma:displayName="Sdílí se s"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dílené s podrobnostmi" ma:internalName="SharedWithDetails" ma:readOnly="true">
      <xsd:simpleType>
        <xsd:restriction base="dms:Note">
          <xsd:maxLength value="255"/>
        </xsd:restriction>
      </xsd:simpleType>
    </xsd:element>
    <xsd:element name="SharingHintHash" ma:index="20" nillable="true" ma:displayName="Hodnota hash upozornění na sdílení"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AC93FC5-9638-4265-8DF8-B70802C4DB80}">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infopath/2007/PartnerControls"/>
    <ds:schemaRef ds:uri="http://schemas.microsoft.com/office/2006/documentManagement/types"/>
    <ds:schemaRef ds:uri="0e07a5f4-eec0-4c63-a0ee-74a533e09f29"/>
    <ds:schemaRef ds:uri="86762b9d-db73-46e5-b2b7-f6207c35c59b"/>
    <ds:schemaRef ds:uri="http://www.w3.org/XML/1998/namespace"/>
    <ds:schemaRef ds:uri="http://purl.org/dc/dcmitype/"/>
  </ds:schemaRefs>
</ds:datastoreItem>
</file>

<file path=customXml/itemProps2.xml><?xml version="1.0" encoding="utf-8"?>
<ds:datastoreItem xmlns:ds="http://schemas.openxmlformats.org/officeDocument/2006/customXml" ds:itemID="{F0FFCEF7-5DDC-4AE7-9B3A-F6322C1530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762b9d-db73-46e5-b2b7-f6207c35c59b"/>
    <ds:schemaRef ds:uri="0e07a5f4-eec0-4c63-a0ee-74a533e09f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C953BBC-466A-4B92-99C3-2E329366F55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Samples</vt:lpstr>
      <vt:lpstr>Stat_day10_X_Exp_day1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Petrášek Jan UEB</dc:creator>
  <cp:lastModifiedBy>Luciano Di Fino</cp:lastModifiedBy>
  <dcterms:created xsi:type="dcterms:W3CDTF">2025-10-21T14:20:38Z</dcterms:created>
  <dcterms:modified xsi:type="dcterms:W3CDTF">2025-12-18T00:54:11Z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0x01010050F11B375BE3E0449FFADFE2E4D5DB70</vt:lpwstr>
  </property>
</Properties>
</file>